
<file path=[Content_Types].xml><?xml version="1.0" encoding="utf-8"?>
<Types xmlns="http://schemas.openxmlformats.org/package/2006/content-types">
  <Default Extension="bin" ContentType="application/vnd.ms-office.activeX"/>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heme/themeOverride2.xml" ContentType="application/vnd.openxmlformats-officedocument.themeOverride+xml"/>
  <Override PartName="/xl/drawings/drawing2.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drawings/drawing3.xml" ContentType="application/vnd.openxmlformats-officedocument.drawing+xml"/>
  <Override PartName="/xl/activeX/activeX2.xml" ContentType="application/vnd.ms-office.activeX+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rinterSettings/printerSettings2.bin" ContentType="application/vnd.openxmlformats-officedocument.spreadsheetml.printerSettings"/>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현재_통합_문서" defaultThemeVersion="166925"/>
  <mc:AlternateContent xmlns:mc="http://schemas.openxmlformats.org/markup-compatibility/2006">
    <mc:Choice Requires="x15">
      <x15ac:absPath xmlns:x15ac="http://schemas.microsoft.com/office/spreadsheetml/2010/11/ac" url="C:\code\"/>
    </mc:Choice>
  </mc:AlternateContent>
  <xr:revisionPtr revIDLastSave="0" documentId="13_ncr:1_{0B31E977-C670-49AE-A2B7-563135E299A3}" xr6:coauthVersionLast="47" xr6:coauthVersionMax="47" xr10:uidLastSave="{00000000-0000-0000-0000-000000000000}"/>
  <bookViews>
    <workbookView xWindow="-120" yWindow="-120" windowWidth="38640" windowHeight="15990" activeTab="2" xr2:uid="{DFC82409-3894-4D1E-BFFA-938E44685CD0}"/>
  </bookViews>
  <sheets>
    <sheet name="DASHBOARD" sheetId="1" r:id="rId1"/>
    <sheet name="MONTHLY" sheetId="5" r:id="rId2"/>
    <sheet name="가계부" sheetId="2" r:id="rId3"/>
    <sheet name="Sheet1" sheetId="6" r:id="rId4"/>
    <sheet name="가계부 요약" sheetId="4" r:id="rId5"/>
  </sheets>
  <definedNames>
    <definedName name="_xlnm._FilterDatabase" localSheetId="2" hidden="1">가계부!$B$1:$M$2050</definedName>
    <definedName name="NativeTimeline_날짜">#N/A</definedName>
    <definedName name="경조_선물">가계부!$AV$2:$AV$11</definedName>
    <definedName name="계좌">INDIRECT("AB2:AB"&amp;COUNTA(가계부!$AB:$AB))</definedName>
    <definedName name="고정수입">가계부!$AE$2:$AE$11</definedName>
    <definedName name="교육_학습">가계부!$AU$2:$AU$11</definedName>
    <definedName name="교통">가계부!$AN$2:$AN$11</definedName>
    <definedName name="금융">가계부!$AR$2:$AR$11</definedName>
    <definedName name="누계금액">OFFSET('가계부 요약'!$AL$5,0,0,COUNTA('가계부 요약'!$AL$5:$AM$23),2)</definedName>
    <definedName name="누계금액값">OFFSET('가계부 요약'!$AM$6,0,0,COUNTA('가계부 요약'!$AM$6:$AM$23))</definedName>
    <definedName name="누계금액날짜">OFFSET('가계부 요약'!$AL$6,0,0,COUNTA('가계부 요약'!$AL$6:$AL$23))</definedName>
    <definedName name="문화_여가">가계부!$AS$2:$AS$11</definedName>
    <definedName name="뷰티_미용">가계부!$AM$2:$AM$11</definedName>
    <definedName name="생활">가계부!$AJ$2:$AJ$11</definedName>
    <definedName name="수입">가계부!$AD$2:$AD$3</definedName>
    <definedName name="술_유흥">가계부!$AI$2:$AI$11</definedName>
    <definedName name="슬라이서_연">#N/A</definedName>
    <definedName name="슬라이서_월">#N/A</definedName>
    <definedName name="식비">가계부!$AG$2:$AG$11</definedName>
    <definedName name="여행_숙박">가계부!$AT$2:$AT$11</definedName>
    <definedName name="온라인쇼핑">가계부!$AK$2:$AK$11</definedName>
    <definedName name="유동수입">가계부!$AF$2:$AF$11</definedName>
    <definedName name="의료_건강">가계부!$AQ$2:$AQ$11</definedName>
    <definedName name="이체">가계부!$AD$20</definedName>
    <definedName name="이체분류">가계부!$AW$2:$AW$11</definedName>
    <definedName name="자동차">가계부!$AO$2:$AO$11</definedName>
    <definedName name="주거_통신">가계부!$AP$2:$AP$11</definedName>
    <definedName name="지출">가계부!$AD$4:$AD$19</definedName>
    <definedName name="카페_간식">가계부!$AH$2:$AH$11</definedName>
    <definedName name="패션_쇼핑">가계부!$AL$2:$AL$11</definedName>
  </definedNames>
  <calcPr calcId="191028"/>
  <pivotCaches>
    <pivotCache cacheId="0"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9"/>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227" i="2" l="1"/>
  <c r="A2227" i="2" s="1"/>
  <c r="B2226" i="2"/>
  <c r="A2226" i="2" s="1"/>
  <c r="B2225" i="2"/>
  <c r="A2225" i="2" s="1"/>
  <c r="B2224" i="2"/>
  <c r="A2224" i="2" s="1"/>
  <c r="B2223" i="2"/>
  <c r="A2223" i="2" s="1"/>
  <c r="B2222" i="2"/>
  <c r="A2222" i="2" s="1"/>
  <c r="B2221" i="2"/>
  <c r="A2221" i="2" s="1"/>
  <c r="B2220" i="2"/>
  <c r="A2220" i="2" s="1"/>
  <c r="B2219" i="2"/>
  <c r="A2219" i="2" s="1"/>
  <c r="B2218" i="2"/>
  <c r="A2218" i="2" s="1"/>
  <c r="B2217" i="2"/>
  <c r="A2217" i="2" s="1"/>
  <c r="B2216" i="2"/>
  <c r="A2216" i="2" s="1"/>
  <c r="B2215" i="2"/>
  <c r="A2215" i="2" s="1"/>
  <c r="B2214" i="2"/>
  <c r="A2214" i="2" s="1"/>
  <c r="B2213" i="2"/>
  <c r="A2213" i="2" s="1"/>
  <c r="B2212" i="2"/>
  <c r="A2212" i="2" s="1"/>
  <c r="B2211" i="2"/>
  <c r="A2211" i="2" s="1"/>
  <c r="B2210" i="2"/>
  <c r="A2210" i="2" s="1"/>
  <c r="B2209" i="2"/>
  <c r="A2209" i="2" s="1"/>
  <c r="B2208" i="2"/>
  <c r="A2208" i="2" s="1"/>
  <c r="B2207" i="2"/>
  <c r="A2207" i="2" s="1"/>
  <c r="B2206" i="2"/>
  <c r="A2206" i="2" s="1"/>
  <c r="B2205" i="2"/>
  <c r="A2205" i="2" s="1"/>
  <c r="B2204" i="2"/>
  <c r="A2204" i="2" s="1"/>
  <c r="B2203" i="2"/>
  <c r="A2203" i="2" s="1"/>
  <c r="B2202" i="2"/>
  <c r="A2202" i="2" s="1"/>
  <c r="B2201" i="2"/>
  <c r="A2201" i="2" s="1"/>
  <c r="B2200" i="2"/>
  <c r="A2200" i="2" s="1"/>
  <c r="B2199" i="2"/>
  <c r="B2198" i="2"/>
  <c r="B2197" i="2"/>
  <c r="B2196" i="2"/>
  <c r="B2195" i="2"/>
  <c r="B2194" i="2"/>
  <c r="B2193" i="2"/>
  <c r="B2192" i="2"/>
  <c r="B2191" i="2"/>
  <c r="B2190" i="2"/>
  <c r="B2189" i="2"/>
  <c r="B2188" i="2"/>
  <c r="B2187" i="2"/>
  <c r="B2186" i="2"/>
  <c r="B2185" i="2"/>
  <c r="B2184" i="2"/>
  <c r="B2183" i="2"/>
  <c r="B2182" i="2"/>
  <c r="B2181" i="2"/>
  <c r="B2180" i="2"/>
  <c r="B2179" i="2"/>
  <c r="B2178" i="2"/>
  <c r="B2177" i="2"/>
  <c r="B2176" i="2"/>
  <c r="B2175" i="2"/>
  <c r="B2174" i="2"/>
  <c r="B2173" i="2"/>
  <c r="B2172" i="2"/>
  <c r="B2171" i="2"/>
  <c r="B2170" i="2"/>
  <c r="B2169" i="2"/>
  <c r="B2168" i="2"/>
  <c r="B2167" i="2"/>
  <c r="B2166" i="2"/>
  <c r="B2165" i="2"/>
  <c r="B2164" i="2"/>
  <c r="B2163" i="2"/>
  <c r="B2162" i="2"/>
  <c r="B2161" i="2"/>
  <c r="B2160" i="2"/>
  <c r="B2158" i="2"/>
  <c r="B2156" i="2"/>
  <c r="B2157" i="2"/>
  <c r="B2159" i="2"/>
  <c r="B2155" i="2"/>
  <c r="B2154" i="2"/>
  <c r="B2153" i="2"/>
  <c r="B2152" i="2"/>
  <c r="B2151" i="2"/>
  <c r="B2150" i="2"/>
  <c r="B2149" i="2"/>
  <c r="B2148" i="2"/>
  <c r="B2147" i="2"/>
  <c r="B2146" i="2"/>
  <c r="B2145" i="2"/>
  <c r="B2144" i="2"/>
  <c r="B2143" i="2"/>
  <c r="B2142" i="2"/>
  <c r="B2141" i="2"/>
  <c r="B2140" i="2"/>
  <c r="B2139" i="2"/>
  <c r="B2138" i="2"/>
  <c r="B2137" i="2"/>
  <c r="B2136" i="2"/>
  <c r="B2119" i="2"/>
  <c r="B2098" i="2"/>
  <c r="B2126" i="2"/>
  <c r="B2124" i="2"/>
  <c r="B2135" i="2"/>
  <c r="B2134" i="2"/>
  <c r="B2133" i="2"/>
  <c r="B2132" i="2"/>
  <c r="B2131" i="2"/>
  <c r="B2130" i="2"/>
  <c r="B2129" i="2"/>
  <c r="B2128" i="2"/>
  <c r="B2127" i="2"/>
  <c r="B2125" i="2"/>
  <c r="B2123" i="2"/>
  <c r="B2122" i="2"/>
  <c r="B2121" i="2"/>
  <c r="B2120" i="2"/>
  <c r="B2118" i="2"/>
  <c r="B2117" i="2"/>
  <c r="B2116" i="2"/>
  <c r="B2114" i="2"/>
  <c r="B2115" i="2"/>
  <c r="B2113" i="2"/>
  <c r="B2112" i="2"/>
  <c r="B2111" i="2"/>
  <c r="B2110" i="2"/>
  <c r="B2109" i="2"/>
  <c r="B2108" i="2"/>
  <c r="B2107" i="2"/>
  <c r="B2106" i="2"/>
  <c r="B2105" i="2"/>
  <c r="B2104" i="2"/>
  <c r="B2103" i="2"/>
  <c r="B2102" i="2"/>
  <c r="B2101" i="2"/>
  <c r="B2100" i="2"/>
  <c r="B2099" i="2"/>
  <c r="B2097" i="2"/>
  <c r="B2096" i="2"/>
  <c r="B2095" i="2"/>
  <c r="B2094" i="2"/>
  <c r="B2093" i="2"/>
  <c r="B2092" i="2"/>
  <c r="B2091" i="2"/>
  <c r="B2090" i="2"/>
  <c r="B2089" i="2"/>
  <c r="B2088" i="2"/>
  <c r="B2087" i="2"/>
  <c r="B2086" i="2"/>
  <c r="B2085" i="2"/>
  <c r="B2084" i="2"/>
  <c r="B2083" i="2"/>
  <c r="B2082" i="2"/>
  <c r="B2081" i="2"/>
  <c r="B2080" i="2"/>
  <c r="B2079" i="2"/>
  <c r="B2078" i="2"/>
  <c r="B2077" i="2"/>
  <c r="B2076" i="2"/>
  <c r="B2075" i="2"/>
  <c r="B2074" i="2"/>
  <c r="B2073" i="2"/>
  <c r="B2072" i="2"/>
  <c r="B2071" i="2"/>
  <c r="B2070" i="2"/>
  <c r="B2069" i="2"/>
  <c r="B2068" i="2"/>
  <c r="B2067" i="2"/>
  <c r="B2066" i="2"/>
  <c r="B2065" i="2"/>
  <c r="B2064" i="2"/>
  <c r="B2063" i="2"/>
  <c r="B2062" i="2"/>
  <c r="B2061" i="2"/>
  <c r="B2060" i="2"/>
  <c r="B2059" i="2"/>
  <c r="B2058" i="2"/>
  <c r="B2057" i="2"/>
  <c r="B2056" i="2"/>
  <c r="B2051" i="2"/>
  <c r="B2055" i="2"/>
  <c r="B2054" i="2"/>
  <c r="B2053" i="2"/>
  <c r="B2052" i="2"/>
  <c r="B1959" i="2"/>
  <c r="B2005" i="2"/>
  <c r="B2049" i="2"/>
  <c r="B2042" i="2"/>
  <c r="B2032" i="2"/>
  <c r="B2050" i="2"/>
  <c r="B2048" i="2"/>
  <c r="B2047" i="2"/>
  <c r="B2046" i="2"/>
  <c r="B2044" i="2"/>
  <c r="B2045" i="2"/>
  <c r="B2043" i="2"/>
  <c r="B2041" i="2"/>
  <c r="B2040" i="2"/>
  <c r="B2039" i="2"/>
  <c r="B2038" i="2"/>
  <c r="B2037" i="2"/>
  <c r="B2036" i="2"/>
  <c r="B2035" i="2"/>
  <c r="B2034" i="2"/>
  <c r="B2033" i="2"/>
  <c r="B2030" i="2"/>
  <c r="B2031" i="2"/>
  <c r="B2029" i="2"/>
  <c r="B2028" i="2"/>
  <c r="B2027" i="2"/>
  <c r="B2026" i="2"/>
  <c r="B2025" i="2"/>
  <c r="B2024" i="2"/>
  <c r="B2023" i="2"/>
  <c r="B2022" i="2"/>
  <c r="B2021" i="2"/>
  <c r="B2020" i="2"/>
  <c r="B2019" i="2"/>
  <c r="B2018" i="2"/>
  <c r="B2017" i="2"/>
  <c r="B2016" i="2"/>
  <c r="B2015" i="2"/>
  <c r="B2014" i="2"/>
  <c r="B2013" i="2"/>
  <c r="B2012" i="2"/>
  <c r="B2011" i="2"/>
  <c r="B2010" i="2"/>
  <c r="B2009" i="2"/>
  <c r="B2008" i="2"/>
  <c r="B2007" i="2"/>
  <c r="B2006" i="2"/>
  <c r="B2004" i="2"/>
  <c r="B2003" i="2"/>
  <c r="B2002" i="2"/>
  <c r="B2001" i="2"/>
  <c r="B2000" i="2"/>
  <c r="B1999" i="2"/>
  <c r="B1998" i="2"/>
  <c r="B1997" i="2"/>
  <c r="B1996" i="2"/>
  <c r="B1995" i="2"/>
  <c r="B1994" i="2"/>
  <c r="B1993" i="2"/>
  <c r="B1992" i="2"/>
  <c r="B1991" i="2"/>
  <c r="B1968" i="2"/>
  <c r="B1954" i="2"/>
  <c r="B1990" i="2"/>
  <c r="B1989" i="2"/>
  <c r="B1988" i="2"/>
  <c r="B1987" i="2"/>
  <c r="B1986" i="2"/>
  <c r="B1985" i="2"/>
  <c r="B1984" i="2"/>
  <c r="B1983" i="2"/>
  <c r="B1982" i="2"/>
  <c r="B1981" i="2"/>
  <c r="B1980" i="2"/>
  <c r="B1979" i="2"/>
  <c r="B1978" i="2"/>
  <c r="B1976" i="2"/>
  <c r="B1977" i="2"/>
  <c r="B1975" i="2"/>
  <c r="B1974" i="2"/>
  <c r="B1973" i="2"/>
  <c r="B1972" i="2"/>
  <c r="B1971" i="2"/>
  <c r="B1970" i="2"/>
  <c r="B1969" i="2"/>
  <c r="B1967" i="2"/>
  <c r="B1966" i="2"/>
  <c r="B1965" i="2"/>
  <c r="B1964" i="2"/>
  <c r="B1963" i="2"/>
  <c r="B1962" i="2"/>
  <c r="B1961" i="2"/>
  <c r="B1960" i="2"/>
  <c r="B1958" i="2"/>
  <c r="B1957" i="2"/>
  <c r="B1956" i="2"/>
  <c r="B1955" i="2"/>
  <c r="B1953" i="2"/>
  <c r="B1952" i="2"/>
  <c r="B1951" i="2"/>
  <c r="B1950" i="2"/>
  <c r="B1949" i="2"/>
  <c r="B1948" i="2"/>
  <c r="B1947" i="2"/>
  <c r="B1946" i="2"/>
  <c r="B1945" i="2"/>
  <c r="B1944" i="2"/>
  <c r="B1943" i="2"/>
  <c r="B1942" i="2"/>
  <c r="B1941" i="2"/>
  <c r="B1940" i="2"/>
  <c r="B1939" i="2"/>
  <c r="B1938" i="2"/>
  <c r="B1937" i="2"/>
  <c r="B1936" i="2"/>
  <c r="B1935" i="2"/>
  <c r="B1934" i="2"/>
  <c r="B1933" i="2"/>
  <c r="B1932" i="2"/>
  <c r="B1931" i="2"/>
  <c r="B1930" i="2"/>
  <c r="B1929" i="2"/>
  <c r="B1928" i="2"/>
  <c r="B1927" i="2"/>
  <c r="B1926" i="2"/>
  <c r="B1922" i="2"/>
  <c r="B1925" i="2"/>
  <c r="B1924" i="2"/>
  <c r="B1923" i="2"/>
  <c r="B1921" i="2"/>
  <c r="B1920" i="2"/>
  <c r="B1919" i="2"/>
  <c r="B1918" i="2"/>
  <c r="B1917" i="2"/>
  <c r="B1916" i="2"/>
  <c r="B1914" i="2"/>
  <c r="B1915" i="2"/>
  <c r="B1913" i="2"/>
  <c r="B1846" i="2"/>
  <c r="B1852" i="2" l="1"/>
  <c r="B1845" i="2"/>
  <c r="B1912" i="2"/>
  <c r="B1911" i="2"/>
  <c r="B1910" i="2"/>
  <c r="B1909" i="2"/>
  <c r="B1908" i="2"/>
  <c r="B1907" i="2"/>
  <c r="B1906" i="2"/>
  <c r="B1905" i="2"/>
  <c r="B1904" i="2"/>
  <c r="B1903" i="2"/>
  <c r="B1902" i="2"/>
  <c r="B1901" i="2"/>
  <c r="B1900" i="2"/>
  <c r="B1899" i="2"/>
  <c r="B1898" i="2"/>
  <c r="B1897" i="2"/>
  <c r="B1896" i="2"/>
  <c r="B1895" i="2"/>
  <c r="B1894" i="2"/>
  <c r="B1893" i="2"/>
  <c r="B1892" i="2"/>
  <c r="B1891" i="2"/>
  <c r="B1890" i="2"/>
  <c r="B1889" i="2"/>
  <c r="B1888" i="2"/>
  <c r="B1887" i="2"/>
  <c r="B1886" i="2"/>
  <c r="B1885" i="2"/>
  <c r="B1884" i="2"/>
  <c r="B1883" i="2"/>
  <c r="B1882" i="2"/>
  <c r="B1881" i="2"/>
  <c r="B1880" i="2"/>
  <c r="B1879" i="2"/>
  <c r="B1878" i="2"/>
  <c r="B1877" i="2"/>
  <c r="B1876" i="2"/>
  <c r="B1875" i="2"/>
  <c r="B1874" i="2"/>
  <c r="B1873" i="2"/>
  <c r="B1872" i="2"/>
  <c r="B1871" i="2"/>
  <c r="B1870" i="2"/>
  <c r="B1869" i="2"/>
  <c r="B1868" i="2"/>
  <c r="B1867" i="2"/>
  <c r="B1866" i="2"/>
  <c r="B1865" i="2"/>
  <c r="B1864" i="2"/>
  <c r="B1861" i="2"/>
  <c r="B1863" i="2"/>
  <c r="B1862" i="2"/>
  <c r="B1860" i="2"/>
  <c r="B1859" i="2"/>
  <c r="B1858" i="2"/>
  <c r="B1857" i="2"/>
  <c r="B1856" i="2"/>
  <c r="B1855" i="2"/>
  <c r="B1854" i="2"/>
  <c r="B1853" i="2"/>
  <c r="B1851" i="2"/>
  <c r="B1850" i="2"/>
  <c r="B1849" i="2"/>
  <c r="B1848" i="2"/>
  <c r="B1847" i="2" l="1"/>
  <c r="B1844" i="2"/>
  <c r="B1843" i="2"/>
  <c r="B1842" i="2"/>
  <c r="B1841" i="2"/>
  <c r="B1840" i="2"/>
  <c r="B1839" i="2"/>
  <c r="B1838" i="2"/>
  <c r="B1837" i="2"/>
  <c r="B1836" i="2"/>
  <c r="B1835" i="2"/>
  <c r="B1834" i="2"/>
  <c r="B1833" i="2"/>
  <c r="B1832" i="2"/>
  <c r="B1831" i="2"/>
  <c r="B1830" i="2"/>
  <c r="B1829" i="2"/>
  <c r="B1828" i="2"/>
  <c r="B1827" i="2"/>
  <c r="B1826" i="2"/>
  <c r="B1825" i="2"/>
  <c r="B1824" i="2"/>
  <c r="B1823" i="2"/>
  <c r="B1822" i="2"/>
  <c r="B1821" i="2"/>
  <c r="B1820" i="2"/>
  <c r="B1819" i="2"/>
  <c r="B1818" i="2"/>
  <c r="B1817" i="2"/>
  <c r="B1816" i="2"/>
  <c r="B1815" i="2"/>
  <c r="B1814" i="2"/>
  <c r="B1813" i="2"/>
  <c r="B1812" i="2"/>
  <c r="B1811" i="2"/>
  <c r="B1810" i="2"/>
  <c r="B1809" i="2"/>
  <c r="B1808" i="2"/>
  <c r="B1807" i="2"/>
  <c r="B1806" i="2"/>
  <c r="B1805" i="2"/>
  <c r="B1804" i="2"/>
  <c r="B1803" i="2"/>
  <c r="B1802" i="2"/>
  <c r="B1801" i="2"/>
  <c r="B1800" i="2"/>
  <c r="B1799" i="2"/>
  <c r="B1798" i="2"/>
  <c r="B1797" i="2"/>
  <c r="B1796" i="2"/>
  <c r="B1795" i="2"/>
  <c r="B1794" i="2"/>
  <c r="B1793" i="2"/>
  <c r="B1792" i="2"/>
  <c r="B1791" i="2"/>
  <c r="B1790" i="2"/>
  <c r="B1789" i="2"/>
  <c r="B1788" i="2"/>
  <c r="B1787" i="2"/>
  <c r="B1786" i="2"/>
  <c r="B1785" i="2"/>
  <c r="B1784" i="2"/>
  <c r="B1783" i="2"/>
  <c r="B1782" i="2"/>
  <c r="B1781" i="2"/>
  <c r="B1780" i="2"/>
  <c r="B1779" i="2"/>
  <c r="B1778" i="2"/>
  <c r="B1777" i="2"/>
  <c r="B1776" i="2"/>
  <c r="B1775" i="2"/>
  <c r="B1774" i="2"/>
  <c r="B1773" i="2"/>
  <c r="B1772" i="2"/>
  <c r="B1771" i="2"/>
  <c r="B1770" i="2"/>
  <c r="B1769" i="2"/>
  <c r="B1768" i="2"/>
  <c r="B1767" i="2"/>
  <c r="B1766" i="2"/>
  <c r="B1765" i="2"/>
  <c r="B1764" i="2"/>
  <c r="B1763" i="2"/>
  <c r="B1762" i="2"/>
  <c r="B1761" i="2"/>
  <c r="B1760" i="2"/>
  <c r="B1759" i="2"/>
  <c r="B1758" i="2"/>
  <c r="B1757" i="2"/>
  <c r="B1756" i="2"/>
  <c r="B1755" i="2"/>
  <c r="B1754" i="2"/>
  <c r="B1753" i="2"/>
  <c r="B1752" i="2"/>
  <c r="B1751" i="2"/>
  <c r="B1750" i="2"/>
  <c r="B1749" i="2"/>
  <c r="B1748" i="2"/>
  <c r="B1747" i="2"/>
  <c r="B1746" i="2"/>
  <c r="B1745" i="2"/>
  <c r="B1739" i="2"/>
  <c r="B1744" i="2"/>
  <c r="B1743" i="2"/>
  <c r="B1742" i="2"/>
  <c r="B1741" i="2"/>
  <c r="B1740" i="2"/>
  <c r="B1738" i="2"/>
  <c r="B1737" i="2"/>
  <c r="B1736" i="2"/>
  <c r="B1735" i="2"/>
  <c r="B1734" i="2"/>
  <c r="B1733" i="2"/>
  <c r="B1732" i="2"/>
  <c r="B1731" i="2"/>
  <c r="B1730" i="2"/>
  <c r="B1729" i="2"/>
  <c r="B1728" i="2"/>
  <c r="B1727" i="2"/>
  <c r="B1726" i="2"/>
  <c r="B1725" i="2"/>
  <c r="B1724" i="2"/>
  <c r="B1723" i="2"/>
  <c r="B1722" i="2"/>
  <c r="B1721" i="2"/>
  <c r="B1720" i="2"/>
  <c r="B1719" i="2"/>
  <c r="B1718" i="2"/>
  <c r="B1717" i="2"/>
  <c r="B1716" i="2"/>
  <c r="B1715" i="2"/>
  <c r="B1714" i="2"/>
  <c r="B1713" i="2"/>
  <c r="B1712" i="2"/>
  <c r="B1711" i="2"/>
  <c r="B1710" i="2"/>
  <c r="B1709" i="2"/>
  <c r="B1708" i="2"/>
  <c r="B1707" i="2"/>
  <c r="B1706" i="2"/>
  <c r="B1705" i="2"/>
  <c r="B1704" i="2"/>
  <c r="B1703" i="2"/>
  <c r="B1702" i="2"/>
  <c r="B1701" i="2"/>
  <c r="B1700" i="2"/>
  <c r="B1699" i="2"/>
  <c r="B1698" i="2"/>
  <c r="B1697" i="2"/>
  <c r="B1696" i="2"/>
  <c r="B1695" i="2"/>
  <c r="B1694" i="2"/>
  <c r="B1689" i="2"/>
  <c r="B1693" i="2"/>
  <c r="B1692" i="2"/>
  <c r="B1691" i="2"/>
  <c r="B1690" i="2"/>
  <c r="B1688" i="2"/>
  <c r="B1687" i="2"/>
  <c r="B1686" i="2"/>
  <c r="B1685" i="2"/>
  <c r="B1684" i="2"/>
  <c r="B1683" i="2"/>
  <c r="B1682" i="2"/>
  <c r="B1681" i="2"/>
  <c r="B1680" i="2"/>
  <c r="B1679" i="2"/>
  <c r="B1678" i="2"/>
  <c r="B1677" i="2"/>
  <c r="B1676" i="2"/>
  <c r="B1675" i="2"/>
  <c r="B1674" i="2"/>
  <c r="B1673" i="2"/>
  <c r="B1672" i="2"/>
  <c r="B1671" i="2"/>
  <c r="B1670" i="2"/>
  <c r="B1669" i="2"/>
  <c r="B1668" i="2"/>
  <c r="B1667" i="2"/>
  <c r="B1666" i="2"/>
  <c r="B1665" i="2"/>
  <c r="B1664" i="2"/>
  <c r="B1663" i="2"/>
  <c r="B1662" i="2"/>
  <c r="B1661" i="2"/>
  <c r="B1660" i="2"/>
  <c r="B1659" i="2"/>
  <c r="B1658" i="2"/>
  <c r="B1657" i="2"/>
  <c r="B1656" i="2"/>
  <c r="B1655" i="2"/>
  <c r="B1654" i="2"/>
  <c r="B1653" i="2"/>
  <c r="B1652" i="2"/>
  <c r="B1651" i="2"/>
  <c r="B1650" i="2"/>
  <c r="B1649" i="2"/>
  <c r="B1648" i="2"/>
  <c r="B1647" i="2"/>
  <c r="B1646" i="2"/>
  <c r="B1645" i="2"/>
  <c r="B1644" i="2"/>
  <c r="B1643" i="2"/>
  <c r="B1642" i="2"/>
  <c r="B1641" i="2"/>
  <c r="B1640" i="2"/>
  <c r="B1639" i="2"/>
  <c r="B1638" i="2"/>
  <c r="B1637" i="2"/>
  <c r="B1636" i="2"/>
  <c r="B1635" i="2"/>
  <c r="B1634" i="2"/>
  <c r="B1633" i="2"/>
  <c r="B1632" i="2"/>
  <c r="B1631" i="2"/>
  <c r="B1630" i="2"/>
  <c r="B1629" i="2"/>
  <c r="B1628" i="2"/>
  <c r="B1627" i="2"/>
  <c r="B1626" i="2"/>
  <c r="B1625" i="2"/>
  <c r="B1624" i="2"/>
  <c r="B1623" i="2"/>
  <c r="B1622" i="2"/>
  <c r="B1621" i="2"/>
  <c r="B1620" i="2"/>
  <c r="B1619" i="2"/>
  <c r="B1618" i="2"/>
  <c r="B1617" i="2"/>
  <c r="B1616" i="2"/>
  <c r="B1615" i="2"/>
  <c r="B1614" i="2"/>
  <c r="B1613" i="2"/>
  <c r="B1612" i="2"/>
  <c r="B1611" i="2"/>
  <c r="B1610" i="2"/>
  <c r="B1609" i="2"/>
  <c r="B1608" i="2"/>
  <c r="B1607" i="2"/>
  <c r="B1606" i="2"/>
  <c r="B1605" i="2"/>
  <c r="B1604" i="2"/>
  <c r="B1603" i="2"/>
  <c r="B1602" i="2"/>
  <c r="B1601" i="2"/>
  <c r="B1600" i="2"/>
  <c r="B1599" i="2"/>
  <c r="B1598" i="2"/>
  <c r="B1597" i="2"/>
  <c r="B1596" i="2"/>
  <c r="B1595" i="2"/>
  <c r="B1594" i="2"/>
  <c r="B1593" i="2"/>
  <c r="B1592" i="2"/>
  <c r="B1591" i="2"/>
  <c r="B1590" i="2"/>
  <c r="B1589" i="2"/>
  <c r="B1588" i="2"/>
  <c r="B1587" i="2"/>
  <c r="B1586" i="2"/>
  <c r="B1585" i="2"/>
  <c r="B1584" i="2"/>
  <c r="B1583" i="2"/>
  <c r="B1582" i="2"/>
  <c r="B1581" i="2"/>
  <c r="B1580" i="2"/>
  <c r="B1579" i="2"/>
  <c r="B1578" i="2"/>
  <c r="B1577" i="2"/>
  <c r="B1576" i="2"/>
  <c r="B1575" i="2"/>
  <c r="B1574" i="2"/>
  <c r="B1573" i="2"/>
  <c r="B1572" i="2"/>
  <c r="B1571" i="2"/>
  <c r="B1570" i="2"/>
  <c r="B1569" i="2"/>
  <c r="B1568" i="2"/>
  <c r="B1567" i="2"/>
  <c r="B1566" i="2"/>
  <c r="B1565" i="2"/>
  <c r="B1564" i="2"/>
  <c r="B1563" i="2"/>
  <c r="B1562" i="2"/>
  <c r="B1561" i="2"/>
  <c r="B1560" i="2"/>
  <c r="B1559" i="2"/>
  <c r="B1558" i="2"/>
  <c r="B1557" i="2"/>
  <c r="B1556" i="2"/>
  <c r="B1555" i="2"/>
  <c r="B1554" i="2"/>
  <c r="B1553" i="2"/>
  <c r="B1552" i="2"/>
  <c r="B1551" i="2"/>
  <c r="B1550" i="2"/>
  <c r="B1549" i="2"/>
  <c r="B1536" i="2"/>
  <c r="B1548" i="2"/>
  <c r="B1547" i="2"/>
  <c r="B1546" i="2"/>
  <c r="B1545" i="2"/>
  <c r="B1544" i="2"/>
  <c r="B1543" i="2"/>
  <c r="B1542" i="2"/>
  <c r="B1541" i="2"/>
  <c r="B1540" i="2"/>
  <c r="B1539" i="2"/>
  <c r="B1538" i="2"/>
  <c r="B1537" i="2"/>
  <c r="B1535" i="2"/>
  <c r="B1534" i="2"/>
  <c r="B1533" i="2"/>
  <c r="B1532" i="2"/>
  <c r="B1531" i="2"/>
  <c r="B1530" i="2"/>
  <c r="B1529" i="2"/>
  <c r="B1528" i="2"/>
  <c r="B1527" i="2"/>
  <c r="B1526" i="2"/>
  <c r="B1525" i="2"/>
  <c r="B1524" i="2"/>
  <c r="B1523" i="2"/>
  <c r="B1522" i="2"/>
  <c r="B1521" i="2"/>
  <c r="B1520" i="2"/>
  <c r="B1519" i="2"/>
  <c r="B1518" i="2"/>
  <c r="B1517" i="2"/>
  <c r="B1516" i="2"/>
  <c r="B1515" i="2"/>
  <c r="B1514" i="2"/>
  <c r="B1492" i="2"/>
  <c r="B1513" i="2"/>
  <c r="B1512" i="2"/>
  <c r="B1511" i="2"/>
  <c r="B1510" i="2"/>
  <c r="B1509" i="2"/>
  <c r="B1508" i="2"/>
  <c r="B1507" i="2"/>
  <c r="B1506" i="2"/>
  <c r="B1505" i="2"/>
  <c r="B1504" i="2"/>
  <c r="B1503" i="2"/>
  <c r="B1502" i="2"/>
  <c r="B1501" i="2"/>
  <c r="B1500" i="2"/>
  <c r="B1499" i="2"/>
  <c r="B1498" i="2"/>
  <c r="B1497" i="2"/>
  <c r="B1496" i="2"/>
  <c r="B1495" i="2"/>
  <c r="B1494" i="2"/>
  <c r="B1493" i="2"/>
  <c r="B1491" i="2"/>
  <c r="B1490" i="2"/>
  <c r="B1489" i="2"/>
  <c r="B1488" i="2"/>
  <c r="B1487" i="2"/>
  <c r="B1486" i="2"/>
  <c r="B1485" i="2"/>
  <c r="B1484" i="2"/>
  <c r="B1483" i="2"/>
  <c r="B1482" i="2"/>
  <c r="B1477" i="2"/>
  <c r="B1478" i="2"/>
  <c r="B1479" i="2"/>
  <c r="B1480" i="2"/>
  <c r="B1481" i="2"/>
  <c r="B1476" i="2"/>
  <c r="B1461" i="2"/>
  <c r="B1475" i="2"/>
  <c r="B1474" i="2"/>
  <c r="B1473" i="2"/>
  <c r="B1472" i="2"/>
  <c r="B1471" i="2"/>
  <c r="B1470" i="2"/>
  <c r="B1469" i="2"/>
  <c r="B1468" i="2"/>
  <c r="B1467" i="2"/>
  <c r="B1466" i="2"/>
  <c r="B1465" i="2"/>
  <c r="B1464" i="2"/>
  <c r="B1463" i="2"/>
  <c r="B1462" i="2"/>
  <c r="B1460" i="2"/>
  <c r="B1459" i="2"/>
  <c r="B1458" i="2"/>
  <c r="B1457" i="2"/>
  <c r="B1456" i="2"/>
  <c r="B1455" i="2"/>
  <c r="B1454" i="2"/>
  <c r="B1453" i="2"/>
  <c r="B1452" i="2"/>
  <c r="B1451" i="2"/>
  <c r="B1450" i="2"/>
  <c r="B1449" i="2"/>
  <c r="B1448" i="2"/>
  <c r="B1447" i="2"/>
  <c r="B1446" i="2"/>
  <c r="B1445" i="2"/>
  <c r="B1444" i="2"/>
  <c r="B1443" i="2"/>
  <c r="B1442" i="2"/>
  <c r="B1441" i="2"/>
  <c r="B1440" i="2"/>
  <c r="B1439" i="2"/>
  <c r="B1438" i="2"/>
  <c r="B1437" i="2"/>
  <c r="B1436" i="2"/>
  <c r="B1435" i="2"/>
  <c r="B1434" i="2"/>
  <c r="B1433" i="2"/>
  <c r="B1432" i="2"/>
  <c r="B1431" i="2"/>
  <c r="B1430" i="2"/>
  <c r="B1429" i="2"/>
  <c r="B1428" i="2"/>
  <c r="B1427" i="2"/>
  <c r="B1426" i="2"/>
  <c r="B1425" i="2"/>
  <c r="B1424" i="2"/>
  <c r="B1423" i="2"/>
  <c r="B1422" i="2"/>
  <c r="B1421" i="2"/>
  <c r="B1420" i="2"/>
  <c r="B1419" i="2"/>
  <c r="B1418" i="2"/>
  <c r="B1417" i="2"/>
  <c r="B1416" i="2"/>
  <c r="B1415" i="2"/>
  <c r="B1414" i="2"/>
  <c r="B1413" i="2"/>
  <c r="B1412" i="2"/>
  <c r="B1411" i="2"/>
  <c r="B1410" i="2"/>
  <c r="B1409" i="2"/>
  <c r="B1408" i="2"/>
  <c r="B1407" i="2"/>
  <c r="B1406" i="2"/>
  <c r="B1405" i="2"/>
  <c r="B1404" i="2"/>
  <c r="B1402" i="2"/>
  <c r="B1403" i="2"/>
  <c r="B1401" i="2"/>
  <c r="B1399" i="2"/>
  <c r="B1400" i="2"/>
  <c r="B1398" i="2"/>
  <c r="B1396" i="2"/>
  <c r="B1397" i="2"/>
  <c r="B1395" i="2"/>
  <c r="B1394" i="2"/>
  <c r="B1393" i="2"/>
  <c r="B1392" i="2"/>
  <c r="B1389" i="2"/>
  <c r="B1391" i="2"/>
  <c r="B1390" i="2"/>
  <c r="B1385" i="2"/>
  <c r="B1383" i="2"/>
  <c r="B1388" i="2"/>
  <c r="B1384" i="2"/>
  <c r="B1387" i="2"/>
  <c r="B1386" i="2"/>
  <c r="B1382" i="2"/>
  <c r="B1380" i="2"/>
  <c r="B1381" i="2"/>
  <c r="B1378" i="2"/>
  <c r="B1379" i="2"/>
  <c r="B1377" i="2"/>
  <c r="B1376" i="2"/>
  <c r="B1374" i="2"/>
  <c r="B1375" i="2"/>
  <c r="B1373" i="2"/>
  <c r="B1372" i="2"/>
  <c r="B1371" i="2"/>
  <c r="B1370" i="2"/>
  <c r="B1365" i="2"/>
  <c r="B1368" i="2"/>
  <c r="B1367" i="2"/>
  <c r="B1366" i="2"/>
  <c r="B1369" i="2"/>
  <c r="B1364" i="2"/>
  <c r="B1363" i="2"/>
  <c r="B1362" i="2"/>
  <c r="B1339" i="2"/>
  <c r="B1361" i="2"/>
  <c r="B1360" i="2"/>
  <c r="B1357" i="2"/>
  <c r="B1358" i="2"/>
  <c r="B1359" i="2"/>
  <c r="B1355" i="2"/>
  <c r="B1356" i="2"/>
  <c r="B1354" i="2"/>
  <c r="B1353" i="2"/>
  <c r="B1351" i="2"/>
  <c r="B1352" i="2"/>
  <c r="B1350" i="2"/>
  <c r="B1349" i="2"/>
  <c r="B1347" i="2"/>
  <c r="B1348" i="2"/>
  <c r="B1346" i="2"/>
  <c r="B1345" i="2"/>
  <c r="B1344" i="2"/>
  <c r="B1343" i="2"/>
  <c r="B1342" i="2"/>
  <c r="B1341" i="2"/>
  <c r="B1340" i="2"/>
  <c r="B1338" i="2"/>
  <c r="B1337" i="2"/>
  <c r="B1326" i="2"/>
  <c r="B1336" i="2"/>
  <c r="B1335" i="2"/>
  <c r="B1331" i="2"/>
  <c r="B1333" i="2"/>
  <c r="B1332" i="2"/>
  <c r="B1334" i="2"/>
  <c r="B1329" i="2"/>
  <c r="B1328" i="2"/>
  <c r="B1330" i="2"/>
  <c r="B1327" i="2"/>
  <c r="B1324" i="2"/>
  <c r="B1325" i="2"/>
  <c r="B1322" i="2"/>
  <c r="B1321" i="2"/>
  <c r="B1323" i="2"/>
  <c r="B1317" i="2"/>
  <c r="B1320" i="2"/>
  <c r="B1319" i="2"/>
  <c r="B1318" i="2"/>
  <c r="B1316" i="2"/>
  <c r="B1314" i="2"/>
  <c r="B1313" i="2"/>
  <c r="B1315" i="2"/>
  <c r="B1311" i="2"/>
  <c r="B1312" i="2"/>
  <c r="B1309" i="2"/>
  <c r="B1310" i="2"/>
  <c r="B1306" i="2"/>
  <c r="B1307" i="2"/>
  <c r="B1308" i="2"/>
  <c r="B1304" i="2"/>
  <c r="B1305" i="2"/>
  <c r="B1300" i="2"/>
  <c r="B1303" i="2"/>
  <c r="B1302" i="2"/>
  <c r="B1301" i="2"/>
  <c r="B1298" i="2"/>
  <c r="B1299" i="2"/>
  <c r="B1297" i="2"/>
  <c r="B1295" i="2"/>
  <c r="B1296" i="2"/>
  <c r="B1292" i="2"/>
  <c r="B1293" i="2"/>
  <c r="B1294" i="2"/>
  <c r="B1291" i="2"/>
  <c r="B1290" i="2"/>
  <c r="B1287" i="2"/>
  <c r="B1289" i="2"/>
  <c r="B1288" i="2"/>
  <c r="B1284" i="2"/>
  <c r="B1286" i="2"/>
  <c r="B1285" i="2"/>
  <c r="B1282" i="2"/>
  <c r="B1283" i="2"/>
  <c r="B1280" i="2"/>
  <c r="B1279" i="2"/>
  <c r="B1281" i="2"/>
  <c r="B1277" i="2"/>
  <c r="B1278" i="2"/>
  <c r="B1274" i="2"/>
  <c r="B1275" i="2"/>
  <c r="B1276" i="2"/>
  <c r="B1271" i="2"/>
  <c r="B1273" i="2"/>
  <c r="B1272" i="2"/>
  <c r="B1270" i="2"/>
  <c r="B1269" i="2"/>
  <c r="B1268" i="2"/>
  <c r="B1267" i="2"/>
  <c r="B1266" i="2"/>
  <c r="B1265" i="2"/>
  <c r="AL25" i="4"/>
  <c r="AM25" i="4"/>
  <c r="AL26" i="4"/>
  <c r="AM26" i="4"/>
  <c r="B1263" i="2"/>
  <c r="B1261" i="2"/>
  <c r="B1264" i="2"/>
  <c r="B1262" i="2"/>
  <c r="B1260" i="2"/>
  <c r="B1259" i="2"/>
  <c r="B1258" i="2"/>
  <c r="B1257" i="2"/>
  <c r="B1255" i="2"/>
  <c r="B1256" i="2"/>
  <c r="B1253" i="2"/>
  <c r="B1251" i="2"/>
  <c r="B1249" i="2"/>
  <c r="B1250" i="2"/>
  <c r="B1252" i="2"/>
  <c r="B1254" i="2"/>
  <c r="B1248" i="2"/>
  <c r="B1247" i="2"/>
  <c r="B1246" i="2"/>
  <c r="B1245" i="2"/>
  <c r="B1244" i="2"/>
  <c r="B1242" i="2"/>
  <c r="B1243" i="2"/>
  <c r="B1241" i="2"/>
  <c r="B1240" i="2"/>
  <c r="B1239" i="2"/>
  <c r="B1238" i="2"/>
  <c r="B1236" i="2"/>
  <c r="B1237" i="2"/>
  <c r="B1235" i="2"/>
  <c r="B1234" i="2"/>
  <c r="B1233" i="2"/>
  <c r="B1232" i="2"/>
  <c r="B1230" i="2"/>
  <c r="B1231" i="2"/>
  <c r="B1229" i="2"/>
  <c r="B1225" i="2"/>
  <c r="B1224" i="2"/>
  <c r="B1228" i="2"/>
  <c r="B1223" i="2"/>
  <c r="B1226" i="2"/>
  <c r="B1227" i="2"/>
  <c r="B1219" i="2"/>
  <c r="B1221" i="2"/>
  <c r="B1222" i="2"/>
  <c r="B1220" i="2"/>
  <c r="B1217" i="2"/>
  <c r="B1218" i="2"/>
  <c r="B1216" i="2"/>
  <c r="B1214" i="2"/>
  <c r="B1215" i="2"/>
  <c r="B1213" i="2"/>
  <c r="B1210" i="2"/>
  <c r="B1211" i="2"/>
  <c r="B1212" i="2"/>
  <c r="B1209" i="2"/>
  <c r="B1208" i="2"/>
  <c r="B1207" i="2"/>
  <c r="B1206" i="2"/>
  <c r="B1205" i="2"/>
  <c r="B1204" i="2"/>
  <c r="B1203" i="2"/>
  <c r="B1201" i="2"/>
  <c r="B1200" i="2"/>
  <c r="B1202" i="2"/>
  <c r="M42" i="4"/>
  <c r="L42" i="4"/>
  <c r="M41" i="4"/>
  <c r="L41" i="4"/>
  <c r="M40" i="4"/>
  <c r="L40" i="4"/>
  <c r="M39" i="4"/>
  <c r="L39" i="4"/>
  <c r="M38" i="4"/>
  <c r="L38" i="4"/>
  <c r="M37" i="4"/>
  <c r="L37" i="4"/>
  <c r="M36" i="4"/>
  <c r="L36" i="4"/>
  <c r="M35" i="4"/>
  <c r="L35" i="4"/>
  <c r="M34" i="4"/>
  <c r="L34" i="4"/>
  <c r="M33" i="4"/>
  <c r="L33" i="4"/>
  <c r="AM24" i="4"/>
  <c r="AL24" i="4"/>
  <c r="AL23" i="4"/>
  <c r="AM23" i="4"/>
  <c r="B1199" i="2"/>
  <c r="B1196" i="2"/>
  <c r="B1198" i="2"/>
  <c r="B1197" i="2"/>
  <c r="B1195" i="2"/>
  <c r="B1193" i="2"/>
  <c r="B1194" i="2"/>
  <c r="B1191" i="2"/>
  <c r="B1189" i="2"/>
  <c r="B1190" i="2"/>
  <c r="B1192" i="2"/>
  <c r="B1188" i="2"/>
  <c r="B1187" i="2"/>
  <c r="B1186" i="2"/>
  <c r="B1185" i="2"/>
  <c r="B1184" i="2"/>
  <c r="B1182" i="2"/>
  <c r="B1181" i="2"/>
  <c r="B1183" i="2"/>
  <c r="B1180" i="2"/>
  <c r="B1179" i="2"/>
  <c r="B1176" i="2"/>
  <c r="B1177" i="2"/>
  <c r="B1178" i="2"/>
  <c r="B1175" i="2"/>
  <c r="B1174" i="2"/>
  <c r="B1171" i="2"/>
  <c r="B1173" i="2"/>
  <c r="B1170" i="2"/>
  <c r="B1167" i="2"/>
  <c r="B1168" i="2"/>
  <c r="B1166" i="2"/>
  <c r="B1165" i="2"/>
  <c r="B1163" i="2"/>
  <c r="B1164" i="2"/>
  <c r="B1162" i="2"/>
  <c r="B1161" i="2"/>
  <c r="B1160" i="2"/>
  <c r="B1157" i="2"/>
  <c r="B1159" i="2"/>
  <c r="B1158" i="2"/>
  <c r="B1156" i="2"/>
  <c r="B1154" i="2"/>
  <c r="B1155" i="2"/>
  <c r="B1153" i="2"/>
  <c r="B1152" i="2"/>
  <c r="B1151" i="2"/>
  <c r="B1146" i="2"/>
  <c r="B1145" i="2"/>
  <c r="B1149" i="2"/>
  <c r="B1148" i="2"/>
  <c r="B1150" i="2"/>
  <c r="B1147" i="2"/>
  <c r="B1140" i="2"/>
  <c r="B1143" i="2"/>
  <c r="B1141" i="2"/>
  <c r="B1142" i="2"/>
  <c r="B1144" i="2"/>
  <c r="B1135" i="2"/>
  <c r="B1134" i="2"/>
  <c r="B1136" i="2"/>
  <c r="B1137" i="2"/>
  <c r="B1138" i="2"/>
  <c r="B1139" i="2"/>
  <c r="B1132" i="2"/>
  <c r="B1133" i="2"/>
  <c r="B1129" i="2"/>
  <c r="B1130" i="2"/>
  <c r="B1131" i="2"/>
  <c r="B1128" i="2"/>
  <c r="B1126" i="2"/>
  <c r="B1127" i="2"/>
  <c r="B1125" i="2"/>
  <c r="B1122" i="2"/>
  <c r="B1124" i="2"/>
  <c r="B1123" i="2"/>
  <c r="B1172" i="2"/>
  <c r="B1110" i="2"/>
  <c r="B1115" i="2"/>
  <c r="B1118" i="2"/>
  <c r="B1121" i="2"/>
  <c r="B1120" i="2"/>
  <c r="B1119" i="2"/>
  <c r="B1114" i="2"/>
  <c r="B1116" i="2"/>
  <c r="B1117" i="2"/>
  <c r="B1113" i="2"/>
  <c r="B1111" i="2"/>
  <c r="B1112" i="2"/>
  <c r="B1169" i="2"/>
  <c r="B399" i="2"/>
  <c r="B1109" i="2"/>
  <c r="B1108" i="2"/>
  <c r="B1107" i="2"/>
  <c r="B1106" i="2"/>
  <c r="B1103" i="2"/>
  <c r="B1102" i="2"/>
  <c r="B1105" i="2"/>
  <c r="B1104" i="2"/>
  <c r="B1101" i="2"/>
  <c r="B1100" i="2"/>
  <c r="B1099" i="2"/>
  <c r="B1098" i="2"/>
  <c r="B1096" i="2"/>
  <c r="B1097" i="2"/>
  <c r="B1093" i="2"/>
  <c r="B1095" i="2"/>
  <c r="B1094" i="2"/>
  <c r="B1092" i="2"/>
  <c r="B1091" i="2"/>
  <c r="B1090" i="2"/>
  <c r="B1089" i="2"/>
  <c r="B1087" i="2"/>
  <c r="B1088" i="2"/>
  <c r="B1086" i="2"/>
  <c r="B1085" i="2"/>
  <c r="B1084" i="2"/>
  <c r="B1081" i="2"/>
  <c r="B1083" i="2"/>
  <c r="B1082" i="2"/>
  <c r="B1080" i="2"/>
  <c r="B1077" i="2"/>
  <c r="B1079" i="2"/>
  <c r="B1075" i="2"/>
  <c r="B1078" i="2"/>
  <c r="B1076" i="2"/>
  <c r="B1072" i="2"/>
  <c r="B1074" i="2"/>
  <c r="B1073" i="2"/>
  <c r="B1070" i="2"/>
  <c r="B1071" i="2"/>
  <c r="B1069" i="2"/>
  <c r="B1068" i="2"/>
  <c r="B1067" i="2"/>
  <c r="B1066" i="2"/>
  <c r="B1063" i="2"/>
  <c r="B1064" i="2"/>
  <c r="B1065" i="2"/>
  <c r="B1061" i="2"/>
  <c r="B1062" i="2"/>
  <c r="B1060" i="2"/>
  <c r="B1059" i="2"/>
  <c r="B1057" i="2"/>
  <c r="B1058" i="2"/>
  <c r="B1056" i="2"/>
  <c r="B1055" i="2"/>
  <c r="B1053" i="2"/>
  <c r="B1054" i="2"/>
  <c r="B1052" i="2"/>
  <c r="B1049" i="2"/>
  <c r="B1051" i="2"/>
  <c r="B1050" i="2"/>
  <c r="B1048" i="2"/>
  <c r="B1044" i="2"/>
  <c r="B1047" i="2"/>
  <c r="B1046" i="2"/>
  <c r="B1045" i="2"/>
  <c r="B1043" i="2"/>
  <c r="B1040" i="2"/>
  <c r="B1041" i="2"/>
  <c r="B1042" i="2"/>
  <c r="B1039" i="2"/>
  <c r="B1037" i="2"/>
  <c r="B1038" i="2"/>
  <c r="B1036" i="2"/>
  <c r="B1035" i="2"/>
  <c r="B1031" i="2"/>
  <c r="B1032" i="2"/>
  <c r="B1033" i="2"/>
  <c r="B1034" i="2"/>
  <c r="B1030" i="2"/>
  <c r="B1029" i="2"/>
  <c r="B1028" i="2"/>
  <c r="B1027" i="2"/>
  <c r="B1025" i="2"/>
  <c r="B1026" i="2"/>
  <c r="B1024" i="2"/>
  <c r="B1023" i="2"/>
  <c r="B1021" i="2"/>
  <c r="B1022" i="2"/>
  <c r="B1020" i="2"/>
  <c r="B1018" i="2"/>
  <c r="B1019" i="2"/>
  <c r="B1017" i="2"/>
  <c r="AL22" i="4"/>
  <c r="AM22" i="4"/>
  <c r="B1015" i="2"/>
  <c r="B1016" i="2"/>
  <c r="B1011" i="2"/>
  <c r="B1012" i="2"/>
  <c r="B1013" i="2"/>
  <c r="B1014" i="2"/>
  <c r="B1009" i="2"/>
  <c r="B1008" i="2"/>
  <c r="B1010" i="2"/>
  <c r="B1007" i="2"/>
  <c r="B1006" i="2"/>
  <c r="B1003" i="2"/>
  <c r="B1004" i="2"/>
  <c r="B1005" i="2"/>
  <c r="B1002" i="2"/>
  <c r="B1001" i="2"/>
  <c r="B999" i="2"/>
  <c r="B1000" i="2"/>
  <c r="B998" i="2"/>
  <c r="B994" i="2"/>
  <c r="B996" i="2"/>
  <c r="B993" i="2"/>
  <c r="B997" i="2"/>
  <c r="B995" i="2"/>
  <c r="B990" i="2"/>
  <c r="B989" i="2"/>
  <c r="B988" i="2"/>
  <c r="B992" i="2"/>
  <c r="B991" i="2"/>
  <c r="B987" i="2"/>
  <c r="B984" i="2"/>
  <c r="B986" i="2"/>
  <c r="B983" i="2"/>
  <c r="B985" i="2"/>
  <c r="B981" i="2"/>
  <c r="B982" i="2"/>
  <c r="B980" i="2"/>
  <c r="B979" i="2"/>
  <c r="B978" i="2"/>
  <c r="B977" i="2"/>
  <c r="B976" i="2"/>
  <c r="B975" i="2"/>
  <c r="B973" i="2"/>
  <c r="B974" i="2"/>
  <c r="B970" i="2"/>
  <c r="B972" i="2"/>
  <c r="B971" i="2"/>
  <c r="B969" i="2"/>
  <c r="B968" i="2"/>
  <c r="B967" i="2"/>
  <c r="B965" i="2"/>
  <c r="B964" i="2"/>
  <c r="B966" i="2"/>
  <c r="B963" i="2"/>
  <c r="B962" i="2"/>
  <c r="B960" i="2"/>
  <c r="B961" i="2"/>
  <c r="B959" i="2"/>
  <c r="B957" i="2"/>
  <c r="B958" i="2"/>
  <c r="B956" i="2"/>
  <c r="B954" i="2"/>
  <c r="B955" i="2"/>
  <c r="B953" i="2"/>
  <c r="B952" i="2"/>
  <c r="B950" i="2"/>
  <c r="B949" i="2"/>
  <c r="B951" i="2"/>
  <c r="B947" i="2"/>
  <c r="B948" i="2"/>
  <c r="B945" i="2"/>
  <c r="B946" i="2"/>
  <c r="B944" i="2"/>
  <c r="B943" i="2"/>
  <c r="B942" i="2"/>
  <c r="B940" i="2"/>
  <c r="B941" i="2"/>
  <c r="B937" i="2"/>
  <c r="B938" i="2"/>
  <c r="B939" i="2"/>
  <c r="B931" i="2"/>
  <c r="B936" i="2"/>
  <c r="B932" i="2"/>
  <c r="B933" i="2"/>
  <c r="B934" i="2"/>
  <c r="B935" i="2"/>
  <c r="B930" i="2"/>
  <c r="B929" i="2"/>
  <c r="B927" i="2"/>
  <c r="B928" i="2"/>
  <c r="B922" i="2"/>
  <c r="B926" i="2"/>
  <c r="B921" i="2"/>
  <c r="B925" i="2"/>
  <c r="B923" i="2"/>
  <c r="B924" i="2"/>
  <c r="B920" i="2"/>
  <c r="B918" i="2"/>
  <c r="B919" i="2"/>
  <c r="B917" i="2"/>
  <c r="B916" i="2"/>
  <c r="B913" i="2"/>
  <c r="B914" i="2"/>
  <c r="B915" i="2"/>
  <c r="Z3" i="4" a="1"/>
  <c r="Z3" i="4" s="1"/>
  <c r="AL21" i="4"/>
  <c r="AM21" i="4"/>
  <c r="B911" i="2"/>
  <c r="B895" i="2"/>
  <c r="B889" i="2"/>
  <c r="B912" i="2"/>
  <c r="B910" i="2"/>
  <c r="B909" i="2"/>
  <c r="B908" i="2"/>
  <c r="B906" i="2"/>
  <c r="B907" i="2"/>
  <c r="B905" i="2"/>
  <c r="B904" i="2"/>
  <c r="B901" i="2"/>
  <c r="B903" i="2"/>
  <c r="B902" i="2"/>
  <c r="B900" i="2"/>
  <c r="B898" i="2"/>
  <c r="B899" i="2"/>
  <c r="B897" i="2"/>
  <c r="B896" i="2"/>
  <c r="B894" i="2"/>
  <c r="B891" i="2"/>
  <c r="B888" i="2"/>
  <c r="B890" i="2"/>
  <c r="B893" i="2"/>
  <c r="B892" i="2"/>
  <c r="B885" i="2"/>
  <c r="B886" i="2"/>
  <c r="B884" i="2"/>
  <c r="B887" i="2"/>
  <c r="B883" i="2"/>
  <c r="B882" i="2"/>
  <c r="B881" i="2"/>
  <c r="B876" i="2"/>
  <c r="B879" i="2"/>
  <c r="B877" i="2"/>
  <c r="B878" i="2"/>
  <c r="B880" i="2"/>
  <c r="B875" i="2"/>
  <c r="B871" i="2"/>
  <c r="B870" i="2"/>
  <c r="B872" i="2"/>
  <c r="B874" i="2"/>
  <c r="B873" i="2"/>
  <c r="B869" i="2"/>
  <c r="B868" i="2"/>
  <c r="B867" i="2"/>
  <c r="B866" i="2"/>
  <c r="B864" i="2"/>
  <c r="B865" i="2"/>
  <c r="B860" i="2"/>
  <c r="B862" i="2"/>
  <c r="B863" i="2"/>
  <c r="B861" i="2"/>
  <c r="B857" i="2"/>
  <c r="B859" i="2"/>
  <c r="B858" i="2"/>
  <c r="B856" i="2"/>
  <c r="B855" i="2"/>
  <c r="B853" i="2"/>
  <c r="B852" i="2"/>
  <c r="B854" i="2"/>
  <c r="B851" i="2"/>
  <c r="B849" i="2"/>
  <c r="B850" i="2"/>
  <c r="B848" i="2"/>
  <c r="B4" i="5"/>
  <c r="C6" i="5" s="1"/>
  <c r="AL20" i="4"/>
  <c r="AM20" i="4"/>
  <c r="B847" i="2"/>
  <c r="B845" i="2"/>
  <c r="B844" i="2"/>
  <c r="B846" i="2"/>
  <c r="B841" i="2"/>
  <c r="B843" i="2"/>
  <c r="B842" i="2"/>
  <c r="B839" i="2"/>
  <c r="B840" i="2"/>
  <c r="B838" i="2"/>
  <c r="B835" i="2"/>
  <c r="B837" i="2"/>
  <c r="B836" i="2"/>
  <c r="B833" i="2"/>
  <c r="B834" i="2"/>
  <c r="B829" i="2"/>
  <c r="B832" i="2"/>
  <c r="B831" i="2"/>
  <c r="B830" i="2"/>
  <c r="B828" i="2"/>
  <c r="B827" i="2"/>
  <c r="B826" i="2"/>
  <c r="B825" i="2"/>
  <c r="B824" i="2"/>
  <c r="B823" i="2"/>
  <c r="B821" i="2"/>
  <c r="B822" i="2"/>
  <c r="B815" i="2"/>
  <c r="B819" i="2"/>
  <c r="B820" i="2"/>
  <c r="B816" i="2"/>
  <c r="B817" i="2"/>
  <c r="B818" i="2"/>
  <c r="B812" i="2"/>
  <c r="B814" i="2"/>
  <c r="B813" i="2"/>
  <c r="B811" i="2"/>
  <c r="B810" i="2"/>
  <c r="B806" i="2"/>
  <c r="B807" i="2"/>
  <c r="B808" i="2"/>
  <c r="B809" i="2"/>
  <c r="B804" i="2"/>
  <c r="B805" i="2"/>
  <c r="B803" i="2"/>
  <c r="B802" i="2"/>
  <c r="B801" i="2"/>
  <c r="B798" i="2"/>
  <c r="B799" i="2"/>
  <c r="B800" i="2"/>
  <c r="B797" i="2"/>
  <c r="B796" i="2"/>
  <c r="B791" i="2"/>
  <c r="B792" i="2"/>
  <c r="B790" i="2"/>
  <c r="B794" i="2"/>
  <c r="B795" i="2"/>
  <c r="B793" i="2"/>
  <c r="B786" i="2"/>
  <c r="B789" i="2"/>
  <c r="B785" i="2"/>
  <c r="B787" i="2"/>
  <c r="B788" i="2"/>
  <c r="B783" i="2"/>
  <c r="B779" i="2"/>
  <c r="B777" i="2"/>
  <c r="B780" i="2"/>
  <c r="B781" i="2"/>
  <c r="B782" i="2"/>
  <c r="B784" i="2"/>
  <c r="B778" i="2"/>
  <c r="B775" i="2"/>
  <c r="B774" i="2"/>
  <c r="B776" i="2"/>
  <c r="B773" i="2"/>
  <c r="B772" i="2"/>
  <c r="B770" i="2"/>
  <c r="B771" i="2"/>
  <c r="AL19" i="4"/>
  <c r="AM19" i="4"/>
  <c r="B768" i="2"/>
  <c r="B769" i="2"/>
  <c r="B765" i="2"/>
  <c r="B767" i="2"/>
  <c r="B764" i="2"/>
  <c r="B766" i="2"/>
  <c r="B762" i="2"/>
  <c r="B763" i="2"/>
  <c r="B760" i="2"/>
  <c r="B761" i="2"/>
  <c r="B757" i="2"/>
  <c r="B754" i="2"/>
  <c r="B755" i="2"/>
  <c r="B759" i="2"/>
  <c r="B756" i="2"/>
  <c r="B758" i="2"/>
  <c r="B752" i="2"/>
  <c r="B753" i="2"/>
  <c r="B751" i="2"/>
  <c r="B750" i="2"/>
  <c r="B748" i="2"/>
  <c r="B749" i="2"/>
  <c r="B747" i="2"/>
  <c r="B744" i="2"/>
  <c r="B745" i="2"/>
  <c r="B746" i="2"/>
  <c r="B742" i="2"/>
  <c r="B743" i="2"/>
  <c r="B741" i="2"/>
  <c r="B740" i="2"/>
  <c r="B738" i="2"/>
  <c r="B739" i="2"/>
  <c r="B737" i="2"/>
  <c r="B734" i="2"/>
  <c r="B736" i="2"/>
  <c r="B735" i="2"/>
  <c r="B733" i="2"/>
  <c r="B732" i="2"/>
  <c r="B731" i="2"/>
  <c r="B729" i="2"/>
  <c r="B730" i="2"/>
  <c r="B728" i="2"/>
  <c r="B726" i="2"/>
  <c r="B725" i="2"/>
  <c r="B724" i="2"/>
  <c r="B727" i="2"/>
  <c r="B723" i="2"/>
  <c r="B722" i="2"/>
  <c r="B721" i="2"/>
  <c r="B720" i="2"/>
  <c r="B719" i="2"/>
  <c r="B716" i="2"/>
  <c r="B717" i="2"/>
  <c r="B718" i="2"/>
  <c r="B712" i="2"/>
  <c r="B713" i="2"/>
  <c r="B714" i="2"/>
  <c r="B715" i="2"/>
  <c r="B710" i="2"/>
  <c r="B711" i="2"/>
  <c r="AL18" i="4"/>
  <c r="AM18" i="4"/>
  <c r="B708" i="2"/>
  <c r="B709" i="2"/>
  <c r="B707" i="2"/>
  <c r="B705" i="2"/>
  <c r="B706" i="2"/>
  <c r="B704" i="2"/>
  <c r="B703" i="2"/>
  <c r="B701" i="2"/>
  <c r="B702" i="2"/>
  <c r="B698" i="2"/>
  <c r="B700" i="2"/>
  <c r="B699" i="2"/>
  <c r="B697" i="2"/>
  <c r="B695" i="2"/>
  <c r="B696" i="2"/>
  <c r="B694" i="2"/>
  <c r="B693" i="2"/>
  <c r="B692" i="2"/>
  <c r="B691" i="2"/>
  <c r="B690" i="2"/>
  <c r="B686" i="2"/>
  <c r="B689" i="2"/>
  <c r="B688" i="2"/>
  <c r="B687" i="2"/>
  <c r="B685" i="2"/>
  <c r="B684" i="2"/>
  <c r="B682" i="2"/>
  <c r="B683" i="2"/>
  <c r="B679" i="2"/>
  <c r="B681" i="2"/>
  <c r="B680" i="2"/>
  <c r="B676" i="2"/>
  <c r="B678" i="2"/>
  <c r="B677" i="2"/>
  <c r="B673" i="2"/>
  <c r="B674" i="2"/>
  <c r="B675" i="2"/>
  <c r="B672" i="2"/>
  <c r="B670" i="2"/>
  <c r="B669" i="2"/>
  <c r="B671" i="2"/>
  <c r="B668" i="2"/>
  <c r="B665" i="2"/>
  <c r="B667" i="2"/>
  <c r="B666" i="2"/>
  <c r="B663" i="2"/>
  <c r="B664" i="2"/>
  <c r="B662" i="2"/>
  <c r="B659" i="2"/>
  <c r="B660" i="2"/>
  <c r="B658" i="2"/>
  <c r="B661" i="2"/>
  <c r="B656" i="2"/>
  <c r="B657" i="2"/>
  <c r="B655" i="2"/>
  <c r="B654" i="2"/>
  <c r="AL17" i="4"/>
  <c r="AM17" i="4"/>
  <c r="B653" i="2"/>
  <c r="B652" i="2"/>
  <c r="B651" i="2"/>
  <c r="B648" i="2"/>
  <c r="B647" i="2"/>
  <c r="B646" i="2"/>
  <c r="B642" i="2"/>
  <c r="B644" i="2"/>
  <c r="B643" i="2"/>
  <c r="B649" i="2"/>
  <c r="B650" i="2"/>
  <c r="B645" i="2"/>
  <c r="B641" i="2"/>
  <c r="B640" i="2"/>
  <c r="B639" i="2"/>
  <c r="B638" i="2"/>
  <c r="B637" i="2"/>
  <c r="B635" i="2"/>
  <c r="B633" i="2"/>
  <c r="B636" i="2"/>
  <c r="B634" i="2"/>
  <c r="B631" i="2"/>
  <c r="B632" i="2"/>
  <c r="B630" i="2"/>
  <c r="B629" i="2"/>
  <c r="B627" i="2"/>
  <c r="B625" i="2"/>
  <c r="B624" i="2"/>
  <c r="B626" i="2"/>
  <c r="B628" i="2"/>
  <c r="B623" i="2"/>
  <c r="B622" i="2"/>
  <c r="B621" i="2"/>
  <c r="B617" i="2"/>
  <c r="B619" i="2"/>
  <c r="B620" i="2"/>
  <c r="AL16" i="4"/>
  <c r="AM16" i="4"/>
  <c r="B618" i="2"/>
  <c r="B614" i="2"/>
  <c r="B615" i="2"/>
  <c r="B616" i="2"/>
  <c r="B613" i="2"/>
  <c r="B609" i="2"/>
  <c r="B611" i="2"/>
  <c r="B612" i="2"/>
  <c r="B610" i="2"/>
  <c r="B608" i="2"/>
  <c r="B605" i="2"/>
  <c r="B606" i="2"/>
  <c r="B607" i="2"/>
  <c r="B603" i="2"/>
  <c r="B604" i="2"/>
  <c r="B601" i="2"/>
  <c r="B602" i="2"/>
  <c r="B600" i="2"/>
  <c r="B598" i="2"/>
  <c r="B599" i="2"/>
  <c r="B596" i="2"/>
  <c r="B597" i="2"/>
  <c r="B593" i="2"/>
  <c r="B591" i="2"/>
  <c r="B594" i="2"/>
  <c r="B595" i="2"/>
  <c r="B592" i="2"/>
  <c r="B590" i="2"/>
  <c r="B589" i="2"/>
  <c r="B588" i="2"/>
  <c r="B586" i="2"/>
  <c r="B585" i="2"/>
  <c r="B587" i="2"/>
  <c r="B582" i="2"/>
  <c r="B576" i="2"/>
  <c r="B580" i="2"/>
  <c r="B584" i="2"/>
  <c r="B581" i="2"/>
  <c r="B583" i="2"/>
  <c r="B578" i="2"/>
  <c r="B579" i="2"/>
  <c r="B577" i="2"/>
  <c r="B574" i="2"/>
  <c r="B575" i="2"/>
  <c r="B572" i="2"/>
  <c r="B573" i="2"/>
  <c r="B570" i="2"/>
  <c r="B571" i="2"/>
  <c r="B569" i="2"/>
  <c r="B568" i="2"/>
  <c r="B565" i="2"/>
  <c r="B566" i="2"/>
  <c r="B567" i="2"/>
  <c r="B564" i="2"/>
  <c r="B563" i="2"/>
  <c r="B550" i="2"/>
  <c r="B561" i="2"/>
  <c r="B560" i="2"/>
  <c r="B562" i="2"/>
  <c r="B558" i="2"/>
  <c r="B559" i="2"/>
  <c r="B557" i="2"/>
  <c r="B556" i="2"/>
  <c r="B555" i="2"/>
  <c r="B553" i="2"/>
  <c r="B554" i="2"/>
  <c r="B552" i="2"/>
  <c r="B551" i="2"/>
  <c r="B549" i="2"/>
  <c r="B548" i="2"/>
  <c r="B542" i="2"/>
  <c r="B546" i="2"/>
  <c r="B547" i="2"/>
  <c r="B545" i="2"/>
  <c r="B544" i="2"/>
  <c r="B543" i="2"/>
  <c r="B541" i="2"/>
  <c r="B540" i="2"/>
  <c r="B539" i="2"/>
  <c r="B538" i="2"/>
  <c r="B537" i="2"/>
  <c r="B536" i="2"/>
  <c r="B535" i="2"/>
  <c r="B534" i="2"/>
  <c r="B532" i="2"/>
  <c r="B533" i="2"/>
  <c r="B531" i="2"/>
  <c r="B530" i="2"/>
  <c r="AL15" i="4"/>
  <c r="AM15" i="4"/>
  <c r="B528" i="2"/>
  <c r="B529" i="2"/>
  <c r="B527" i="2"/>
  <c r="B526" i="2"/>
  <c r="B525" i="2"/>
  <c r="B523" i="2"/>
  <c r="B521" i="2"/>
  <c r="B522" i="2"/>
  <c r="B524" i="2"/>
  <c r="B520" i="2"/>
  <c r="B519" i="2"/>
  <c r="B518" i="2"/>
  <c r="B517" i="2"/>
  <c r="B516" i="2"/>
  <c r="B515" i="2"/>
  <c r="B514" i="2"/>
  <c r="B513" i="2"/>
  <c r="B512" i="2"/>
  <c r="B508" i="2"/>
  <c r="B510" i="2"/>
  <c r="B511" i="2"/>
  <c r="B509" i="2"/>
  <c r="B506" i="2"/>
  <c r="B507" i="2"/>
  <c r="B505" i="2"/>
  <c r="B504" i="2"/>
  <c r="B503" i="2"/>
  <c r="B502" i="2"/>
  <c r="B501" i="2"/>
  <c r="B500" i="2"/>
  <c r="B496" i="2"/>
  <c r="B498" i="2"/>
  <c r="B494" i="2"/>
  <c r="B495" i="2"/>
  <c r="B414" i="2"/>
  <c r="B497" i="2"/>
  <c r="B499" i="2"/>
  <c r="B493" i="2"/>
  <c r="B492" i="2"/>
  <c r="B487" i="2"/>
  <c r="B491" i="2"/>
  <c r="B484" i="2"/>
  <c r="B485" i="2"/>
  <c r="B490" i="2"/>
  <c r="B489" i="2"/>
  <c r="B488" i="2"/>
  <c r="B486" i="2"/>
  <c r="B483" i="2"/>
  <c r="B482" i="2"/>
  <c r="B479" i="2"/>
  <c r="B481" i="2"/>
  <c r="B480" i="2"/>
  <c r="AL14" i="4"/>
  <c r="AM14" i="4"/>
  <c r="B477" i="2"/>
  <c r="B478" i="2"/>
  <c r="B476" i="2"/>
  <c r="B475" i="2"/>
  <c r="B474" i="2"/>
  <c r="B473" i="2"/>
  <c r="B471" i="2"/>
  <c r="B472" i="2"/>
  <c r="B470" i="2"/>
  <c r="B469" i="2"/>
  <c r="B465" i="2"/>
  <c r="B466" i="2"/>
  <c r="B468" i="2"/>
  <c r="B467" i="2"/>
  <c r="B464" i="2"/>
  <c r="B462" i="2"/>
  <c r="B463" i="2"/>
  <c r="B461" i="2"/>
  <c r="B458" i="2"/>
  <c r="B460" i="2"/>
  <c r="B459" i="2"/>
  <c r="B456" i="2"/>
  <c r="B457" i="2"/>
  <c r="B455" i="2"/>
  <c r="B454" i="2"/>
  <c r="AL13" i="4"/>
  <c r="AM13" i="4"/>
  <c r="B453" i="2"/>
  <c r="B452" i="2"/>
  <c r="B448" i="2"/>
  <c r="B449" i="2"/>
  <c r="B451" i="2"/>
  <c r="B450" i="2"/>
  <c r="B447" i="2"/>
  <c r="B446" i="2"/>
  <c r="B445" i="2"/>
  <c r="B443" i="2"/>
  <c r="B444" i="2"/>
  <c r="B441" i="2"/>
  <c r="B442" i="2"/>
  <c r="B439" i="2"/>
  <c r="B440" i="2"/>
  <c r="B438" i="2"/>
  <c r="B437" i="2"/>
  <c r="B436" i="2"/>
  <c r="B435" i="2"/>
  <c r="B434" i="2"/>
  <c r="B430" i="2"/>
  <c r="B433" i="2"/>
  <c r="B432" i="2"/>
  <c r="B426" i="2"/>
  <c r="B429" i="2"/>
  <c r="B428" i="2"/>
  <c r="B431" i="2"/>
  <c r="B427" i="2"/>
  <c r="B422" i="2"/>
  <c r="B423" i="2"/>
  <c r="B424" i="2"/>
  <c r="B421" i="2"/>
  <c r="B425" i="2"/>
  <c r="B419" i="2"/>
  <c r="B418" i="2"/>
  <c r="B420" i="2"/>
  <c r="B417" i="2"/>
  <c r="B416" i="2"/>
  <c r="B415" i="2"/>
  <c r="B413" i="2"/>
  <c r="B412" i="2"/>
  <c r="B410" i="2"/>
  <c r="B411" i="2"/>
  <c r="B408" i="2"/>
  <c r="B409" i="2"/>
  <c r="B407" i="2"/>
  <c r="B405" i="2"/>
  <c r="B404" i="2"/>
  <c r="B406" i="2"/>
  <c r="B403" i="2"/>
  <c r="B402" i="2"/>
  <c r="B401" i="2"/>
  <c r="B400" i="2"/>
  <c r="B395" i="2"/>
  <c r="B398" i="2"/>
  <c r="B396" i="2"/>
  <c r="B397" i="2"/>
  <c r="B393" i="2"/>
  <c r="B394" i="2"/>
  <c r="B391" i="2"/>
  <c r="B392" i="2"/>
  <c r="B390" i="2"/>
  <c r="B385" i="2"/>
  <c r="B389" i="2"/>
  <c r="B387" i="2"/>
  <c r="B388" i="2"/>
  <c r="B386" i="2"/>
  <c r="B384" i="2"/>
  <c r="B383" i="2"/>
  <c r="B380" i="2"/>
  <c r="B381" i="2"/>
  <c r="B382" i="2"/>
  <c r="B379" i="2"/>
  <c r="O14" i="1"/>
  <c r="O13" i="1"/>
  <c r="AE12" i="4" a="1"/>
  <c r="AE12" i="4"/>
  <c r="AE11" i="4" a="1"/>
  <c r="AE11" i="4"/>
  <c r="AL12" i="4"/>
  <c r="AL7" i="4"/>
  <c r="AL8" i="4"/>
  <c r="AL9" i="4"/>
  <c r="AL10" i="4"/>
  <c r="AL11" i="4"/>
  <c r="AL6" i="4"/>
  <c r="AM12" i="4"/>
  <c r="AM7" i="4"/>
  <c r="AM8" i="4"/>
  <c r="AM9" i="4"/>
  <c r="AM10" i="4"/>
  <c r="AM11" i="4"/>
  <c r="AM6" i="4"/>
  <c r="B378" i="2"/>
  <c r="B376" i="2"/>
  <c r="B377" i="2"/>
  <c r="B375" i="2"/>
  <c r="B374" i="2"/>
  <c r="B371" i="2"/>
  <c r="B369" i="2"/>
  <c r="B372" i="2"/>
  <c r="B370" i="2"/>
  <c r="B373" i="2"/>
  <c r="B368" i="2"/>
  <c r="B367" i="2"/>
  <c r="B299" i="2"/>
  <c r="B298" i="2"/>
  <c r="B295" i="2"/>
  <c r="B281" i="2"/>
  <c r="B279" i="2"/>
  <c r="B277" i="2"/>
  <c r="B194" i="2"/>
  <c r="B124" i="2"/>
  <c r="B8" i="2"/>
  <c r="B365" i="2"/>
  <c r="M6" i="4"/>
  <c r="M7" i="4"/>
  <c r="M8" i="4"/>
  <c r="M9" i="4"/>
  <c r="M10" i="4"/>
  <c r="M11" i="4"/>
  <c r="M12" i="4"/>
  <c r="M13" i="4"/>
  <c r="M14" i="4"/>
  <c r="M5" i="4"/>
  <c r="L6" i="4"/>
  <c r="L7" i="4"/>
  <c r="L8" i="4"/>
  <c r="L9" i="4"/>
  <c r="L10" i="4"/>
  <c r="L11" i="4"/>
  <c r="L12" i="4"/>
  <c r="L13" i="4"/>
  <c r="L14" i="4"/>
  <c r="L5" i="4"/>
  <c r="B363" i="2"/>
  <c r="B362" i="2"/>
  <c r="B361" i="2"/>
  <c r="B366" i="2"/>
  <c r="B364" i="2"/>
  <c r="B360" i="2"/>
  <c r="B359" i="2"/>
  <c r="B358" i="2"/>
  <c r="B355" i="2"/>
  <c r="B357" i="2"/>
  <c r="B356" i="2"/>
  <c r="B354" i="2"/>
  <c r="B353" i="2"/>
  <c r="B350" i="2"/>
  <c r="B352" i="2"/>
  <c r="B351" i="2"/>
  <c r="B344" i="2"/>
  <c r="B347" i="2"/>
  <c r="B349" i="2"/>
  <c r="B343" i="2"/>
  <c r="B348" i="2"/>
  <c r="B346" i="2"/>
  <c r="B345" i="2"/>
  <c r="B342" i="2"/>
  <c r="B341" i="2"/>
  <c r="B340" i="2"/>
  <c r="B337" i="2"/>
  <c r="B338" i="2"/>
  <c r="B339" i="2"/>
  <c r="B334" i="2"/>
  <c r="B335" i="2"/>
  <c r="B336" i="2"/>
  <c r="B333" i="2"/>
  <c r="B331" i="2"/>
  <c r="B332" i="2"/>
  <c r="B316" i="2"/>
  <c r="B323" i="2"/>
  <c r="B315" i="2"/>
  <c r="B328" i="2"/>
  <c r="B327" i="2"/>
  <c r="B330" i="2"/>
  <c r="B329" i="2"/>
  <c r="B325" i="2"/>
  <c r="B326" i="2"/>
  <c r="B322" i="2"/>
  <c r="B324" i="2"/>
  <c r="B321" i="2"/>
  <c r="B320" i="2"/>
  <c r="B318" i="2"/>
  <c r="B319" i="2"/>
  <c r="B317" i="2"/>
  <c r="B314" i="2"/>
  <c r="B312" i="2"/>
  <c r="B313" i="2"/>
  <c r="B309" i="2"/>
  <c r="B311" i="2"/>
  <c r="B310" i="2"/>
  <c r="B308" i="2"/>
  <c r="B307" i="2"/>
  <c r="B306" i="2"/>
  <c r="B305" i="2"/>
  <c r="B304" i="2"/>
  <c r="B303" i="2"/>
  <c r="B302" i="2"/>
  <c r="B301" i="2"/>
  <c r="B300" i="2"/>
  <c r="B297" i="2"/>
  <c r="B296" i="2"/>
  <c r="B294" i="2"/>
  <c r="B293" i="2"/>
  <c r="B291" i="2"/>
  <c r="B292" i="2"/>
  <c r="B290" i="2"/>
  <c r="B282" i="2"/>
  <c r="B280" i="2"/>
  <c r="B285" i="2"/>
  <c r="B284" i="2"/>
  <c r="B278" i="2"/>
  <c r="B288" i="2"/>
  <c r="B287" i="2"/>
  <c r="B286" i="2"/>
  <c r="B283" i="2"/>
  <c r="B289" i="2"/>
  <c r="B275" i="2"/>
  <c r="B276" i="2"/>
  <c r="B274" i="2"/>
  <c r="B270" i="2"/>
  <c r="B273" i="2"/>
  <c r="B272" i="2"/>
  <c r="B271" i="2"/>
  <c r="B269" i="2"/>
  <c r="B268" i="2"/>
  <c r="B265" i="2"/>
  <c r="B264" i="2"/>
  <c r="B267" i="2"/>
  <c r="B266" i="2"/>
  <c r="B260" i="2"/>
  <c r="B263" i="2"/>
  <c r="B261" i="2"/>
  <c r="B262" i="2"/>
  <c r="B259" i="2"/>
  <c r="B258" i="2"/>
  <c r="B257" i="2"/>
  <c r="B249" i="2"/>
  <c r="B253" i="2"/>
  <c r="B254" i="2"/>
  <c r="B255" i="2"/>
  <c r="B256" i="2"/>
  <c r="B252" i="2"/>
  <c r="B250" i="2"/>
  <c r="B251" i="2"/>
  <c r="B247" i="2"/>
  <c r="B248" i="2"/>
  <c r="B246" i="2"/>
  <c r="B245" i="2"/>
  <c r="B244" i="2"/>
  <c r="B243" i="2"/>
  <c r="B241" i="2"/>
  <c r="B242" i="2"/>
  <c r="O7" i="1"/>
  <c r="W36" i="4"/>
  <c r="S19" i="1" s="1"/>
  <c r="W37" i="4"/>
  <c r="S20" i="1"/>
  <c r="W38" i="4"/>
  <c r="S21" i="1"/>
  <c r="B240" i="2"/>
  <c r="B238" i="2"/>
  <c r="B239" i="2"/>
  <c r="B237" i="2"/>
  <c r="B236" i="2"/>
  <c r="B233" i="2"/>
  <c r="B235" i="2"/>
  <c r="B234" i="2"/>
  <c r="B230" i="2"/>
  <c r="B231" i="2"/>
  <c r="B229" i="2"/>
  <c r="B232" i="2"/>
  <c r="B228" i="2"/>
  <c r="B227" i="2"/>
  <c r="B226" i="2"/>
  <c r="B225" i="2"/>
  <c r="B217" i="2"/>
  <c r="B218" i="2"/>
  <c r="B219" i="2"/>
  <c r="B224" i="2"/>
  <c r="B220" i="2"/>
  <c r="B222" i="2"/>
  <c r="B223" i="2"/>
  <c r="B221" i="2"/>
  <c r="B216" i="2"/>
  <c r="B214" i="2"/>
  <c r="B215" i="2"/>
  <c r="B213" i="2"/>
  <c r="B212" i="2"/>
  <c r="B211" i="2"/>
  <c r="B210" i="2"/>
  <c r="B208" i="2"/>
  <c r="B206" i="2"/>
  <c r="B207" i="2"/>
  <c r="B205" i="2"/>
  <c r="B209" i="2"/>
  <c r="B204" i="2"/>
  <c r="B203" i="2"/>
  <c r="B202" i="2"/>
  <c r="B201" i="2"/>
  <c r="B200" i="2"/>
  <c r="B196" i="2"/>
  <c r="B199" i="2"/>
  <c r="B198" i="2"/>
  <c r="B195" i="2"/>
  <c r="B193" i="2"/>
  <c r="B192" i="2"/>
  <c r="B197" i="2"/>
  <c r="B191" i="2"/>
  <c r="B189" i="2"/>
  <c r="B190" i="2"/>
  <c r="B187" i="2"/>
  <c r="B188" i="2"/>
  <c r="B186" i="2"/>
  <c r="B185" i="2"/>
  <c r="B183" i="2"/>
  <c r="B184" i="2"/>
  <c r="B181" i="2"/>
  <c r="B182" i="2"/>
  <c r="B171" i="2"/>
  <c r="B178" i="2"/>
  <c r="B179" i="2"/>
  <c r="B177" i="2"/>
  <c r="B180" i="2"/>
  <c r="B175" i="2"/>
  <c r="B176" i="2"/>
  <c r="B173" i="2"/>
  <c r="B172" i="2"/>
  <c r="B170" i="2"/>
  <c r="B174" i="2"/>
  <c r="B169" i="2"/>
  <c r="B167" i="2"/>
  <c r="B168" i="2"/>
  <c r="B163" i="2"/>
  <c r="B164" i="2"/>
  <c r="B166" i="2"/>
  <c r="B162" i="2"/>
  <c r="B165" i="2"/>
  <c r="B161" i="2"/>
  <c r="B153" i="2"/>
  <c r="B157" i="2"/>
  <c r="B160" i="2"/>
  <c r="B158" i="2"/>
  <c r="B159" i="2"/>
  <c r="B154" i="2"/>
  <c r="B155" i="2"/>
  <c r="B156" i="2"/>
  <c r="B152" i="2"/>
  <c r="B134" i="2"/>
  <c r="B146" i="2"/>
  <c r="B150" i="2"/>
  <c r="B151" i="2"/>
  <c r="B148" i="2"/>
  <c r="B147" i="2"/>
  <c r="B149" i="2"/>
  <c r="B143" i="2"/>
  <c r="B141" i="2"/>
  <c r="B142" i="2"/>
  <c r="B145" i="2"/>
  <c r="B144" i="2"/>
  <c r="B140" i="2"/>
  <c r="B137" i="2"/>
  <c r="B139" i="2"/>
  <c r="B138" i="2"/>
  <c r="B136" i="2"/>
  <c r="B135" i="2"/>
  <c r="B133" i="2"/>
  <c r="B130" i="2"/>
  <c r="B132" i="2"/>
  <c r="B131" i="2"/>
  <c r="B129" i="2"/>
  <c r="B128" i="2"/>
  <c r="B126" i="2"/>
  <c r="O33" i="4"/>
  <c r="W16" i="1"/>
  <c r="O31" i="4"/>
  <c r="W14" i="1"/>
  <c r="O32" i="4"/>
  <c r="W15" i="1"/>
  <c r="O25" i="4"/>
  <c r="W8" i="1" s="1"/>
  <c r="O26" i="4"/>
  <c r="W9" i="1" s="1"/>
  <c r="O27" i="4"/>
  <c r="W10" i="1" s="1"/>
  <c r="O28" i="4"/>
  <c r="W11" i="1" s="1"/>
  <c r="O29" i="4"/>
  <c r="W12" i="1" s="1"/>
  <c r="O30" i="4"/>
  <c r="O24" i="4"/>
  <c r="W7" i="1" s="1"/>
  <c r="W34" i="4"/>
  <c r="W35" i="4"/>
  <c r="S18" i="1" s="1"/>
  <c r="W29" i="4"/>
  <c r="S12" i="1" s="1"/>
  <c r="W30" i="4"/>
  <c r="S13" i="1" s="1"/>
  <c r="W31" i="4"/>
  <c r="S14" i="1" s="1"/>
  <c r="W32" i="4"/>
  <c r="S15" i="1" s="1"/>
  <c r="W33" i="4"/>
  <c r="S16" i="1" s="1"/>
  <c r="W25" i="4"/>
  <c r="S8" i="1" s="1"/>
  <c r="W26" i="4"/>
  <c r="S9" i="1" s="1"/>
  <c r="W27" i="4"/>
  <c r="S10" i="1" s="1"/>
  <c r="W28" i="4"/>
  <c r="W24" i="4"/>
  <c r="S7" i="1" s="1"/>
  <c r="W23" i="4"/>
  <c r="S6" i="1" s="1"/>
  <c r="O9" i="1"/>
  <c r="O8" i="1"/>
  <c r="S24" i="4"/>
  <c r="O6" i="1" s="1"/>
  <c r="B125" i="2"/>
  <c r="B127" i="2"/>
  <c r="B123" i="2"/>
  <c r="B121" i="2"/>
  <c r="B122" i="2"/>
  <c r="B119" i="2"/>
  <c r="B120" i="2"/>
  <c r="B118" i="2"/>
  <c r="B117" i="2"/>
  <c r="B116" i="2"/>
  <c r="B115" i="2"/>
  <c r="B114" i="2"/>
  <c r="B111" i="2"/>
  <c r="B112" i="2"/>
  <c r="B110" i="2"/>
  <c r="B113" i="2"/>
  <c r="B109" i="2"/>
  <c r="B108" i="2"/>
  <c r="B107" i="2"/>
  <c r="B106" i="2"/>
  <c r="B102" i="2"/>
  <c r="B105" i="2"/>
  <c r="B104" i="2"/>
  <c r="B101" i="2"/>
  <c r="B103" i="2"/>
  <c r="B92" i="2"/>
  <c r="B91" i="2"/>
  <c r="B99" i="2"/>
  <c r="B95" i="2"/>
  <c r="B93" i="2"/>
  <c r="B97" i="2"/>
  <c r="B98" i="2"/>
  <c r="B94" i="2"/>
  <c r="B100" i="2"/>
  <c r="B96" i="2"/>
  <c r="B90" i="2"/>
  <c r="B89" i="2"/>
  <c r="B88" i="2"/>
  <c r="B87" i="2"/>
  <c r="B86" i="2"/>
  <c r="B83" i="2"/>
  <c r="B84" i="2"/>
  <c r="B85" i="2"/>
  <c r="B81" i="2"/>
  <c r="B82" i="2"/>
  <c r="B80" i="2"/>
  <c r="B79" i="2"/>
  <c r="B78" i="2"/>
  <c r="B77" i="2"/>
  <c r="B75" i="2"/>
  <c r="B76" i="2"/>
  <c r="B74" i="2"/>
  <c r="B73" i="2"/>
  <c r="B72" i="2"/>
  <c r="B71" i="2"/>
  <c r="B70" i="2"/>
  <c r="B67" i="2"/>
  <c r="B68" i="2"/>
  <c r="B69" i="2"/>
  <c r="B66" i="2"/>
  <c r="B65" i="2"/>
  <c r="B61" i="2"/>
  <c r="B63" i="2"/>
  <c r="B64" i="2"/>
  <c r="B62" i="2"/>
  <c r="B60" i="2"/>
  <c r="B59" i="2"/>
  <c r="B58" i="2"/>
  <c r="B56" i="2"/>
  <c r="B57" i="2"/>
  <c r="B54" i="2"/>
  <c r="B55" i="2"/>
  <c r="B50" i="2"/>
  <c r="B48" i="2"/>
  <c r="B49" i="2"/>
  <c r="B53" i="2"/>
  <c r="B52" i="2"/>
  <c r="B51" i="2"/>
  <c r="B44" i="2"/>
  <c r="B46" i="2"/>
  <c r="B47" i="2"/>
  <c r="B45" i="2"/>
  <c r="B41" i="2"/>
  <c r="B36" i="2"/>
  <c r="B37" i="2"/>
  <c r="B39" i="2"/>
  <c r="B40" i="2"/>
  <c r="B43" i="2"/>
  <c r="B42" i="2"/>
  <c r="B35" i="2"/>
  <c r="B33" i="2"/>
  <c r="B34" i="2"/>
  <c r="B38" i="2"/>
  <c r="B29" i="2"/>
  <c r="B32" i="2"/>
  <c r="B30" i="2"/>
  <c r="B31" i="2"/>
  <c r="B27" i="2"/>
  <c r="B28" i="2"/>
  <c r="B14" i="2"/>
  <c r="B13" i="2"/>
  <c r="B15" i="2"/>
  <c r="B17" i="2"/>
  <c r="B16" i="2"/>
  <c r="B23" i="2"/>
  <c r="B18" i="2"/>
  <c r="B20" i="2"/>
  <c r="B21" i="2"/>
  <c r="B19" i="2"/>
  <c r="B22" i="2"/>
  <c r="B24" i="2"/>
  <c r="B25" i="2"/>
  <c r="B26" i="2"/>
  <c r="B3" i="2"/>
  <c r="B4" i="2"/>
  <c r="B5" i="2"/>
  <c r="B6" i="2"/>
  <c r="B7" i="2"/>
  <c r="B10" i="2"/>
  <c r="B11" i="2"/>
  <c r="B9" i="2"/>
  <c r="B12" i="2"/>
  <c r="B2" i="2"/>
  <c r="X38" i="4"/>
  <c r="T27" i="4"/>
  <c r="X28" i="4"/>
  <c r="T26" i="4"/>
  <c r="X36" i="4"/>
  <c r="T29" i="4"/>
  <c r="T30" i="4"/>
  <c r="T25" i="4"/>
  <c r="T3" i="4"/>
  <c r="X3" i="4"/>
  <c r="P33" i="4"/>
  <c r="P31" i="4"/>
  <c r="X37" i="4"/>
  <c r="P3" i="4"/>
  <c r="P32" i="4"/>
  <c r="P30" i="4"/>
  <c r="X34" i="4"/>
  <c r="A2197" i="2" l="1"/>
  <c r="A2199" i="2"/>
  <c r="A2198" i="2"/>
  <c r="A2151" i="2"/>
  <c r="A2160" i="2"/>
  <c r="A2176" i="2"/>
  <c r="A2185" i="2"/>
  <c r="A2194" i="2"/>
  <c r="A2158" i="2"/>
  <c r="A2154" i="2"/>
  <c r="A2180" i="2"/>
  <c r="A2190" i="2"/>
  <c r="A2178" i="2"/>
  <c r="A2152" i="2"/>
  <c r="A2186" i="2"/>
  <c r="A2156" i="2"/>
  <c r="A2168" i="2"/>
  <c r="A2184" i="2"/>
  <c r="A2193" i="2"/>
  <c r="A2182" i="2"/>
  <c r="A2157" i="2"/>
  <c r="A2181" i="2"/>
  <c r="A2153" i="2"/>
  <c r="A2188" i="2"/>
  <c r="A2161" i="2"/>
  <c r="A2187" i="2"/>
  <c r="A2169" i="2"/>
  <c r="A2195" i="2"/>
  <c r="A2166" i="2"/>
  <c r="A2175" i="2"/>
  <c r="A2192" i="2"/>
  <c r="A2167" i="2"/>
  <c r="A2159" i="2"/>
  <c r="A2165" i="2"/>
  <c r="A2163" i="2"/>
  <c r="A2172" i="2"/>
  <c r="A2162" i="2"/>
  <c r="A2173" i="2"/>
  <c r="A2183" i="2"/>
  <c r="A2174" i="2"/>
  <c r="A2155" i="2"/>
  <c r="A2164" i="2"/>
  <c r="A2191" i="2"/>
  <c r="A2189" i="2"/>
  <c r="A2179" i="2"/>
  <c r="A2170" i="2"/>
  <c r="A2196" i="2"/>
  <c r="A2177" i="2"/>
  <c r="A2171" i="2"/>
  <c r="W13" i="1"/>
  <c r="X13" i="1" s="1"/>
  <c r="A2119" i="2"/>
  <c r="A2139" i="2"/>
  <c r="A2138" i="2"/>
  <c r="A2143" i="2"/>
  <c r="A2144" i="2"/>
  <c r="A2140" i="2"/>
  <c r="A2142" i="2"/>
  <c r="A2137" i="2"/>
  <c r="A2148" i="2"/>
  <c r="A2145" i="2"/>
  <c r="A2141" i="2"/>
  <c r="A2136" i="2"/>
  <c r="A2149" i="2"/>
  <c r="A2146" i="2"/>
  <c r="A2150" i="2"/>
  <c r="A2147" i="2"/>
  <c r="A2098" i="2"/>
  <c r="A2126" i="2"/>
  <c r="A2124" i="2"/>
  <c r="A2114" i="2"/>
  <c r="A2115" i="2"/>
  <c r="A2107" i="2"/>
  <c r="A2129" i="2"/>
  <c r="A2132" i="2"/>
  <c r="A2117" i="2"/>
  <c r="A2120" i="2"/>
  <c r="A2127" i="2"/>
  <c r="A2121" i="2"/>
  <c r="A2111" i="2"/>
  <c r="A2106" i="2"/>
  <c r="A2109" i="2"/>
  <c r="A2108" i="2"/>
  <c r="A2116" i="2"/>
  <c r="A2122" i="2"/>
  <c r="A2118" i="2"/>
  <c r="A2130" i="2"/>
  <c r="A2125" i="2"/>
  <c r="A2112" i="2"/>
  <c r="A2134" i="2"/>
  <c r="A2128" i="2"/>
  <c r="A2113" i="2"/>
  <c r="A2135" i="2"/>
  <c r="A2131" i="2"/>
  <c r="A2110" i="2"/>
  <c r="A2123" i="2"/>
  <c r="A2133" i="2"/>
  <c r="A2090" i="2"/>
  <c r="A2101" i="2"/>
  <c r="A2089" i="2"/>
  <c r="A2092" i="2"/>
  <c r="A2097" i="2"/>
  <c r="A2093" i="2"/>
  <c r="A2103" i="2"/>
  <c r="A2105" i="2"/>
  <c r="A2095" i="2"/>
  <c r="A2102" i="2"/>
  <c r="A2091" i="2"/>
  <c r="A2100" i="2"/>
  <c r="A2096" i="2"/>
  <c r="A2104" i="2"/>
  <c r="A2094" i="2"/>
  <c r="A2099" i="2"/>
  <c r="A2077" i="2"/>
  <c r="A2078" i="2"/>
  <c r="A2087" i="2"/>
  <c r="A2079" i="2"/>
  <c r="A2085" i="2"/>
  <c r="A2086" i="2"/>
  <c r="A2080" i="2"/>
  <c r="A2084" i="2"/>
  <c r="A2076" i="2"/>
  <c r="A2083" i="2"/>
  <c r="A2075" i="2"/>
  <c r="A2082" i="2"/>
  <c r="A2074" i="2"/>
  <c r="A2081" i="2"/>
  <c r="A2088" i="2"/>
  <c r="A2071" i="2"/>
  <c r="A2072" i="2"/>
  <c r="A2073" i="2"/>
  <c r="A2065" i="2"/>
  <c r="A2066" i="2"/>
  <c r="A2068" i="2"/>
  <c r="A2067" i="2"/>
  <c r="A2064" i="2"/>
  <c r="A2070" i="2"/>
  <c r="A2063" i="2"/>
  <c r="A2069" i="2"/>
  <c r="A2051" i="2"/>
  <c r="A2057" i="2"/>
  <c r="A2056" i="2"/>
  <c r="A2061" i="2"/>
  <c r="A2058" i="2"/>
  <c r="A2062" i="2"/>
  <c r="A2059" i="2"/>
  <c r="A2060" i="2"/>
  <c r="A2052" i="2"/>
  <c r="A2053" i="2"/>
  <c r="A2054" i="2"/>
  <c r="A2055" i="2"/>
  <c r="A1959" i="2"/>
  <c r="A2005" i="2"/>
  <c r="A2049" i="2"/>
  <c r="A2042" i="2"/>
  <c r="A2032" i="2"/>
  <c r="A2044" i="2"/>
  <c r="A2028" i="2"/>
  <c r="A2029" i="2"/>
  <c r="A2040" i="2"/>
  <c r="A2033" i="2"/>
  <c r="A2041" i="2"/>
  <c r="A2035" i="2"/>
  <c r="A2050" i="2"/>
  <c r="A2038" i="2"/>
  <c r="A2031" i="2"/>
  <c r="A2034" i="2"/>
  <c r="A2045" i="2"/>
  <c r="A2037" i="2"/>
  <c r="A2043" i="2"/>
  <c r="A2046" i="2"/>
  <c r="A2039" i="2"/>
  <c r="A2027" i="2"/>
  <c r="A2047" i="2"/>
  <c r="A2048" i="2"/>
  <c r="A2030" i="2"/>
  <c r="A2036" i="2"/>
  <c r="A2025" i="2"/>
  <c r="A2022" i="2"/>
  <c r="A2023" i="2"/>
  <c r="A2026" i="2"/>
  <c r="A2024" i="2"/>
  <c r="A2008" i="2"/>
  <c r="A2014" i="2"/>
  <c r="A1996" i="2"/>
  <c r="A2015" i="2"/>
  <c r="A2006" i="2"/>
  <c r="A2000" i="2"/>
  <c r="A2004" i="2"/>
  <c r="A2011" i="2"/>
  <c r="A2017" i="2"/>
  <c r="A2010" i="2"/>
  <c r="A2019" i="2"/>
  <c r="A2009" i="2"/>
  <c r="A2013" i="2"/>
  <c r="A2001" i="2"/>
  <c r="A2020" i="2"/>
  <c r="A1998" i="2"/>
  <c r="A2003" i="2"/>
  <c r="A2012" i="2"/>
  <c r="A1997" i="2"/>
  <c r="A2016" i="2"/>
  <c r="A1995" i="2"/>
  <c r="A2007" i="2"/>
  <c r="A2002" i="2"/>
  <c r="A1994" i="2"/>
  <c r="A2021" i="2"/>
  <c r="A1999" i="2"/>
  <c r="A2018" i="2"/>
  <c r="A1991" i="2"/>
  <c r="A1992" i="2"/>
  <c r="A1993" i="2"/>
  <c r="A1968" i="2"/>
  <c r="A1954" i="2"/>
  <c r="A1973" i="2"/>
  <c r="A1989" i="2"/>
  <c r="A1987" i="2"/>
  <c r="A1977" i="2"/>
  <c r="A1975" i="2"/>
  <c r="A1969" i="2"/>
  <c r="A1974" i="2"/>
  <c r="A1979" i="2"/>
  <c r="A1981" i="2"/>
  <c r="A1982" i="2"/>
  <c r="A1976" i="2"/>
  <c r="A1972" i="2"/>
  <c r="A1990" i="2"/>
  <c r="A1971" i="2"/>
  <c r="A1983" i="2"/>
  <c r="A1984" i="2"/>
  <c r="A1985" i="2"/>
  <c r="A1986" i="2"/>
  <c r="A1978" i="2"/>
  <c r="A1988" i="2"/>
  <c r="A1970" i="2"/>
  <c r="A1980" i="2"/>
  <c r="A1956" i="2"/>
  <c r="A1962" i="2"/>
  <c r="A1966" i="2"/>
  <c r="A1957" i="2"/>
  <c r="A1961" i="2"/>
  <c r="A1964" i="2"/>
  <c r="A1953" i="2"/>
  <c r="A1967" i="2"/>
  <c r="A1958" i="2"/>
  <c r="A1963" i="2"/>
  <c r="A1960" i="2"/>
  <c r="A1955" i="2"/>
  <c r="A1965" i="2"/>
  <c r="A1922" i="2"/>
  <c r="A1933" i="2"/>
  <c r="A1936" i="2"/>
  <c r="A1930" i="2"/>
  <c r="A1939" i="2"/>
  <c r="A1941" i="2"/>
  <c r="A1944" i="2"/>
  <c r="A1948" i="2"/>
  <c r="A1935" i="2"/>
  <c r="A1943" i="2"/>
  <c r="A1929" i="2"/>
  <c r="A1938" i="2"/>
  <c r="A1940" i="2"/>
  <c r="A1942" i="2"/>
  <c r="A1927" i="2"/>
  <c r="A1932" i="2"/>
  <c r="A1945" i="2"/>
  <c r="A1937" i="2"/>
  <c r="A1931" i="2"/>
  <c r="A1952" i="2"/>
  <c r="A1947" i="2"/>
  <c r="A1946" i="2"/>
  <c r="A1950" i="2"/>
  <c r="A1951" i="2"/>
  <c r="A1934" i="2"/>
  <c r="A1926" i="2"/>
  <c r="A1928" i="2"/>
  <c r="A1949" i="2"/>
  <c r="A2" i="2"/>
  <c r="A1920" i="2"/>
  <c r="A1914" i="2"/>
  <c r="A1919" i="2"/>
  <c r="A1924" i="2"/>
  <c r="A1915" i="2"/>
  <c r="A1846" i="2"/>
  <c r="A1917" i="2"/>
  <c r="A1923" i="2"/>
  <c r="A1913" i="2"/>
  <c r="A1918" i="2"/>
  <c r="A1921" i="2"/>
  <c r="A1925" i="2"/>
  <c r="A1916" i="2"/>
  <c r="A1852" i="2"/>
  <c r="A1845" i="2"/>
  <c r="A1903" i="2"/>
  <c r="A1912" i="2"/>
  <c r="A1890" i="2"/>
  <c r="A1908" i="2"/>
  <c r="A1893" i="2"/>
  <c r="A1904" i="2"/>
  <c r="A1910" i="2"/>
  <c r="A1901" i="2"/>
  <c r="A1911" i="2"/>
  <c r="A1894" i="2"/>
  <c r="A1907" i="2"/>
  <c r="A1897" i="2"/>
  <c r="A1905" i="2"/>
  <c r="A1900" i="2"/>
  <c r="A1896" i="2"/>
  <c r="A1909" i="2"/>
  <c r="A1898" i="2"/>
  <c r="A1895" i="2"/>
  <c r="A1902" i="2"/>
  <c r="A1906" i="2"/>
  <c r="A1892" i="2"/>
  <c r="A1891" i="2"/>
  <c r="A1899" i="2"/>
  <c r="A1889" i="2"/>
  <c r="A1885" i="2"/>
  <c r="A1888" i="2"/>
  <c r="A1887" i="2"/>
  <c r="A1882" i="2"/>
  <c r="A1884" i="2"/>
  <c r="A1886" i="2"/>
  <c r="A1883" i="2"/>
  <c r="A1881" i="2"/>
  <c r="A1879" i="2"/>
  <c r="A1872" i="2"/>
  <c r="A1876" i="2"/>
  <c r="A1878" i="2"/>
  <c r="A1880" i="2"/>
  <c r="A1877" i="2"/>
  <c r="A1875" i="2"/>
  <c r="A1873" i="2"/>
  <c r="A1861" i="2"/>
  <c r="A1874" i="2"/>
  <c r="A1868" i="2"/>
  <c r="A1871" i="2"/>
  <c r="A1869" i="2"/>
  <c r="A1870" i="2"/>
  <c r="A1867" i="2"/>
  <c r="A1864" i="2"/>
  <c r="A1866" i="2"/>
  <c r="A1865" i="2"/>
  <c r="A1862" i="2"/>
  <c r="A1860" i="2"/>
  <c r="A1863" i="2"/>
  <c r="A1837" i="2"/>
  <c r="A1859" i="2"/>
  <c r="A1858" i="2"/>
  <c r="A1857" i="2"/>
  <c r="A1856" i="2"/>
  <c r="A1855" i="2"/>
  <c r="A1851" i="2"/>
  <c r="A1835" i="2"/>
  <c r="A1850" i="2"/>
  <c r="A1854" i="2"/>
  <c r="A1836" i="2"/>
  <c r="A1853" i="2"/>
  <c r="A1833" i="2"/>
  <c r="A1834" i="2"/>
  <c r="A1841" i="2"/>
  <c r="A1842" i="2"/>
  <c r="A1840" i="2"/>
  <c r="A1843" i="2"/>
  <c r="A1844" i="2"/>
  <c r="A1839" i="2"/>
  <c r="A1847" i="2"/>
  <c r="A1838" i="2"/>
  <c r="A1849" i="2"/>
  <c r="A1848" i="2"/>
  <c r="A1827" i="2"/>
  <c r="A1825" i="2"/>
  <c r="A1828" i="2"/>
  <c r="A1829" i="2"/>
  <c r="A1826" i="2"/>
  <c r="A1830" i="2"/>
  <c r="A1831" i="2"/>
  <c r="A1832" i="2"/>
  <c r="A1820" i="2"/>
  <c r="A1821" i="2"/>
  <c r="A1822" i="2"/>
  <c r="A1823" i="2"/>
  <c r="A1824" i="2"/>
  <c r="A1806" i="2"/>
  <c r="A1814" i="2"/>
  <c r="A1799" i="2"/>
  <c r="A1807" i="2"/>
  <c r="A1800" i="2"/>
  <c r="A1808" i="2"/>
  <c r="A1815" i="2"/>
  <c r="A1801" i="2"/>
  <c r="A1809" i="2"/>
  <c r="A1816" i="2"/>
  <c r="A1802" i="2"/>
  <c r="A1810" i="2"/>
  <c r="A1803" i="2"/>
  <c r="A1811" i="2"/>
  <c r="A1817" i="2"/>
  <c r="A1798" i="2"/>
  <c r="A1804" i="2"/>
  <c r="A1812" i="2"/>
  <c r="A1818" i="2"/>
  <c r="A1797" i="2"/>
  <c r="A1805" i="2"/>
  <c r="A1813" i="2"/>
  <c r="A1819" i="2"/>
  <c r="A1782" i="2"/>
  <c r="A1767" i="2"/>
  <c r="A1783" i="2"/>
  <c r="A1791" i="2"/>
  <c r="A1760" i="2"/>
  <c r="A1768" i="2"/>
  <c r="A1776" i="2"/>
  <c r="A1784" i="2"/>
  <c r="A1792" i="2"/>
  <c r="A1761" i="2"/>
  <c r="A1769" i="2"/>
  <c r="A1777" i="2"/>
  <c r="A1785" i="2"/>
  <c r="A1793" i="2"/>
  <c r="A1762" i="2"/>
  <c r="A1770" i="2"/>
  <c r="A1778" i="2"/>
  <c r="A1786" i="2"/>
  <c r="A1794" i="2"/>
  <c r="A1774" i="2"/>
  <c r="A1775" i="2"/>
  <c r="A1763" i="2"/>
  <c r="A1771" i="2"/>
  <c r="A1779" i="2"/>
  <c r="A1787" i="2"/>
  <c r="A1795" i="2"/>
  <c r="A1766" i="2"/>
  <c r="A1764" i="2"/>
  <c r="A1772" i="2"/>
  <c r="A1780" i="2"/>
  <c r="A1788" i="2"/>
  <c r="A1796" i="2"/>
  <c r="A1790" i="2"/>
  <c r="A1765" i="2"/>
  <c r="A1773" i="2"/>
  <c r="A1781" i="2"/>
  <c r="A1789" i="2"/>
  <c r="A1753" i="2"/>
  <c r="A1746" i="2"/>
  <c r="A1754" i="2"/>
  <c r="A1745" i="2"/>
  <c r="A1747" i="2"/>
  <c r="A1755" i="2"/>
  <c r="A1752" i="2"/>
  <c r="A1756" i="2"/>
  <c r="A1749" i="2"/>
  <c r="A1757" i="2"/>
  <c r="A1748" i="2"/>
  <c r="A1750" i="2"/>
  <c r="A1758" i="2"/>
  <c r="A1751" i="2"/>
  <c r="A1759" i="2"/>
  <c r="A1739" i="2"/>
  <c r="A1736" i="2"/>
  <c r="A1737" i="2"/>
  <c r="A1738" i="2"/>
  <c r="A1740" i="2"/>
  <c r="A1741" i="2"/>
  <c r="A1742" i="2"/>
  <c r="A1743" i="2"/>
  <c r="A1744" i="2"/>
  <c r="A1716" i="2"/>
  <c r="A1717" i="2"/>
  <c r="A1718" i="2"/>
  <c r="A1719" i="2"/>
  <c r="A1720" i="2"/>
  <c r="A1721" i="2"/>
  <c r="A1722" i="2"/>
  <c r="A1723" i="2"/>
  <c r="A1724" i="2"/>
  <c r="A1725" i="2"/>
  <c r="A1726" i="2"/>
  <c r="A1727" i="2"/>
  <c r="A1728" i="2"/>
  <c r="A1729" i="2"/>
  <c r="A1730" i="2"/>
  <c r="A1731" i="2"/>
  <c r="A1732" i="2"/>
  <c r="A1733" i="2"/>
  <c r="A1734" i="2"/>
  <c r="A1715" i="2"/>
  <c r="A1735" i="2"/>
  <c r="A1702" i="2"/>
  <c r="A1704" i="2"/>
  <c r="A1705" i="2"/>
  <c r="A1706" i="2"/>
  <c r="A1708" i="2"/>
  <c r="A1709" i="2"/>
  <c r="A1707" i="2"/>
  <c r="A1710" i="2"/>
  <c r="A1711" i="2"/>
  <c r="A1712" i="2"/>
  <c r="A1701" i="2"/>
  <c r="A1713" i="2"/>
  <c r="A1703" i="2"/>
  <c r="A1714" i="2"/>
  <c r="A1697" i="2"/>
  <c r="A1698" i="2"/>
  <c r="A1699" i="2"/>
  <c r="A1700" i="2"/>
  <c r="A1689" i="2"/>
  <c r="A1694" i="2"/>
  <c r="A1695" i="2"/>
  <c r="A1696" i="2"/>
  <c r="A1688" i="2"/>
  <c r="A1690" i="2"/>
  <c r="A1691" i="2"/>
  <c r="A1692" i="2"/>
  <c r="A1693" i="2"/>
  <c r="A1685" i="2"/>
  <c r="A1686" i="2"/>
  <c r="A1687" i="2"/>
  <c r="A1677" i="2"/>
  <c r="A1678" i="2"/>
  <c r="A1679" i="2"/>
  <c r="A1680" i="2"/>
  <c r="A1658" i="2"/>
  <c r="A1681" i="2"/>
  <c r="A1659" i="2"/>
  <c r="A1682" i="2"/>
  <c r="A1683" i="2"/>
  <c r="A1676" i="2"/>
  <c r="A1684" i="2"/>
  <c r="A1638" i="2"/>
  <c r="A1660" i="2"/>
  <c r="A1661" i="2"/>
  <c r="A1663" i="2"/>
  <c r="A1664" i="2"/>
  <c r="A1665" i="2"/>
  <c r="A1666" i="2"/>
  <c r="A1667" i="2"/>
  <c r="A1668" i="2"/>
  <c r="A1649" i="2"/>
  <c r="A1669" i="2"/>
  <c r="A1650" i="2"/>
  <c r="A1670" i="2"/>
  <c r="A1651" i="2"/>
  <c r="A1671" i="2"/>
  <c r="A1652" i="2"/>
  <c r="A1672" i="2"/>
  <c r="A1643" i="2"/>
  <c r="A1646" i="2"/>
  <c r="A1653" i="2"/>
  <c r="A1655" i="2"/>
  <c r="A1675" i="2"/>
  <c r="A1640" i="2"/>
  <c r="A1662" i="2"/>
  <c r="A1644" i="2"/>
  <c r="A1647" i="2"/>
  <c r="A1648" i="2"/>
  <c r="A1674" i="2"/>
  <c r="A1656" i="2"/>
  <c r="A1639" i="2"/>
  <c r="A1641" i="2"/>
  <c r="A1642" i="2"/>
  <c r="A1645" i="2"/>
  <c r="A1673" i="2"/>
  <c r="A1654" i="2"/>
  <c r="A1637" i="2"/>
  <c r="A1657" i="2"/>
  <c r="A1629" i="2"/>
  <c r="A1630" i="2"/>
  <c r="A1631" i="2"/>
  <c r="A1632" i="2"/>
  <c r="A1633" i="2"/>
  <c r="A1634" i="2"/>
  <c r="A1635" i="2"/>
  <c r="A1636" i="2"/>
  <c r="A1625" i="2"/>
  <c r="A1624" i="2"/>
  <c r="A1626" i="2"/>
  <c r="A1627" i="2"/>
  <c r="A1628" i="2"/>
  <c r="A1615" i="2"/>
  <c r="A1616" i="2"/>
  <c r="A1617" i="2"/>
  <c r="A1618" i="2"/>
  <c r="A1620" i="2"/>
  <c r="A1621" i="2"/>
  <c r="A1619" i="2"/>
  <c r="A1622" i="2"/>
  <c r="A1623" i="2"/>
  <c r="A1607" i="2"/>
  <c r="A1608" i="2"/>
  <c r="A1606" i="2"/>
  <c r="A1609" i="2"/>
  <c r="A1610" i="2"/>
  <c r="A1611" i="2"/>
  <c r="A1612" i="2"/>
  <c r="A1613" i="2"/>
  <c r="A1614" i="2"/>
  <c r="A1590" i="2"/>
  <c r="A1591" i="2"/>
  <c r="A1592" i="2"/>
  <c r="A1594" i="2"/>
  <c r="A1595" i="2"/>
  <c r="A1596" i="2"/>
  <c r="A1597" i="2"/>
  <c r="A1582" i="2"/>
  <c r="A1583" i="2"/>
  <c r="A1601" i="2"/>
  <c r="A1581" i="2"/>
  <c r="A1599" i="2"/>
  <c r="A1600" i="2"/>
  <c r="A1584" i="2"/>
  <c r="A1602" i="2"/>
  <c r="A1585" i="2"/>
  <c r="A1604" i="2"/>
  <c r="A1587" i="2"/>
  <c r="A1605" i="2"/>
  <c r="A1593" i="2"/>
  <c r="A1598" i="2"/>
  <c r="A1603" i="2"/>
  <c r="A1586" i="2"/>
  <c r="A1588" i="2"/>
  <c r="A1589" i="2"/>
  <c r="A1578" i="2"/>
  <c r="A1579" i="2"/>
  <c r="A1580" i="2"/>
  <c r="A1567" i="2"/>
  <c r="A1566" i="2"/>
  <c r="A1570" i="2"/>
  <c r="A1568" i="2"/>
  <c r="A1571" i="2"/>
  <c r="A1573" i="2"/>
  <c r="A1575" i="2"/>
  <c r="A1572" i="2"/>
  <c r="A1574" i="2"/>
  <c r="A1576" i="2"/>
  <c r="A1569" i="2"/>
  <c r="A1577" i="2"/>
  <c r="A1557" i="2"/>
  <c r="A1558" i="2"/>
  <c r="A1559" i="2"/>
  <c r="A1561" i="2"/>
  <c r="A1562" i="2"/>
  <c r="A1563" i="2"/>
  <c r="A1564" i="2"/>
  <c r="A1560" i="2"/>
  <c r="A1565" i="2"/>
  <c r="A1549" i="2"/>
  <c r="A1550" i="2"/>
  <c r="A1551" i="2"/>
  <c r="A1552" i="2"/>
  <c r="A1553" i="2"/>
  <c r="A1554" i="2"/>
  <c r="A1555" i="2"/>
  <c r="A1556" i="2"/>
  <c r="A1536" i="2"/>
  <c r="A1526" i="2"/>
  <c r="A1534" i="2"/>
  <c r="A1541" i="2"/>
  <c r="A1527" i="2"/>
  <c r="A1535" i="2"/>
  <c r="A1542" i="2"/>
  <c r="A1543" i="2"/>
  <c r="A1529" i="2"/>
  <c r="A1544" i="2"/>
  <c r="A1528" i="2"/>
  <c r="A1530" i="2"/>
  <c r="A1537" i="2"/>
  <c r="A1545" i="2"/>
  <c r="A1531" i="2"/>
  <c r="A1538" i="2"/>
  <c r="A1546" i="2"/>
  <c r="A1532" i="2"/>
  <c r="A1539" i="2"/>
  <c r="A1547" i="2"/>
  <c r="A1525" i="2"/>
  <c r="A1533" i="2"/>
  <c r="A1540" i="2"/>
  <c r="A1548" i="2"/>
  <c r="B6" i="5"/>
  <c r="A1523" i="2"/>
  <c r="A1522" i="2"/>
  <c r="A1524" i="2"/>
  <c r="B7" i="5"/>
  <c r="C7" i="5"/>
  <c r="B12" i="5"/>
  <c r="B20" i="5" s="1"/>
  <c r="B28" i="5" s="1"/>
  <c r="B36" i="5" s="1"/>
  <c r="B44" i="5" s="1"/>
  <c r="C44" i="5" s="1"/>
  <c r="B9" i="5"/>
  <c r="C5" i="5"/>
  <c r="A1520" i="2"/>
  <c r="A1521" i="2"/>
  <c r="AG13" i="4" a="1"/>
  <c r="AG13" i="4" s="1"/>
  <c r="AG12" i="4" s="1"/>
  <c r="A264" i="2"/>
  <c r="A1518" i="2"/>
  <c r="A1519" i="2"/>
  <c r="A1516" i="2"/>
  <c r="A1517" i="2"/>
  <c r="A199" i="2"/>
  <c r="A527" i="2"/>
  <c r="A1034" i="2"/>
  <c r="A497" i="2"/>
  <c r="A883" i="2"/>
  <c r="A11" i="2"/>
  <c r="A129" i="2"/>
  <c r="A1438" i="2"/>
  <c r="A334" i="2"/>
  <c r="A359" i="2"/>
  <c r="A1453" i="2"/>
  <c r="A285" i="2"/>
  <c r="A1492" i="2"/>
  <c r="A784" i="2"/>
  <c r="A704" i="2"/>
  <c r="A813" i="2"/>
  <c r="A1514" i="2"/>
  <c r="A1243" i="2"/>
  <c r="A468" i="2"/>
  <c r="A1515" i="2"/>
  <c r="AG18" i="4"/>
  <c r="AG17" i="4"/>
  <c r="A1217" i="2"/>
  <c r="A1494" i="2"/>
  <c r="A249" i="2"/>
  <c r="A854" i="2"/>
  <c r="A911" i="2"/>
  <c r="A23" i="2"/>
  <c r="A82" i="2"/>
  <c r="A660" i="2"/>
  <c r="A140" i="2"/>
  <c r="A816" i="2"/>
  <c r="A12" i="2"/>
  <c r="A1471" i="2"/>
  <c r="A891" i="2"/>
  <c r="A62" i="2"/>
  <c r="A179" i="2"/>
  <c r="A448" i="2"/>
  <c r="A719" i="2"/>
  <c r="A1244" i="2"/>
  <c r="A994" i="2"/>
  <c r="A3" i="2"/>
  <c r="A168" i="2"/>
  <c r="A1476" i="2"/>
  <c r="A872" i="2"/>
  <c r="A951" i="2"/>
  <c r="A37" i="2"/>
  <c r="A103" i="2"/>
  <c r="A526" i="2"/>
  <c r="A309" i="2"/>
  <c r="A797" i="2"/>
  <c r="A1215" i="2"/>
  <c r="A1495" i="2"/>
  <c r="A929" i="2"/>
  <c r="A992" i="2"/>
  <c r="A1044" i="2"/>
  <c r="A1107" i="2"/>
  <c r="A1140" i="2"/>
  <c r="A1219" i="2"/>
  <c r="A1277" i="2"/>
  <c r="A1357" i="2"/>
  <c r="A1398" i="2"/>
  <c r="A1497" i="2"/>
  <c r="A1437" i="2"/>
  <c r="A122" i="2"/>
  <c r="A196" i="2"/>
  <c r="A256" i="2"/>
  <c r="A296" i="2"/>
  <c r="A373" i="2"/>
  <c r="A385" i="2"/>
  <c r="A469" i="2"/>
  <c r="A507" i="2"/>
  <c r="A564" i="2"/>
  <c r="A645" i="2"/>
  <c r="A698" i="2"/>
  <c r="A739" i="2"/>
  <c r="A817" i="2"/>
  <c r="A837" i="2"/>
  <c r="A930" i="2"/>
  <c r="A971" i="2"/>
  <c r="A1009" i="2"/>
  <c r="A1068" i="2"/>
  <c r="A1108" i="2"/>
  <c r="A1187" i="2"/>
  <c r="A1227" i="2"/>
  <c r="A1261" i="2"/>
  <c r="A1340" i="2"/>
  <c r="A1360" i="2"/>
  <c r="A1378" i="2"/>
  <c r="A1498" i="2"/>
  <c r="A237" i="2"/>
  <c r="A64" i="2"/>
  <c r="A121" i="2"/>
  <c r="A200" i="2"/>
  <c r="A240" i="2"/>
  <c r="A321" i="2"/>
  <c r="A370" i="2"/>
  <c r="A433" i="2"/>
  <c r="A470" i="2"/>
  <c r="A506" i="2"/>
  <c r="A587" i="2"/>
  <c r="A623" i="2"/>
  <c r="A679" i="2"/>
  <c r="A757" i="2"/>
  <c r="A835" i="2"/>
  <c r="A896" i="2"/>
  <c r="A950" i="2"/>
  <c r="A1014" i="2"/>
  <c r="A1069" i="2"/>
  <c r="A1089" i="2"/>
  <c r="A1166" i="2"/>
  <c r="A1204" i="2"/>
  <c r="A1263" i="2"/>
  <c r="A1341" i="2"/>
  <c r="A1361" i="2"/>
  <c r="A1381" i="2"/>
  <c r="A779" i="2"/>
  <c r="A616" i="2"/>
  <c r="A274" i="2"/>
  <c r="A360" i="2"/>
  <c r="A855" i="2"/>
  <c r="A399" i="2"/>
  <c r="A1401" i="2"/>
  <c r="A61" i="2"/>
  <c r="A542" i="2"/>
  <c r="A586" i="2"/>
  <c r="A782" i="2"/>
  <c r="A1403" i="2"/>
  <c r="A382" i="2"/>
  <c r="A102" i="2"/>
  <c r="A342" i="2"/>
  <c r="A743" i="2"/>
  <c r="A839" i="2"/>
  <c r="A1282" i="2"/>
  <c r="A1402" i="2"/>
  <c r="A1477" i="2"/>
  <c r="A276" i="2"/>
  <c r="A141" i="2"/>
  <c r="A666" i="2"/>
  <c r="A1404" i="2"/>
  <c r="A804" i="2"/>
  <c r="A54" i="2"/>
  <c r="A375" i="2"/>
  <c r="A727" i="2"/>
  <c r="A1113" i="2"/>
  <c r="A833" i="2"/>
  <c r="A1255" i="2"/>
  <c r="A1054" i="2"/>
  <c r="A260" i="2"/>
  <c r="A1191" i="2"/>
  <c r="A1075" i="2"/>
  <c r="A1183" i="2"/>
  <c r="A752" i="2"/>
  <c r="A969" i="2"/>
  <c r="A1088" i="2"/>
  <c r="A1201" i="2"/>
  <c r="A1338" i="2"/>
  <c r="A1480" i="2"/>
  <c r="A160" i="2"/>
  <c r="A273" i="2"/>
  <c r="A411" i="2"/>
  <c r="A582" i="2"/>
  <c r="A716" i="2"/>
  <c r="A852" i="2"/>
  <c r="A988" i="2"/>
  <c r="A1125" i="2"/>
  <c r="A1242" i="2"/>
  <c r="A1439" i="2"/>
  <c r="A1207" i="2"/>
  <c r="A101" i="2"/>
  <c r="A255" i="2"/>
  <c r="A390" i="2"/>
  <c r="A485" i="2"/>
  <c r="A650" i="2"/>
  <c r="A778" i="2"/>
  <c r="A972" i="2"/>
  <c r="A1109" i="2"/>
  <c r="A1226" i="2"/>
  <c r="A1440" i="2"/>
  <c r="A319" i="2"/>
  <c r="A566" i="2"/>
  <c r="A1038" i="2"/>
  <c r="A253" i="2"/>
  <c r="A799" i="2"/>
  <c r="A136" i="2"/>
  <c r="A1073" i="2"/>
  <c r="A824" i="2"/>
  <c r="A345" i="2"/>
  <c r="A1312" i="2"/>
  <c r="A530" i="2"/>
  <c r="A212" i="2"/>
  <c r="A318" i="2"/>
  <c r="A791" i="2"/>
  <c r="A393" i="2"/>
  <c r="A1008" i="2"/>
  <c r="A1122" i="2"/>
  <c r="A1264" i="2"/>
  <c r="A1379" i="2"/>
  <c r="A1022" i="2"/>
  <c r="A222" i="2"/>
  <c r="A338" i="2"/>
  <c r="A490" i="2"/>
  <c r="A622" i="2"/>
  <c r="A775" i="2"/>
  <c r="A894" i="2"/>
  <c r="A1048" i="2"/>
  <c r="A1165" i="2"/>
  <c r="A1298" i="2"/>
  <c r="A1400" i="2"/>
  <c r="A36" i="2"/>
  <c r="A178" i="2"/>
  <c r="A297" i="2"/>
  <c r="A452" i="2"/>
  <c r="A607" i="2"/>
  <c r="A738" i="2"/>
  <c r="A935" i="2"/>
  <c r="A1050" i="2"/>
  <c r="A1188" i="2"/>
  <c r="A1317" i="2"/>
  <c r="A1460" i="2"/>
  <c r="A1407" i="2"/>
  <c r="A1342" i="2"/>
  <c r="A45" i="2"/>
  <c r="A933" i="2"/>
  <c r="A624" i="2"/>
  <c r="A1363" i="2"/>
  <c r="A642" i="2"/>
  <c r="A840" i="2"/>
  <c r="A551" i="2"/>
  <c r="A801" i="2"/>
  <c r="A943" i="2"/>
  <c r="A602" i="2"/>
  <c r="A522" i="2"/>
  <c r="A1067" i="2"/>
  <c r="A1186" i="2"/>
  <c r="A1319" i="2"/>
  <c r="A1458" i="2"/>
  <c r="A238" i="2"/>
  <c r="A358" i="2"/>
  <c r="A545" i="2"/>
  <c r="A681" i="2"/>
  <c r="A796" i="2"/>
  <c r="A949" i="2"/>
  <c r="A1087" i="2"/>
  <c r="A1203" i="2"/>
  <c r="A1320" i="2"/>
  <c r="A1459" i="2"/>
  <c r="A440" i="2"/>
  <c r="A16" i="2"/>
  <c r="A541" i="2"/>
  <c r="A1132" i="2"/>
  <c r="A1362" i="2"/>
  <c r="A1257" i="2"/>
  <c r="A478" i="2"/>
  <c r="A157" i="2"/>
  <c r="A270" i="2"/>
  <c r="A410" i="2"/>
  <c r="A567" i="2"/>
  <c r="A702" i="2"/>
  <c r="A871" i="2"/>
  <c r="A1029" i="2"/>
  <c r="A1150" i="2"/>
  <c r="A1301" i="2"/>
  <c r="A1420" i="2"/>
  <c r="A17" i="2"/>
  <c r="A1090" i="2"/>
  <c r="A686" i="2"/>
  <c r="A219" i="2"/>
  <c r="A1303" i="2"/>
  <c r="A218" i="2"/>
  <c r="A815" i="2"/>
  <c r="A1018" i="2"/>
  <c r="A706" i="2"/>
  <c r="A329" i="2"/>
  <c r="A1405" i="2"/>
  <c r="A323" i="2"/>
  <c r="A420" i="2"/>
  <c r="A513" i="2"/>
  <c r="A339" i="2"/>
  <c r="A1496" i="2"/>
  <c r="A1027" i="2"/>
  <c r="A1163" i="2"/>
  <c r="A1299" i="2"/>
  <c r="A1418" i="2"/>
  <c r="A137" i="2"/>
  <c r="A320" i="2"/>
  <c r="A432" i="2"/>
  <c r="A603" i="2"/>
  <c r="A754" i="2"/>
  <c r="A870" i="2"/>
  <c r="A1028" i="2"/>
  <c r="A1147" i="2"/>
  <c r="A1281" i="2"/>
  <c r="A1419" i="2"/>
  <c r="A445" i="2"/>
  <c r="A81" i="2"/>
  <c r="A220" i="2"/>
  <c r="A337" i="2"/>
  <c r="A547" i="2"/>
  <c r="A659" i="2"/>
  <c r="A853" i="2"/>
  <c r="A989" i="2"/>
  <c r="A1127" i="2"/>
  <c r="A1279" i="2"/>
  <c r="A1399" i="2"/>
  <c r="A85" i="2"/>
  <c r="A453" i="2"/>
  <c r="A786" i="2"/>
  <c r="A413" i="2"/>
  <c r="A760" i="2"/>
  <c r="A181" i="2"/>
  <c r="A1189" i="2"/>
  <c r="A802" i="2"/>
  <c r="A954" i="2"/>
  <c r="A362" i="2"/>
  <c r="A1286" i="2"/>
  <c r="A336" i="2"/>
  <c r="A26" i="2"/>
  <c r="A505" i="2"/>
  <c r="A1091" i="2"/>
  <c r="A970" i="2"/>
  <c r="A1051" i="2"/>
  <c r="A1148" i="2"/>
  <c r="A1245" i="2"/>
  <c r="A1323" i="2"/>
  <c r="A1441" i="2"/>
  <c r="A124" i="2"/>
  <c r="A868" i="2"/>
  <c r="A1025" i="2"/>
  <c r="A15" i="2"/>
  <c r="A145" i="2"/>
  <c r="A322" i="2"/>
  <c r="A369" i="2"/>
  <c r="A391" i="2"/>
  <c r="A528" i="2"/>
  <c r="A605" i="2"/>
  <c r="A703" i="2"/>
  <c r="A819" i="2"/>
  <c r="A953" i="2"/>
  <c r="A1012" i="2"/>
  <c r="A1169" i="2"/>
  <c r="A1190" i="2"/>
  <c r="A1246" i="2"/>
  <c r="A1343" i="2"/>
  <c r="A1478" i="2"/>
  <c r="A245" i="2"/>
  <c r="A1142" i="2"/>
  <c r="A206" i="2"/>
  <c r="A65" i="2"/>
  <c r="A142" i="2"/>
  <c r="A302" i="2"/>
  <c r="A394" i="2"/>
  <c r="A435" i="2"/>
  <c r="A568" i="2"/>
  <c r="A644" i="2"/>
  <c r="A798" i="2"/>
  <c r="A878" i="2"/>
  <c r="A973" i="2"/>
  <c r="A1052" i="2"/>
  <c r="A1112" i="2"/>
  <c r="A1247" i="2"/>
  <c r="A1322" i="2"/>
  <c r="A1464" i="2"/>
  <c r="A71" i="2"/>
  <c r="A174" i="2"/>
  <c r="A106" i="2"/>
  <c r="A204" i="2"/>
  <c r="A361" i="2"/>
  <c r="A436" i="2"/>
  <c r="A569" i="2"/>
  <c r="A625" i="2"/>
  <c r="A723" i="2"/>
  <c r="A859" i="2"/>
  <c r="A900" i="2"/>
  <c r="A993" i="2"/>
  <c r="A1094" i="2"/>
  <c r="A1130" i="2"/>
  <c r="A1285" i="2"/>
  <c r="A1345" i="2"/>
  <c r="A1387" i="2"/>
  <c r="A836" i="2"/>
  <c r="A1065" i="2"/>
  <c r="A1176" i="2"/>
  <c r="A44" i="2"/>
  <c r="A143" i="2"/>
  <c r="A225" i="2"/>
  <c r="A346" i="2"/>
  <c r="A455" i="2"/>
  <c r="A571" i="2"/>
  <c r="A627" i="2"/>
  <c r="A687" i="2"/>
  <c r="A777" i="2"/>
  <c r="A902" i="2"/>
  <c r="A976" i="2"/>
  <c r="A1072" i="2"/>
  <c r="A1171" i="2"/>
  <c r="A1229" i="2"/>
  <c r="A1324" i="2"/>
  <c r="A1369" i="2"/>
  <c r="A1482" i="2"/>
  <c r="A1184" i="2"/>
  <c r="A1212" i="2"/>
  <c r="A63" i="2"/>
  <c r="A123" i="2"/>
  <c r="A201" i="2"/>
  <c r="A254" i="2"/>
  <c r="A340" i="2"/>
  <c r="A412" i="2"/>
  <c r="A472" i="2"/>
  <c r="A509" i="2"/>
  <c r="A585" i="2"/>
  <c r="A628" i="2"/>
  <c r="A701" i="2"/>
  <c r="A740" i="2"/>
  <c r="A820" i="2"/>
  <c r="A875" i="2"/>
  <c r="A934" i="2"/>
  <c r="A1030" i="2"/>
  <c r="A1126" i="2"/>
  <c r="A1205" i="2"/>
  <c r="A1302" i="2"/>
  <c r="A1339" i="2"/>
  <c r="A1499" i="2"/>
  <c r="A367" i="2"/>
  <c r="A958" i="2"/>
  <c r="A1365" i="2"/>
  <c r="A105" i="2"/>
  <c r="A182" i="2"/>
  <c r="A364" i="2"/>
  <c r="A565" i="2"/>
  <c r="A626" i="2"/>
  <c r="A721" i="2"/>
  <c r="A856" i="2"/>
  <c r="A974" i="2"/>
  <c r="A1049" i="2"/>
  <c r="A1128" i="2"/>
  <c r="A1228" i="2"/>
  <c r="A1283" i="2"/>
  <c r="A1382" i="2"/>
  <c r="A1500" i="2"/>
  <c r="A159" i="2"/>
  <c r="A463" i="2"/>
  <c r="A1364" i="2"/>
  <c r="A125" i="2"/>
  <c r="A165" i="2"/>
  <c r="A371" i="2"/>
  <c r="A415" i="2"/>
  <c r="A510" i="2"/>
  <c r="A608" i="2"/>
  <c r="A781" i="2"/>
  <c r="A898" i="2"/>
  <c r="A955" i="2"/>
  <c r="A1033" i="2"/>
  <c r="A1092" i="2"/>
  <c r="A1224" i="2"/>
  <c r="A1300" i="2"/>
  <c r="A1423" i="2"/>
  <c r="A987" i="2"/>
  <c r="A189" i="2"/>
  <c r="A86" i="2"/>
  <c r="A184" i="2"/>
  <c r="A289" i="2"/>
  <c r="A416" i="2"/>
  <c r="A454" i="2"/>
  <c r="A508" i="2"/>
  <c r="A610" i="2"/>
  <c r="A685" i="2"/>
  <c r="A842" i="2"/>
  <c r="A877" i="2"/>
  <c r="A936" i="2"/>
  <c r="A1074" i="2"/>
  <c r="A1146" i="2"/>
  <c r="A1248" i="2"/>
  <c r="A1305" i="2"/>
  <c r="A1444" i="2"/>
  <c r="A843" i="2"/>
  <c r="A291" i="2"/>
  <c r="A421" i="2"/>
  <c r="A205" i="2"/>
  <c r="A28" i="2"/>
  <c r="A107" i="2"/>
  <c r="A209" i="2"/>
  <c r="A283" i="2"/>
  <c r="A437" i="2"/>
  <c r="A493" i="2"/>
  <c r="A590" i="2"/>
  <c r="A667" i="2"/>
  <c r="A766" i="2"/>
  <c r="A879" i="2"/>
  <c r="A956" i="2"/>
  <c r="A1015" i="2"/>
  <c r="A1129" i="2"/>
  <c r="A1194" i="2"/>
  <c r="A1265" i="2"/>
  <c r="A1346" i="2"/>
  <c r="A1384" i="2"/>
  <c r="A1503" i="2"/>
  <c r="A292" i="2"/>
  <c r="A164" i="2"/>
  <c r="A531" i="2"/>
  <c r="A1093" i="2"/>
  <c r="A1231" i="2"/>
  <c r="A1406" i="2"/>
  <c r="A31" i="2"/>
  <c r="A261" i="2"/>
  <c r="A514" i="2"/>
  <c r="A116" i="2"/>
  <c r="A52" i="2"/>
  <c r="A207" i="2"/>
  <c r="A327" i="2"/>
  <c r="A376" i="2"/>
  <c r="A630" i="2"/>
  <c r="A709" i="2"/>
  <c r="A725" i="2"/>
  <c r="A1097" i="2"/>
  <c r="A1230" i="2"/>
  <c r="A1330" i="2"/>
  <c r="A53" i="2"/>
  <c r="A597" i="2"/>
  <c r="A236" i="2"/>
  <c r="A451" i="2"/>
  <c r="A464" i="2"/>
  <c r="A981" i="2"/>
  <c r="A1292" i="2"/>
  <c r="A288" i="2"/>
  <c r="A647" i="2"/>
  <c r="A1040" i="2"/>
  <c r="A230" i="2"/>
  <c r="A173" i="2"/>
  <c r="A247" i="2"/>
  <c r="A479" i="2"/>
  <c r="A287" i="2"/>
  <c r="A788" i="2"/>
  <c r="A792" i="2"/>
  <c r="A831" i="2"/>
  <c r="A426" i="2"/>
  <c r="A1241" i="2"/>
  <c r="A1216" i="2"/>
  <c r="A903" i="2"/>
  <c r="A621" i="2"/>
  <c r="A38" i="2"/>
  <c r="A198" i="2"/>
  <c r="A144" i="2"/>
  <c r="A300" i="2"/>
  <c r="A430" i="2"/>
  <c r="A606" i="2"/>
  <c r="A720" i="2"/>
  <c r="A897" i="2"/>
  <c r="A1071" i="2"/>
  <c r="A1280" i="2"/>
  <c r="A1031" i="2"/>
  <c r="A722" i="2"/>
  <c r="A202" i="2"/>
  <c r="A471" i="2"/>
  <c r="A682" i="2"/>
  <c r="A915" i="2"/>
  <c r="A1167" i="2"/>
  <c r="A1442" i="2"/>
  <c r="A671" i="2"/>
  <c r="A13" i="2"/>
  <c r="A366" i="2"/>
  <c r="A487" i="2"/>
  <c r="A684" i="2"/>
  <c r="A932" i="2"/>
  <c r="A1131" i="2"/>
  <c r="A1443" i="2"/>
  <c r="A325" i="2"/>
  <c r="A303" i="2"/>
  <c r="A549" i="2"/>
  <c r="A762" i="2"/>
  <c r="A1016" i="2"/>
  <c r="A1225" i="2"/>
  <c r="A1502" i="2"/>
  <c r="A40" i="2"/>
  <c r="A69" i="2"/>
  <c r="A258" i="2"/>
  <c r="A475" i="2"/>
  <c r="A705" i="2"/>
  <c r="A916" i="2"/>
  <c r="A1095" i="2"/>
  <c r="A1304" i="2"/>
  <c r="A697" i="2"/>
  <c r="A1076" i="2"/>
  <c r="A773" i="2"/>
  <c r="A617" i="2"/>
  <c r="A77" i="2"/>
  <c r="A1103" i="2"/>
  <c r="A214" i="2"/>
  <c r="A807" i="2"/>
  <c r="A986" i="2"/>
  <c r="A1350" i="2"/>
  <c r="A1410" i="2"/>
  <c r="A41" i="2"/>
  <c r="A153" i="2"/>
  <c r="A324" i="2"/>
  <c r="A529" i="2"/>
  <c r="A683" i="2"/>
  <c r="A800" i="2"/>
  <c r="A990" i="2"/>
  <c r="A1192" i="2"/>
  <c r="A1380" i="2"/>
  <c r="A446" i="2"/>
  <c r="A84" i="2"/>
  <c r="A341" i="2"/>
  <c r="A511" i="2"/>
  <c r="A741" i="2"/>
  <c r="A995" i="2"/>
  <c r="A1206" i="2"/>
  <c r="A1463" i="2"/>
  <c r="A14" i="2"/>
  <c r="A83" i="2"/>
  <c r="A326" i="2"/>
  <c r="A473" i="2"/>
  <c r="A663" i="2"/>
  <c r="A914" i="2"/>
  <c r="A1145" i="2"/>
  <c r="A1344" i="2"/>
  <c r="A162" i="2"/>
  <c r="A374" i="2"/>
  <c r="A474" i="2"/>
  <c r="A742" i="2"/>
  <c r="A913" i="2"/>
  <c r="A1111" i="2"/>
  <c r="A1424" i="2"/>
  <c r="A248" i="2"/>
  <c r="A10" i="2"/>
  <c r="A183" i="2"/>
  <c r="A417" i="2"/>
  <c r="A646" i="2"/>
  <c r="A857" i="2"/>
  <c r="A1053" i="2"/>
  <c r="A1254" i="2"/>
  <c r="A1466" i="2"/>
  <c r="A154" i="2"/>
  <c r="A1133" i="2"/>
  <c r="A521" i="2"/>
  <c r="A793" i="2"/>
  <c r="A135" i="2"/>
  <c r="A1117" i="2"/>
  <c r="A450" i="2"/>
  <c r="A543" i="2"/>
  <c r="A563" i="2"/>
  <c r="A1177" i="2"/>
  <c r="A149" i="2"/>
  <c r="A269" i="2"/>
  <c r="A386" i="2"/>
  <c r="A456" i="2"/>
  <c r="A540" i="2"/>
  <c r="A946" i="2"/>
  <c r="A1079" i="2"/>
  <c r="A1397" i="2"/>
  <c r="A195" i="2"/>
  <c r="A119" i="2"/>
  <c r="A504" i="2"/>
  <c r="A1123" i="2"/>
  <c r="A1043" i="2"/>
  <c r="A1202" i="2"/>
  <c r="A1024" i="2"/>
  <c r="A1066" i="2"/>
  <c r="A1158" i="2"/>
  <c r="A1199" i="2"/>
  <c r="A850" i="2"/>
  <c r="A79" i="2"/>
  <c r="A735" i="2"/>
  <c r="A890" i="2"/>
  <c r="A1472" i="2"/>
  <c r="A1376" i="2"/>
  <c r="A177" i="2"/>
  <c r="A848" i="2"/>
  <c r="A641" i="2"/>
  <c r="A294" i="2"/>
  <c r="A812" i="2"/>
  <c r="A947" i="2"/>
  <c r="A657" i="2"/>
  <c r="A352" i="2"/>
  <c r="A1063" i="2"/>
  <c r="A965" i="2"/>
  <c r="A1161" i="2"/>
  <c r="A544" i="2"/>
  <c r="A675" i="2"/>
  <c r="A893" i="2"/>
  <c r="A1475" i="2"/>
  <c r="A1375" i="2"/>
  <c r="A268" i="2"/>
  <c r="A1121" i="2"/>
  <c r="A357" i="2"/>
  <c r="A1124" i="2"/>
  <c r="A759" i="2"/>
  <c r="A967" i="2"/>
  <c r="A1181" i="2"/>
  <c r="A661" i="2"/>
  <c r="A576" i="2"/>
  <c r="A80" i="2"/>
  <c r="A710" i="2"/>
  <c r="A656" i="2"/>
  <c r="A678" i="2"/>
  <c r="A1355" i="2"/>
  <c r="A449" i="2"/>
  <c r="A95" i="2"/>
  <c r="A639" i="2"/>
  <c r="A680" i="2"/>
  <c r="A423" i="2"/>
  <c r="A829" i="2"/>
  <c r="A1221" i="2"/>
  <c r="A1141" i="2"/>
  <c r="A1010" i="2"/>
  <c r="A560" i="2"/>
  <c r="A118" i="2"/>
  <c r="A677" i="2"/>
  <c r="A25" i="2"/>
  <c r="A580" i="2"/>
  <c r="A132" i="2"/>
  <c r="A1431" i="2"/>
  <c r="A1415" i="2"/>
  <c r="A239" i="2"/>
  <c r="A267" i="2"/>
  <c r="A120" i="2"/>
  <c r="A717" i="2"/>
  <c r="A1045" i="2"/>
  <c r="A927" i="2"/>
  <c r="A405" i="2"/>
  <c r="A355" i="2"/>
  <c r="A429" i="2"/>
  <c r="A736" i="2"/>
  <c r="A1336" i="2"/>
  <c r="A1394" i="2"/>
  <c r="A1222" i="2"/>
  <c r="A922" i="2"/>
  <c r="A176" i="2"/>
  <c r="A1297" i="2"/>
  <c r="A356" i="2"/>
  <c r="A1276" i="2"/>
  <c r="A718" i="2"/>
  <c r="A961" i="2"/>
  <c r="A864" i="2"/>
  <c r="A380" i="2"/>
  <c r="A503" i="2"/>
  <c r="A1293" i="2"/>
  <c r="A794" i="2"/>
  <c r="A1061" i="2"/>
  <c r="A1474" i="2"/>
  <c r="A1372" i="2"/>
  <c r="A1262" i="2"/>
  <c r="A92" i="2"/>
  <c r="A134" i="2"/>
  <c r="A889" i="2"/>
  <c r="A1235" i="2"/>
  <c r="A1164" i="2"/>
  <c r="A537" i="2"/>
  <c r="A1086" i="2"/>
  <c r="A884" i="2"/>
  <c r="A619" i="2"/>
  <c r="A962" i="2"/>
  <c r="A558" i="2"/>
  <c r="A1332" i="2"/>
  <c r="A57" i="2"/>
  <c r="A847" i="2"/>
  <c r="A620" i="2"/>
  <c r="A1314" i="2"/>
  <c r="A250" i="2"/>
  <c r="A674" i="2"/>
  <c r="A332" i="2"/>
  <c r="A790" i="2"/>
  <c r="A1118" i="2"/>
  <c r="A482" i="2"/>
  <c r="A753" i="2"/>
  <c r="A670" i="2"/>
  <c r="A539" i="2"/>
  <c r="A175" i="2"/>
  <c r="A1454" i="2"/>
  <c r="A1434" i="2"/>
  <c r="A1354" i="2"/>
  <c r="A133" i="2"/>
  <c r="A235" i="2"/>
  <c r="A72" i="2"/>
  <c r="A234" i="2"/>
  <c r="A1023" i="2"/>
  <c r="A1198" i="2"/>
  <c r="A604" i="2"/>
  <c r="A806" i="2"/>
  <c r="A524" i="2"/>
  <c r="A1037" i="2"/>
  <c r="A751" i="2"/>
  <c r="A21" i="2"/>
  <c r="A905" i="2"/>
  <c r="A1318" i="2"/>
  <c r="A20" i="2"/>
  <c r="A60" i="2"/>
  <c r="A834" i="2"/>
  <c r="A1047" i="2"/>
  <c r="A926" i="2"/>
  <c r="A486" i="2"/>
  <c r="A408" i="2"/>
  <c r="A860" i="2"/>
  <c r="A693" i="2"/>
  <c r="A550" i="2"/>
  <c r="A892" i="2"/>
  <c r="A895" i="2"/>
  <c r="A156" i="2"/>
  <c r="A1329" i="2"/>
  <c r="A1335" i="2"/>
  <c r="A808" i="2"/>
  <c r="A640" i="2"/>
  <c r="A1373" i="2"/>
  <c r="A223" i="2"/>
  <c r="A139" i="2"/>
  <c r="A335" i="2"/>
  <c r="A886" i="2"/>
  <c r="A1042" i="2"/>
  <c r="A520" i="2"/>
  <c r="A1085" i="2"/>
  <c r="A920" i="2"/>
  <c r="A1452" i="2"/>
  <c r="A1417" i="2"/>
  <c r="A251" i="2"/>
  <c r="A180" i="2"/>
  <c r="A1295" i="2"/>
  <c r="A928" i="2"/>
  <c r="A1101" i="2"/>
  <c r="A407" i="2"/>
  <c r="A387" i="2"/>
  <c r="A700" i="2"/>
  <c r="A350" i="2"/>
  <c r="A1162" i="2"/>
  <c r="A921" i="2"/>
  <c r="A1080" i="2"/>
  <c r="A221" i="2"/>
  <c r="A272" i="2"/>
  <c r="A481" i="2"/>
  <c r="A811" i="2"/>
  <c r="A110" i="2"/>
  <c r="A299" i="2"/>
  <c r="A866" i="2"/>
  <c r="A1395" i="2"/>
  <c r="A331" i="2"/>
  <c r="A638" i="2"/>
  <c r="A733" i="2"/>
  <c r="A74" i="2"/>
  <c r="A1352" i="2"/>
  <c r="A1156" i="2"/>
  <c r="A1260" i="2"/>
  <c r="A170" i="2"/>
  <c r="A1233" i="2"/>
  <c r="A1106" i="2"/>
  <c r="A601" i="2"/>
  <c r="A923" i="2"/>
  <c r="A344" i="2"/>
  <c r="A579" i="2"/>
  <c r="A690" i="2"/>
  <c r="A1021" i="2"/>
  <c r="A985" i="2"/>
  <c r="A1271" i="2"/>
  <c r="A575" i="2"/>
  <c r="A241" i="2"/>
  <c r="A383" i="2"/>
  <c r="A768" i="2"/>
  <c r="A130" i="2"/>
  <c r="A561" i="2"/>
  <c r="A1316" i="2"/>
  <c r="A1331" i="2"/>
  <c r="A138" i="2"/>
  <c r="A1256" i="2"/>
  <c r="A755" i="2"/>
  <c r="A169" i="2"/>
  <c r="A1448" i="2"/>
  <c r="A213" i="2"/>
  <c r="A354" i="2"/>
  <c r="A282" i="2"/>
  <c r="A483" i="2"/>
  <c r="A1371" i="2"/>
  <c r="A1351" i="2"/>
  <c r="A100" i="2"/>
  <c r="A1259" i="2"/>
  <c r="A310" i="2"/>
  <c r="A442" i="2"/>
  <c r="A756" i="2"/>
  <c r="A1275" i="2"/>
  <c r="A314" i="2"/>
  <c r="A942" i="2"/>
  <c r="A1214" i="2"/>
  <c r="A910" i="2"/>
  <c r="A591" i="2"/>
  <c r="A849" i="2"/>
  <c r="A190" i="2"/>
  <c r="A19" i="2"/>
  <c r="A758" i="2"/>
  <c r="A33" i="2"/>
  <c r="A42" i="2"/>
  <c r="A428" i="2"/>
  <c r="A1296" i="2"/>
  <c r="A281" i="2"/>
  <c r="A770" i="2"/>
  <c r="A215" i="2"/>
  <c r="A1412" i="2"/>
  <c r="A277" i="2"/>
  <c r="A925" i="2"/>
  <c r="A1159" i="2"/>
  <c r="A769" i="2"/>
  <c r="A1432" i="2"/>
  <c r="A1358" i="2"/>
  <c r="A523" i="2"/>
  <c r="A55" i="2"/>
  <c r="A1102" i="2"/>
  <c r="A1026" i="2"/>
  <c r="A695" i="2"/>
  <c r="A353" i="2"/>
  <c r="A771" i="2"/>
  <c r="A888" i="2"/>
  <c r="A462" i="2"/>
  <c r="A388" i="2"/>
  <c r="A599" i="2"/>
  <c r="A615" i="2"/>
  <c r="A265" i="2"/>
  <c r="A772" i="2"/>
  <c r="A194" i="2"/>
  <c r="A466" i="2"/>
  <c r="A1337" i="2"/>
  <c r="A347" i="2"/>
  <c r="A1160" i="2"/>
  <c r="A1143" i="2"/>
  <c r="A963" i="2"/>
  <c r="A34" i="2"/>
  <c r="A1392" i="2"/>
  <c r="A409" i="2"/>
  <c r="A406" i="2"/>
  <c r="A1182" i="2"/>
  <c r="A637" i="2"/>
  <c r="A1455" i="2"/>
  <c r="A1359" i="2"/>
  <c r="A29" i="2"/>
  <c r="A460" i="2"/>
  <c r="A562" i="2"/>
  <c r="A496" i="2"/>
  <c r="A502" i="2"/>
  <c r="A787" i="2"/>
  <c r="A1004" i="2"/>
  <c r="A1200" i="2"/>
  <c r="A999" i="2"/>
  <c r="A1003" i="2"/>
  <c r="A699" i="2"/>
  <c r="A519" i="2"/>
  <c r="A252" i="2"/>
  <c r="A155" i="2"/>
  <c r="A158" i="2"/>
  <c r="A867" i="2"/>
  <c r="A1060" i="2"/>
  <c r="A1449" i="2"/>
  <c r="A1389" i="2"/>
  <c r="A1294" i="2"/>
  <c r="A945" i="2"/>
  <c r="A56" i="2"/>
  <c r="A1287" i="2"/>
  <c r="A1236" i="2"/>
  <c r="A731" i="2"/>
  <c r="A494" i="2"/>
  <c r="A658" i="2"/>
  <c r="A1082" i="2"/>
  <c r="A1019" i="2"/>
  <c r="A776" i="2"/>
  <c r="A984" i="2"/>
  <c r="A1136" i="2"/>
  <c r="A713" i="2"/>
  <c r="A785" i="2"/>
  <c r="A1456" i="2"/>
  <c r="A271" i="2"/>
  <c r="A1185" i="2"/>
  <c r="A500" i="2"/>
  <c r="A465" i="2"/>
  <c r="A694" i="2"/>
  <c r="A865" i="2"/>
  <c r="A515" i="2"/>
  <c r="A1110" i="2"/>
  <c r="A126" i="2"/>
  <c r="A750" i="2"/>
  <c r="A559" i="2"/>
  <c r="A312" i="2"/>
  <c r="A246" i="2"/>
  <c r="A1058" i="2"/>
  <c r="A389" i="2"/>
  <c r="A93" i="2"/>
  <c r="A1374" i="2"/>
  <c r="A425" i="2"/>
  <c r="A1239" i="2"/>
  <c r="A516" i="2"/>
  <c r="A1315" i="2"/>
  <c r="A1119" i="2"/>
  <c r="A1473" i="2"/>
  <c r="A48" i="2"/>
  <c r="A114" i="2"/>
  <c r="A97" i="2"/>
  <c r="A1002" i="2"/>
  <c r="A581" i="2"/>
  <c r="A1272" i="2"/>
  <c r="A874" i="2"/>
  <c r="A1179" i="2"/>
  <c r="A1081" i="2"/>
  <c r="A909" i="2"/>
  <c r="A1157" i="2"/>
  <c r="A1311" i="2"/>
  <c r="A458" i="2"/>
  <c r="A488" i="2"/>
  <c r="A1039" i="2"/>
  <c r="A293" i="2"/>
  <c r="A419" i="2"/>
  <c r="A998" i="2"/>
  <c r="A598" i="2"/>
  <c r="A18" i="2"/>
  <c r="A676" i="2"/>
  <c r="A708" i="2"/>
  <c r="A216" i="2"/>
  <c r="A1309" i="2"/>
  <c r="A90" i="2"/>
  <c r="A1139" i="2"/>
  <c r="A728" i="2"/>
  <c r="A810" i="2"/>
  <c r="A1411" i="2"/>
  <c r="A737" i="2"/>
  <c r="A1457" i="2"/>
  <c r="A1377" i="2"/>
  <c r="A210" i="2"/>
  <c r="A1046" i="2"/>
  <c r="A1238" i="2"/>
  <c r="A1144" i="2"/>
  <c r="A869" i="2"/>
  <c r="A1084" i="2"/>
  <c r="A368" i="2"/>
  <c r="A1120" i="2"/>
  <c r="A882" i="2"/>
  <c r="A150" i="2"/>
  <c r="A991" i="2"/>
  <c r="A192" i="2"/>
  <c r="A948" i="2"/>
  <c r="A532" i="2"/>
  <c r="A774" i="2"/>
  <c r="A1306" i="2"/>
  <c r="A600" i="2"/>
  <c r="A885" i="2"/>
  <c r="A1396" i="2"/>
  <c r="A966" i="2"/>
  <c r="A461" i="2"/>
  <c r="A795" i="2"/>
  <c r="A1138" i="2"/>
  <c r="A290" i="2"/>
  <c r="A1064" i="2"/>
  <c r="A830" i="2"/>
  <c r="A968" i="2"/>
  <c r="A584" i="2"/>
  <c r="A1435" i="2"/>
  <c r="A1385" i="2"/>
  <c r="A1020" i="2"/>
  <c r="A873" i="2"/>
  <c r="A980" i="2"/>
  <c r="A1220" i="2"/>
  <c r="A1007" i="2"/>
  <c r="A1237" i="2"/>
  <c r="A1100" i="2"/>
  <c r="A395" i="2"/>
  <c r="A749" i="2"/>
  <c r="A632" i="2"/>
  <c r="A912" i="2"/>
  <c r="A538" i="2"/>
  <c r="A964" i="2"/>
  <c r="A634" i="2"/>
  <c r="A1083" i="2"/>
  <c r="A814" i="2"/>
  <c r="A1310" i="2"/>
  <c r="A243" i="2"/>
  <c r="A765" i="2"/>
  <c r="A404" i="2"/>
  <c r="A489" i="2"/>
  <c r="A881" i="2"/>
  <c r="A1291" i="2"/>
  <c r="A1105" i="2"/>
  <c r="A96" i="2"/>
  <c r="A938" i="2"/>
  <c r="A263" i="2"/>
  <c r="A99" i="2"/>
  <c r="A78" i="2"/>
  <c r="A117" i="2"/>
  <c r="A1218" i="2"/>
  <c r="A431" i="2"/>
  <c r="A414" i="2"/>
  <c r="A655" i="2"/>
  <c r="A279" i="2"/>
  <c r="A1240" i="2"/>
  <c r="A148" i="2"/>
  <c r="A443" i="2"/>
  <c r="A536" i="2"/>
  <c r="A1196" i="2"/>
  <c r="A1436" i="2"/>
  <c r="A1356" i="2"/>
  <c r="A1273" i="2"/>
  <c r="A696" i="2"/>
  <c r="A422" i="2"/>
  <c r="A1006" i="2"/>
  <c r="A862" i="2"/>
  <c r="A818" i="2"/>
  <c r="A1251" i="2"/>
  <c r="A1451" i="2"/>
  <c r="A58" i="2"/>
  <c r="A191" i="2"/>
  <c r="A467" i="2"/>
  <c r="A1178" i="2"/>
  <c r="A1041" i="2"/>
  <c r="A673" i="2"/>
  <c r="A654" i="2"/>
  <c r="A1307" i="2"/>
  <c r="A193" i="2"/>
  <c r="A983" i="2"/>
  <c r="A298" i="2"/>
  <c r="A439" i="2"/>
  <c r="A633" i="2"/>
  <c r="A1313" i="2"/>
  <c r="A1390" i="2"/>
  <c r="A1278" i="2"/>
  <c r="A906" i="2"/>
  <c r="A1005" i="2"/>
  <c r="A98" i="2"/>
  <c r="A711" i="2"/>
  <c r="A379" i="2"/>
  <c r="A940" i="2"/>
  <c r="A1391" i="2"/>
  <c r="A233" i="2"/>
  <c r="A635" i="2"/>
  <c r="A1134" i="2"/>
  <c r="A313" i="2"/>
  <c r="A403" i="2"/>
  <c r="A1268" i="2"/>
  <c r="A863" i="2"/>
  <c r="A734" i="2"/>
  <c r="A1274" i="2"/>
  <c r="A1258" i="2"/>
  <c r="A89" i="2"/>
  <c r="A712" i="2"/>
  <c r="A171" i="2"/>
  <c r="A372" i="2"/>
  <c r="A546" i="2"/>
  <c r="A662" i="2"/>
  <c r="A838" i="2"/>
  <c r="A1013" i="2"/>
  <c r="A1223" i="2"/>
  <c r="A1462" i="2"/>
  <c r="A43" i="2"/>
  <c r="A127" i="2"/>
  <c r="A301" i="2"/>
  <c r="A491" i="2"/>
  <c r="A664" i="2"/>
  <c r="A899" i="2"/>
  <c r="A1149" i="2"/>
  <c r="A1422" i="2"/>
  <c r="A714" i="2"/>
  <c r="A9" i="2"/>
  <c r="A275" i="2"/>
  <c r="A548" i="2"/>
  <c r="A763" i="2"/>
  <c r="A997" i="2"/>
  <c r="A1170" i="2"/>
  <c r="A1501" i="2"/>
  <c r="A66" i="2"/>
  <c r="A257" i="2"/>
  <c r="A492" i="2"/>
  <c r="A780" i="2"/>
  <c r="A975" i="2"/>
  <c r="A1173" i="2"/>
  <c r="A1325" i="2"/>
  <c r="A498" i="2"/>
  <c r="A427" i="2"/>
  <c r="A166" i="2"/>
  <c r="A397" i="2"/>
  <c r="A612" i="2"/>
  <c r="A821" i="2"/>
  <c r="A996" i="2"/>
  <c r="A1209" i="2"/>
  <c r="A1445" i="2"/>
  <c r="A447" i="2"/>
  <c r="A259" i="2"/>
  <c r="A1266" i="2"/>
  <c r="A1211" i="2"/>
  <c r="A525" i="2"/>
  <c r="A618" i="2"/>
  <c r="A317" i="2"/>
  <c r="A1115" i="2"/>
  <c r="A316" i="2"/>
  <c r="A39" i="2"/>
  <c r="A726" i="2"/>
  <c r="A844" i="2"/>
  <c r="A1334" i="2"/>
  <c r="A941" i="2"/>
  <c r="A1172" i="2"/>
  <c r="A1270" i="2"/>
  <c r="A1416" i="2"/>
  <c r="A104" i="2"/>
  <c r="A224" i="2"/>
  <c r="A392" i="2"/>
  <c r="A484" i="2"/>
  <c r="A649" i="2"/>
  <c r="A761" i="2"/>
  <c r="A952" i="2"/>
  <c r="A1168" i="2"/>
  <c r="A1421" i="2"/>
  <c r="A242" i="2"/>
  <c r="A534" i="2"/>
  <c r="A161" i="2"/>
  <c r="A434" i="2"/>
  <c r="A643" i="2"/>
  <c r="A880" i="2"/>
  <c r="A1070" i="2"/>
  <c r="A1321" i="2"/>
  <c r="A595" i="2"/>
  <c r="A47" i="2"/>
  <c r="A203" i="2"/>
  <c r="A588" i="2"/>
  <c r="A858" i="2"/>
  <c r="A1011" i="2"/>
  <c r="A1386" i="2"/>
  <c r="A851" i="2"/>
  <c r="A46" i="2"/>
  <c r="A217" i="2"/>
  <c r="A589" i="2"/>
  <c r="A822" i="2"/>
  <c r="A1032" i="2"/>
  <c r="A1208" i="2"/>
  <c r="A1465" i="2"/>
  <c r="A1180" i="2"/>
  <c r="A87" i="2"/>
  <c r="A304" i="2"/>
  <c r="A512" i="2"/>
  <c r="A746" i="2"/>
  <c r="A931" i="2"/>
  <c r="A1151" i="2"/>
  <c r="A1425" i="2"/>
  <c r="A689" i="2"/>
  <c r="A438" i="2"/>
  <c r="A1284" i="2"/>
  <c r="A901" i="2"/>
  <c r="A363" i="2"/>
  <c r="A977" i="2"/>
  <c r="A669" i="2"/>
  <c r="A1197" i="2"/>
  <c r="A596" i="2"/>
  <c r="A611" i="2"/>
  <c r="A91" i="2"/>
  <c r="A59" i="2"/>
  <c r="A1326" i="2"/>
  <c r="A348" i="2"/>
  <c r="A570" i="2"/>
  <c r="A614" i="2"/>
  <c r="A35" i="2"/>
  <c r="A1414" i="2"/>
  <c r="A27" i="2"/>
  <c r="A68" i="2"/>
  <c r="A305" i="2"/>
  <c r="A377" i="2"/>
  <c r="A457" i="2"/>
  <c r="A552" i="2"/>
  <c r="A629" i="2"/>
  <c r="A688" i="2"/>
  <c r="A724" i="2"/>
  <c r="A764" i="2"/>
  <c r="A823" i="2"/>
  <c r="A861" i="2"/>
  <c r="A917" i="2"/>
  <c r="A1035" i="2"/>
  <c r="A1152" i="2"/>
  <c r="A1193" i="2"/>
  <c r="A1308" i="2"/>
  <c r="A1366" i="2"/>
  <c r="A1426" i="2"/>
  <c r="A1467" i="2"/>
  <c r="A1483" i="2"/>
  <c r="A6" i="2"/>
  <c r="A109" i="2"/>
  <c r="A163" i="2"/>
  <c r="A227" i="2"/>
  <c r="A306" i="2"/>
  <c r="A365" i="2"/>
  <c r="A418" i="2"/>
  <c r="A554" i="2"/>
  <c r="A609" i="2"/>
  <c r="A668" i="2"/>
  <c r="A783" i="2"/>
  <c r="A846" i="2"/>
  <c r="A957" i="2"/>
  <c r="A1036" i="2"/>
  <c r="A1078" i="2"/>
  <c r="A1153" i="2"/>
  <c r="A1195" i="2"/>
  <c r="A1267" i="2"/>
  <c r="A1347" i="2"/>
  <c r="A1383" i="2"/>
  <c r="A1447" i="2"/>
  <c r="A1505" i="2"/>
  <c r="A70" i="2"/>
  <c r="A349" i="2"/>
  <c r="A477" i="2"/>
  <c r="A553" i="2"/>
  <c r="A825" i="2"/>
  <c r="A904" i="2"/>
  <c r="A1155" i="2"/>
  <c r="A1249" i="2"/>
  <c r="A51" i="2"/>
  <c r="A88" i="2"/>
  <c r="A330" i="2"/>
  <c r="A396" i="2"/>
  <c r="A476" i="2"/>
  <c r="A499" i="2"/>
  <c r="A592" i="2"/>
  <c r="A665" i="2"/>
  <c r="A707" i="2"/>
  <c r="A745" i="2"/>
  <c r="A803" i="2"/>
  <c r="A841" i="2"/>
  <c r="A876" i="2"/>
  <c r="A939" i="2"/>
  <c r="A1055" i="2"/>
  <c r="A1174" i="2"/>
  <c r="A1252" i="2"/>
  <c r="A1327" i="2"/>
  <c r="A1348" i="2"/>
  <c r="A1388" i="2"/>
  <c r="A1446" i="2"/>
  <c r="A1504" i="2"/>
  <c r="A67" i="2"/>
  <c r="A147" i="2"/>
  <c r="A186" i="2"/>
  <c r="A262" i="2"/>
  <c r="A343" i="2"/>
  <c r="A398" i="2"/>
  <c r="A533" i="2"/>
  <c r="A573" i="2"/>
  <c r="A648" i="2"/>
  <c r="A744" i="2"/>
  <c r="A767" i="2"/>
  <c r="A805" i="2"/>
  <c r="A919" i="2"/>
  <c r="A978" i="2"/>
  <c r="A1056" i="2"/>
  <c r="A1116" i="2"/>
  <c r="A1175" i="2"/>
  <c r="A1250" i="2"/>
  <c r="A1288" i="2"/>
  <c r="A1367" i="2"/>
  <c r="A1427" i="2"/>
  <c r="A1468" i="2"/>
  <c r="A1484" i="2"/>
  <c r="A113" i="2"/>
  <c r="A307" i="2"/>
  <c r="A8" i="2"/>
  <c r="A315" i="2"/>
  <c r="A108" i="2"/>
  <c r="A1001" i="2"/>
  <c r="A1099" i="2"/>
  <c r="A94" i="2"/>
  <c r="A311" i="2"/>
  <c r="A424" i="2"/>
  <c r="A672" i="2"/>
  <c r="A226" i="2"/>
  <c r="A960" i="2"/>
  <c r="A1077" i="2"/>
  <c r="A146" i="2"/>
  <c r="A402" i="2"/>
  <c r="A636" i="2"/>
  <c r="A185" i="2"/>
  <c r="A1059" i="2"/>
  <c r="A111" i="2"/>
  <c r="A231" i="2"/>
  <c r="A480" i="2"/>
  <c r="A828" i="2"/>
  <c r="A7" i="2"/>
  <c r="A286" i="2"/>
  <c r="A1370" i="2"/>
  <c r="A266" i="2"/>
  <c r="A789" i="2"/>
  <c r="A5" i="2"/>
  <c r="A30" i="2"/>
  <c r="A188" i="2"/>
  <c r="A228" i="2"/>
  <c r="A328" i="2"/>
  <c r="A378" i="2"/>
  <c r="A459" i="2"/>
  <c r="A572" i="2"/>
  <c r="A594" i="2"/>
  <c r="A613" i="2"/>
  <c r="A651" i="2"/>
  <c r="A747" i="2"/>
  <c r="A918" i="2"/>
  <c r="A937" i="2"/>
  <c r="A959" i="2"/>
  <c r="A979" i="2"/>
  <c r="A1000" i="2"/>
  <c r="A1017" i="2"/>
  <c r="A1096" i="2"/>
  <c r="A1114" i="2"/>
  <c r="A1210" i="2"/>
  <c r="A1232" i="2"/>
  <c r="A1289" i="2"/>
  <c r="A1328" i="2"/>
  <c r="A1349" i="2"/>
  <c r="A1368" i="2"/>
  <c r="A1408" i="2"/>
  <c r="A1428" i="2"/>
  <c r="A1469" i="2"/>
  <c r="A1485" i="2"/>
  <c r="A1506" i="2"/>
  <c r="A4" i="2"/>
  <c r="A32" i="2"/>
  <c r="A49" i="2"/>
  <c r="A128" i="2"/>
  <c r="A151" i="2"/>
  <c r="A167" i="2"/>
  <c r="A187" i="2"/>
  <c r="A208" i="2"/>
  <c r="A232" i="2"/>
  <c r="A278" i="2"/>
  <c r="A308" i="2"/>
  <c r="A400" i="2"/>
  <c r="A495" i="2"/>
  <c r="A555" i="2"/>
  <c r="A631" i="2"/>
  <c r="A652" i="2"/>
  <c r="A809" i="2"/>
  <c r="A826" i="2"/>
  <c r="A845" i="2"/>
  <c r="A907" i="2"/>
  <c r="A1137" i="2"/>
  <c r="A1487" i="2"/>
  <c r="A50" i="2"/>
  <c r="A351" i="2"/>
  <c r="A577" i="2"/>
  <c r="A692" i="2"/>
  <c r="A280" i="2"/>
  <c r="A982" i="2"/>
  <c r="A1253" i="2"/>
  <c r="A1450" i="2"/>
  <c r="A73" i="2"/>
  <c r="A244" i="2"/>
  <c r="A518" i="2"/>
  <c r="A1488" i="2"/>
  <c r="A715" i="2"/>
  <c r="A924" i="2"/>
  <c r="A1290" i="2"/>
  <c r="A1508" i="2"/>
  <c r="A131" i="2"/>
  <c r="A381" i="2"/>
  <c r="A444" i="2"/>
  <c r="A729" i="2"/>
  <c r="A295" i="2"/>
  <c r="A401" i="2"/>
  <c r="A887" i="2"/>
  <c r="A1234" i="2"/>
  <c r="A1430" i="2"/>
  <c r="A211" i="2"/>
  <c r="A557" i="2"/>
  <c r="A1509" i="2"/>
  <c r="A112" i="2"/>
  <c r="A229" i="2"/>
  <c r="A284" i="2"/>
  <c r="A441" i="2"/>
  <c r="A517" i="2"/>
  <c r="A535" i="2"/>
  <c r="A556" i="2"/>
  <c r="A574" i="2"/>
  <c r="A593" i="2"/>
  <c r="A653" i="2"/>
  <c r="A691" i="2"/>
  <c r="A730" i="2"/>
  <c r="A748" i="2"/>
  <c r="A827" i="2"/>
  <c r="A1057" i="2"/>
  <c r="A1098" i="2"/>
  <c r="A1154" i="2"/>
  <c r="A1213" i="2"/>
  <c r="A1269" i="2"/>
  <c r="A1409" i="2"/>
  <c r="A1429" i="2"/>
  <c r="A1470" i="2"/>
  <c r="A24" i="2"/>
  <c r="A76" i="2"/>
  <c r="A115" i="2"/>
  <c r="A152" i="2"/>
  <c r="A172" i="2"/>
  <c r="A197" i="2"/>
  <c r="A578" i="2"/>
  <c r="A732" i="2"/>
  <c r="A908" i="2"/>
  <c r="A1062" i="2"/>
  <c r="A1333" i="2"/>
  <c r="A1353" i="2"/>
  <c r="A22" i="2"/>
  <c r="A75" i="2"/>
  <c r="A333" i="2"/>
  <c r="A384" i="2"/>
  <c r="A501" i="2"/>
  <c r="A583" i="2"/>
  <c r="A832" i="2"/>
  <c r="C8" i="5"/>
  <c r="B8" i="5"/>
  <c r="B5" i="5"/>
  <c r="E4" i="5"/>
  <c r="F4" i="5" s="1"/>
  <c r="A944" i="2"/>
  <c r="A1104" i="2"/>
  <c r="A1135" i="2"/>
  <c r="A1393" i="2"/>
  <c r="A1413" i="2"/>
  <c r="A1433" i="2"/>
  <c r="C9" i="5"/>
  <c r="A1461" i="2"/>
  <c r="A1486" i="2"/>
  <c r="A1507" i="2"/>
  <c r="A1489" i="2"/>
  <c r="A1510" i="2"/>
  <c r="A1490" i="2"/>
  <c r="A1511" i="2"/>
  <c r="A1491" i="2"/>
  <c r="A1512" i="2"/>
  <c r="A1493" i="2"/>
  <c r="A1513" i="2"/>
  <c r="P9" i="1"/>
  <c r="T21" i="1"/>
  <c r="X14" i="1"/>
  <c r="P14" i="1"/>
  <c r="P8" i="1"/>
  <c r="P13" i="1"/>
  <c r="T31" i="4"/>
  <c r="U29" i="4" s="1"/>
  <c r="Q13" i="1" s="1"/>
  <c r="T28" i="4"/>
  <c r="P7" i="1"/>
  <c r="T24" i="4"/>
  <c r="U25" i="4" s="1"/>
  <c r="Q7" i="1" s="1"/>
  <c r="X16" i="1"/>
  <c r="X15" i="1"/>
  <c r="S11" i="1"/>
  <c r="O12" i="1"/>
  <c r="S17" i="1"/>
  <c r="C4" i="5"/>
  <c r="A1481" i="2"/>
  <c r="A1479" i="2"/>
  <c r="P28" i="4"/>
  <c r="X33" i="4"/>
  <c r="X32" i="4"/>
  <c r="X27" i="4"/>
  <c r="P26" i="4"/>
  <c r="X25" i="4"/>
  <c r="X24" i="4"/>
  <c r="X26" i="4"/>
  <c r="X31" i="4"/>
  <c r="P29" i="4"/>
  <c r="X29" i="4"/>
  <c r="X30" i="4"/>
  <c r="P24" i="4"/>
  <c r="P27" i="4"/>
  <c r="X35" i="4"/>
  <c r="P25" i="4"/>
  <c r="C36" i="5" l="1"/>
  <c r="C12" i="5"/>
  <c r="C20" i="5"/>
  <c r="C28" i="5"/>
  <c r="AG11" i="4"/>
  <c r="T14" i="1"/>
  <c r="T8" i="1"/>
  <c r="T9" i="1"/>
  <c r="X12" i="1"/>
  <c r="X8" i="1"/>
  <c r="X9" i="1"/>
  <c r="X11" i="1"/>
  <c r="X10" i="1"/>
  <c r="X23" i="4"/>
  <c r="Y24" i="4" s="1"/>
  <c r="U7" i="1" s="1"/>
  <c r="T7" i="1"/>
  <c r="P23" i="4"/>
  <c r="Q30" i="4" s="1"/>
  <c r="Y13" i="1" s="1"/>
  <c r="X7" i="1"/>
  <c r="C10" i="5"/>
  <c r="E5" i="5"/>
  <c r="E8" i="5"/>
  <c r="E6" i="5"/>
  <c r="H4" i="5"/>
  <c r="E12" i="5"/>
  <c r="F17" i="5" s="1"/>
  <c r="E7" i="5"/>
  <c r="F9" i="5"/>
  <c r="E9" i="5"/>
  <c r="F5" i="5"/>
  <c r="F6" i="5"/>
  <c r="F8" i="5"/>
  <c r="F7" i="5"/>
  <c r="U27" i="4"/>
  <c r="Q9" i="1" s="1"/>
  <c r="P15" i="1"/>
  <c r="U26" i="4"/>
  <c r="Q8" i="1" s="1"/>
  <c r="U30" i="4"/>
  <c r="Q14" i="1" s="1"/>
  <c r="P10" i="1"/>
  <c r="B22" i="5"/>
  <c r="C30" i="5"/>
  <c r="B17" i="5"/>
  <c r="C21" i="5"/>
  <c r="C45" i="5"/>
  <c r="B16" i="5"/>
  <c r="B24" i="5"/>
  <c r="C17" i="5"/>
  <c r="B21" i="5"/>
  <c r="B39" i="5"/>
  <c r="B47" i="5"/>
  <c r="C48" i="5"/>
  <c r="C15" i="5"/>
  <c r="B38" i="5"/>
  <c r="B30" i="5"/>
  <c r="B37" i="5"/>
  <c r="B45" i="5"/>
  <c r="B25" i="5"/>
  <c r="B49" i="5"/>
  <c r="C38" i="5"/>
  <c r="B48" i="5"/>
  <c r="C46" i="5"/>
  <c r="C40" i="5"/>
  <c r="B33" i="5"/>
  <c r="C33" i="5"/>
  <c r="B32" i="5"/>
  <c r="C23" i="5"/>
  <c r="B23" i="5"/>
  <c r="C22" i="5"/>
  <c r="B29" i="5"/>
  <c r="C37" i="5"/>
  <c r="B40" i="5"/>
  <c r="C29" i="5"/>
  <c r="B46" i="5"/>
  <c r="B41" i="5"/>
  <c r="C16" i="5"/>
  <c r="B31" i="5"/>
  <c r="B13" i="5"/>
  <c r="C41" i="5"/>
  <c r="C14" i="5"/>
  <c r="C32" i="5"/>
  <c r="C49" i="5"/>
  <c r="C25" i="5"/>
  <c r="C39" i="5"/>
  <c r="C31" i="5"/>
  <c r="B14" i="5"/>
  <c r="C24" i="5"/>
  <c r="B15" i="5"/>
  <c r="C47" i="5"/>
  <c r="C13" i="5"/>
  <c r="T10" i="1" l="1"/>
  <c r="R2" i="5"/>
  <c r="Q33" i="4"/>
  <c r="Y16" i="1" s="1"/>
  <c r="Q29" i="4"/>
  <c r="Y12" i="1" s="1"/>
  <c r="Q24" i="4"/>
  <c r="Y7" i="1" s="1"/>
  <c r="Y35" i="4"/>
  <c r="U18" i="1" s="1"/>
  <c r="Y34" i="4"/>
  <c r="U17" i="1" s="1"/>
  <c r="Y33" i="4"/>
  <c r="U16" i="1" s="1"/>
  <c r="Y31" i="4"/>
  <c r="U14" i="1" s="1"/>
  <c r="Y26" i="4"/>
  <c r="U9" i="1" s="1"/>
  <c r="X17" i="1"/>
  <c r="Q31" i="4"/>
  <c r="Y14" i="1" s="1"/>
  <c r="Y32" i="4"/>
  <c r="U15" i="1" s="1"/>
  <c r="Q28" i="4"/>
  <c r="Y11" i="1" s="1"/>
  <c r="Q26" i="4"/>
  <c r="Y9" i="1" s="1"/>
  <c r="Y38" i="4"/>
  <c r="U21" i="1" s="1"/>
  <c r="Y36" i="4"/>
  <c r="U19" i="1" s="1"/>
  <c r="P17" i="1"/>
  <c r="Y30" i="4"/>
  <c r="U13" i="1" s="1"/>
  <c r="Y29" i="4"/>
  <c r="U12" i="1" s="1"/>
  <c r="Y28" i="4"/>
  <c r="U11" i="1" s="1"/>
  <c r="Q25" i="4"/>
  <c r="Y8" i="1" s="1"/>
  <c r="Q32" i="4"/>
  <c r="Y15" i="1" s="1"/>
  <c r="Q27" i="4"/>
  <c r="Y10" i="1" s="1"/>
  <c r="Y37" i="4"/>
  <c r="U20" i="1" s="1"/>
  <c r="Y27" i="4"/>
  <c r="U10" i="1" s="1"/>
  <c r="Y25" i="4"/>
  <c r="U8" i="1" s="1"/>
  <c r="F16" i="5"/>
  <c r="E16" i="5"/>
  <c r="F10" i="5"/>
  <c r="E15" i="5"/>
  <c r="F13" i="5"/>
  <c r="E13" i="5"/>
  <c r="E14" i="5"/>
  <c r="E20" i="5"/>
  <c r="F15" i="5"/>
  <c r="F14" i="5"/>
  <c r="F12" i="5"/>
  <c r="I7" i="5"/>
  <c r="H12" i="5"/>
  <c r="I9" i="5"/>
  <c r="K4" i="5"/>
  <c r="H9" i="5"/>
  <c r="I5" i="5"/>
  <c r="H8" i="5"/>
  <c r="I8" i="5"/>
  <c r="I6" i="5"/>
  <c r="H5" i="5"/>
  <c r="H7" i="5"/>
  <c r="H6" i="5"/>
  <c r="I4" i="5"/>
  <c r="E17" i="5"/>
  <c r="C18" i="5"/>
  <c r="C26" i="5"/>
  <c r="C50" i="5"/>
  <c r="C42" i="5"/>
  <c r="C34" i="5"/>
  <c r="T11" i="1" l="1"/>
  <c r="T12" i="1" s="1"/>
  <c r="F18" i="5"/>
  <c r="I10" i="5"/>
  <c r="L5" i="5"/>
  <c r="L6" i="5"/>
  <c r="L7" i="5"/>
  <c r="L9" i="5"/>
  <c r="L8" i="5"/>
  <c r="K12" i="5"/>
  <c r="K5" i="5"/>
  <c r="K6" i="5"/>
  <c r="K8" i="5"/>
  <c r="N4" i="5"/>
  <c r="K7" i="5"/>
  <c r="K9" i="5"/>
  <c r="L4" i="5"/>
  <c r="H20" i="5"/>
  <c r="I13" i="5"/>
  <c r="H13" i="5"/>
  <c r="I14" i="5"/>
  <c r="H14" i="5"/>
  <c r="I12" i="5"/>
  <c r="I17" i="5"/>
  <c r="I16" i="5"/>
  <c r="H17" i="5"/>
  <c r="I15" i="5"/>
  <c r="H16" i="5"/>
  <c r="H15" i="5"/>
  <c r="E28" i="5"/>
  <c r="F20" i="5"/>
  <c r="F24" i="5"/>
  <c r="E25" i="5"/>
  <c r="F22" i="5"/>
  <c r="F23" i="5"/>
  <c r="E22" i="5"/>
  <c r="E23" i="5"/>
  <c r="F21" i="5"/>
  <c r="F25" i="5"/>
  <c r="E21" i="5"/>
  <c r="E24" i="5"/>
  <c r="T13" i="1" l="1"/>
  <c r="T15" i="1"/>
  <c r="L10" i="5"/>
  <c r="I18" i="5"/>
  <c r="N9" i="5"/>
  <c r="N12" i="5"/>
  <c r="Q4" i="5"/>
  <c r="O5" i="5"/>
  <c r="N6" i="5"/>
  <c r="N8" i="5"/>
  <c r="N5" i="5"/>
  <c r="O8" i="5"/>
  <c r="O9" i="5"/>
  <c r="O6" i="5"/>
  <c r="N7" i="5"/>
  <c r="O7" i="5"/>
  <c r="O4" i="5"/>
  <c r="F26" i="5"/>
  <c r="E36" i="5"/>
  <c r="F28" i="5"/>
  <c r="F29" i="5"/>
  <c r="E31" i="5"/>
  <c r="E30" i="5"/>
  <c r="F31" i="5"/>
  <c r="F33" i="5"/>
  <c r="E32" i="5"/>
  <c r="E33" i="5"/>
  <c r="E29" i="5"/>
  <c r="F30" i="5"/>
  <c r="F32" i="5"/>
  <c r="K20" i="5"/>
  <c r="L12" i="5"/>
  <c r="K14" i="5"/>
  <c r="K15" i="5"/>
  <c r="K16" i="5"/>
  <c r="L13" i="5"/>
  <c r="L16" i="5"/>
  <c r="L14" i="5"/>
  <c r="L15" i="5"/>
  <c r="K17" i="5"/>
  <c r="K13" i="5"/>
  <c r="L17" i="5"/>
  <c r="H28" i="5"/>
  <c r="I20" i="5"/>
  <c r="I22" i="5"/>
  <c r="I21" i="5"/>
  <c r="I25" i="5"/>
  <c r="H23" i="5"/>
  <c r="H22" i="5"/>
  <c r="I23" i="5"/>
  <c r="H24" i="5"/>
  <c r="H21" i="5"/>
  <c r="I24" i="5"/>
  <c r="H25" i="5"/>
  <c r="T16" i="1" l="1"/>
  <c r="T17" i="1" s="1"/>
  <c r="T18" i="1" s="1"/>
  <c r="T20" i="1"/>
  <c r="I26" i="5"/>
  <c r="O10" i="5"/>
  <c r="F34" i="5"/>
  <c r="L18" i="5"/>
  <c r="K28" i="5"/>
  <c r="L20" i="5"/>
  <c r="K23" i="5"/>
  <c r="K22" i="5"/>
  <c r="L25" i="5"/>
  <c r="L23" i="5"/>
  <c r="L21" i="5"/>
  <c r="K24" i="5"/>
  <c r="L24" i="5"/>
  <c r="K21" i="5"/>
  <c r="L22" i="5"/>
  <c r="K25" i="5"/>
  <c r="H36" i="5"/>
  <c r="I28" i="5"/>
  <c r="H31" i="5"/>
  <c r="H33" i="5"/>
  <c r="I30" i="5"/>
  <c r="H30" i="5"/>
  <c r="I33" i="5"/>
  <c r="I29" i="5"/>
  <c r="H32" i="5"/>
  <c r="H29" i="5"/>
  <c r="I32" i="5"/>
  <c r="I31" i="5"/>
  <c r="E44" i="5"/>
  <c r="F36" i="5"/>
  <c r="E40" i="5"/>
  <c r="E41" i="5"/>
  <c r="E37" i="5"/>
  <c r="F40" i="5"/>
  <c r="F38" i="5"/>
  <c r="F39" i="5"/>
  <c r="F41" i="5"/>
  <c r="E38" i="5"/>
  <c r="F37" i="5"/>
  <c r="E39" i="5"/>
  <c r="R5" i="5"/>
  <c r="Q12" i="5"/>
  <c r="Q7" i="5"/>
  <c r="T4" i="5"/>
  <c r="Q6" i="5"/>
  <c r="R8" i="5"/>
  <c r="Q5" i="5"/>
  <c r="R6" i="5"/>
  <c r="Q9" i="5"/>
  <c r="Q8" i="5"/>
  <c r="R7" i="5"/>
  <c r="R9" i="5"/>
  <c r="R4" i="5"/>
  <c r="N20" i="5"/>
  <c r="O12" i="5"/>
  <c r="N16" i="5"/>
  <c r="N14" i="5"/>
  <c r="N13" i="5"/>
  <c r="N17" i="5"/>
  <c r="N15" i="5"/>
  <c r="O14" i="5"/>
  <c r="O17" i="5"/>
  <c r="O16" i="5"/>
  <c r="O13" i="5"/>
  <c r="O15" i="5"/>
  <c r="T19" i="1" l="1"/>
  <c r="N28" i="5"/>
  <c r="O20" i="5"/>
  <c r="O21" i="5"/>
  <c r="O23" i="5"/>
  <c r="N21" i="5"/>
  <c r="N25" i="5"/>
  <c r="O24" i="5"/>
  <c r="N22" i="5"/>
  <c r="O25" i="5"/>
  <c r="O22" i="5"/>
  <c r="N23" i="5"/>
  <c r="N24" i="5"/>
  <c r="O18" i="5"/>
  <c r="L26" i="5"/>
  <c r="K36" i="5"/>
  <c r="L28" i="5"/>
  <c r="L31" i="5"/>
  <c r="K30" i="5"/>
  <c r="K29" i="5"/>
  <c r="K33" i="5"/>
  <c r="K32" i="5"/>
  <c r="K31" i="5"/>
  <c r="L30" i="5"/>
  <c r="L33" i="5"/>
  <c r="L29" i="5"/>
  <c r="L32" i="5"/>
  <c r="I34" i="5"/>
  <c r="H44" i="5"/>
  <c r="I36" i="5"/>
  <c r="H41" i="5"/>
  <c r="I41" i="5"/>
  <c r="I39" i="5"/>
  <c r="I37" i="5"/>
  <c r="H40" i="5"/>
  <c r="I40" i="5"/>
  <c r="H39" i="5"/>
  <c r="H37" i="5"/>
  <c r="H38" i="5"/>
  <c r="I38" i="5"/>
  <c r="R10" i="5"/>
  <c r="F42" i="5"/>
  <c r="F46" i="5"/>
  <c r="F49" i="5"/>
  <c r="E45" i="5"/>
  <c r="F47" i="5"/>
  <c r="E46" i="5"/>
  <c r="E47" i="5"/>
  <c r="F48" i="5"/>
  <c r="E49" i="5"/>
  <c r="E48" i="5"/>
  <c r="F45" i="5"/>
  <c r="F44" i="5"/>
  <c r="U5" i="5"/>
  <c r="U7" i="5"/>
  <c r="U6" i="5"/>
  <c r="T6" i="5"/>
  <c r="T7" i="5"/>
  <c r="T5" i="5"/>
  <c r="T12" i="5"/>
  <c r="U4" i="5"/>
  <c r="U9" i="5"/>
  <c r="T9" i="5"/>
  <c r="T8" i="5"/>
  <c r="U8" i="5"/>
  <c r="Q20" i="5"/>
  <c r="R12" i="5"/>
  <c r="Q13" i="5"/>
  <c r="Q17" i="5"/>
  <c r="R17" i="5"/>
  <c r="R13" i="5"/>
  <c r="R15" i="5"/>
  <c r="R16" i="5"/>
  <c r="R14" i="5"/>
  <c r="Q16" i="5"/>
  <c r="Q15" i="5"/>
  <c r="Q14" i="5"/>
  <c r="F50" i="5" l="1"/>
  <c r="I42" i="5"/>
  <c r="T20" i="5"/>
  <c r="U12" i="5"/>
  <c r="T14" i="5"/>
  <c r="U13" i="5"/>
  <c r="U17" i="5"/>
  <c r="T16" i="5"/>
  <c r="T15" i="5"/>
  <c r="T13" i="5"/>
  <c r="U14" i="5"/>
  <c r="U15" i="5"/>
  <c r="U16" i="5"/>
  <c r="T17" i="5"/>
  <c r="L34" i="5"/>
  <c r="R18" i="5"/>
  <c r="O26" i="5"/>
  <c r="U10" i="5"/>
  <c r="K44" i="5"/>
  <c r="L36" i="5"/>
  <c r="K39" i="5"/>
  <c r="K41" i="5"/>
  <c r="L37" i="5"/>
  <c r="L39" i="5"/>
  <c r="K37" i="5"/>
  <c r="L38" i="5"/>
  <c r="K40" i="5"/>
  <c r="L41" i="5"/>
  <c r="K38" i="5"/>
  <c r="L40" i="5"/>
  <c r="H45" i="5"/>
  <c r="H47" i="5"/>
  <c r="H46" i="5"/>
  <c r="I47" i="5"/>
  <c r="I48" i="5"/>
  <c r="H48" i="5"/>
  <c r="I46" i="5"/>
  <c r="I45" i="5"/>
  <c r="I49" i="5"/>
  <c r="H49" i="5"/>
  <c r="I44" i="5"/>
  <c r="Q28" i="5"/>
  <c r="R20" i="5"/>
  <c r="R25" i="5"/>
  <c r="Q21" i="5"/>
  <c r="R23" i="5"/>
  <c r="R21" i="5"/>
  <c r="Q25" i="5"/>
  <c r="Q23" i="5"/>
  <c r="R22" i="5"/>
  <c r="Q22" i="5"/>
  <c r="R24" i="5"/>
  <c r="Q24" i="5"/>
  <c r="N36" i="5"/>
  <c r="O28" i="5"/>
  <c r="N29" i="5"/>
  <c r="O33" i="5"/>
  <c r="N30" i="5"/>
  <c r="O31" i="5"/>
  <c r="N33" i="5"/>
  <c r="N32" i="5"/>
  <c r="O32" i="5"/>
  <c r="O30" i="5"/>
  <c r="N31" i="5"/>
  <c r="O29" i="5"/>
  <c r="I50" i="5" l="1"/>
  <c r="L42" i="5"/>
  <c r="L46" i="5"/>
  <c r="L48" i="5"/>
  <c r="K49" i="5"/>
  <c r="L45" i="5"/>
  <c r="L47" i="5"/>
  <c r="K47" i="5"/>
  <c r="K48" i="5"/>
  <c r="L49" i="5"/>
  <c r="K46" i="5"/>
  <c r="K45" i="5"/>
  <c r="L44" i="5"/>
  <c r="N44" i="5"/>
  <c r="O36" i="5"/>
  <c r="O39" i="5"/>
  <c r="O41" i="5"/>
  <c r="N39" i="5"/>
  <c r="O37" i="5"/>
  <c r="N41" i="5"/>
  <c r="N40" i="5"/>
  <c r="N37" i="5"/>
  <c r="O40" i="5"/>
  <c r="O38" i="5"/>
  <c r="N38" i="5"/>
  <c r="U18" i="5"/>
  <c r="R26" i="5"/>
  <c r="T28" i="5"/>
  <c r="U20" i="5"/>
  <c r="U23" i="5"/>
  <c r="U25" i="5"/>
  <c r="T25" i="5"/>
  <c r="T21" i="5"/>
  <c r="T22" i="5"/>
  <c r="U24" i="5"/>
  <c r="U21" i="5"/>
  <c r="T24" i="5"/>
  <c r="U22" i="5"/>
  <c r="T23" i="5"/>
  <c r="O34" i="5"/>
  <c r="Q36" i="5"/>
  <c r="R28" i="5"/>
  <c r="R32" i="5"/>
  <c r="Q31" i="5"/>
  <c r="Q30" i="5"/>
  <c r="Q29" i="5"/>
  <c r="R33" i="5"/>
  <c r="R31" i="5"/>
  <c r="R29" i="5"/>
  <c r="Q33" i="5"/>
  <c r="R30" i="5"/>
  <c r="Q32" i="5"/>
  <c r="L50" i="5" l="1"/>
  <c r="U26" i="5"/>
  <c r="T36" i="5"/>
  <c r="U28" i="5"/>
  <c r="T31" i="5"/>
  <c r="T30" i="5"/>
  <c r="U29" i="5"/>
  <c r="U32" i="5"/>
  <c r="T29" i="5"/>
  <c r="U33" i="5"/>
  <c r="U30" i="5"/>
  <c r="T32" i="5"/>
  <c r="U31" i="5"/>
  <c r="T33" i="5"/>
  <c r="Q44" i="5"/>
  <c r="R36" i="5"/>
  <c r="R37" i="5"/>
  <c r="R40" i="5"/>
  <c r="R39" i="5"/>
  <c r="Q40" i="5"/>
  <c r="R41" i="5"/>
  <c r="Q37" i="5"/>
  <c r="R38" i="5"/>
  <c r="Q38" i="5"/>
  <c r="Q39" i="5"/>
  <c r="Q41" i="5"/>
  <c r="O42" i="5"/>
  <c r="R34" i="5"/>
  <c r="O49" i="5"/>
  <c r="N45" i="5"/>
  <c r="N48" i="5"/>
  <c r="N46" i="5"/>
  <c r="O47" i="5"/>
  <c r="N49" i="5"/>
  <c r="N47" i="5"/>
  <c r="O45" i="5"/>
  <c r="O46" i="5"/>
  <c r="O48" i="5"/>
  <c r="O44" i="5"/>
  <c r="O50" i="5" l="1"/>
  <c r="R42" i="5"/>
  <c r="R49" i="5"/>
  <c r="R46" i="5"/>
  <c r="Q45" i="5"/>
  <c r="Q48" i="5"/>
  <c r="R45" i="5"/>
  <c r="Q46" i="5"/>
  <c r="Q47" i="5"/>
  <c r="Q49" i="5"/>
  <c r="R48" i="5"/>
  <c r="R47" i="5"/>
  <c r="R44" i="5"/>
  <c r="U34" i="5"/>
  <c r="T44" i="5"/>
  <c r="U36" i="5"/>
  <c r="U37" i="5"/>
  <c r="T41" i="5"/>
  <c r="U38" i="5"/>
  <c r="U41" i="5"/>
  <c r="U40" i="5"/>
  <c r="T39" i="5"/>
  <c r="T40" i="5"/>
  <c r="T38" i="5"/>
  <c r="T37" i="5"/>
  <c r="U39" i="5"/>
  <c r="R50" i="5" l="1"/>
  <c r="U42" i="5"/>
  <c r="T47" i="5"/>
  <c r="T45" i="5"/>
  <c r="U47" i="5"/>
  <c r="T49" i="5"/>
  <c r="T46" i="5"/>
  <c r="T48" i="5"/>
  <c r="U48" i="5"/>
  <c r="U49" i="5"/>
  <c r="U46" i="5"/>
  <c r="U45" i="5"/>
  <c r="U44" i="5"/>
  <c r="U50"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tc={5619BCE8-78CE-4EC7-BE3D-7347000D3DE6}</author>
    <author>tc={556814BC-0B93-438B-8B1E-D09D30DC91E3}</author>
    <author>tc={038EB57E-CBB7-4846-8CD3-115AEF1C9B75}</author>
  </authors>
  <commentList>
    <comment ref="AC4" authorId="0" shapeId="0" xr:uid="{5619BCE8-78CE-4EC7-BE3D-7347000D3DE6}">
      <text>
        <t>[스레드 댓글]
사용 중인 버전의 Excel에서 이 스레드 댓글을 읽을 수 있지만 파일을 이후 버전의 Excel에서 열면 편집 내용이 모두 제거됩니다. 자세한 정보: https://go.microsoft.com/fwlink/?linkid=870924.
댓글:
    같은 날 같은 금액으로 의지와 상관없이 무조건 나가는 돈
구독서비스, 보험, 통신료 등</t>
      </text>
    </comment>
    <comment ref="AC5" authorId="1" shapeId="0" xr:uid="{556814BC-0B93-438B-8B1E-D09D30DC91E3}">
      <text>
        <t>[스레드 댓글]
사용 중인 버전의 Excel에서 이 스레드 댓글을 읽을 수 있지만 파일을 이후 버전의 Excel에서 열면 편집 내용이 모두 제거됩니다. 자세한 정보: https://go.microsoft.com/fwlink/?linkid=870924.
댓글:
    같은 날 나가지만 금액이 달라지거나
비슷한 금액이 정기적으로 나가거나
내지 않으면 생활 유지가 어려운 돈
식비, 교통비, 기름값, 옷값 등</t>
      </text>
    </comment>
    <comment ref="AC6" authorId="2" shapeId="0" xr:uid="{038EB57E-CBB7-4846-8CD3-115AEF1C9B75}">
      <text>
        <t>[스레드 댓글]
사용 중인 버전의 Excel에서 이 스레드 댓글을 읽을 수 있지만 파일을 이후 버전의 Excel에서 열면 편집 내용이 모두 제거됩니다. 자세한 정보: https://go.microsoft.com/fwlink/?linkid=870924.
댓글:
    놀때 쓴 돈 등 계획에 없던 소비 또는
내지 않아도 생활에 문제없는 돈</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<sst xmlns="http://schemas.openxmlformats.org/spreadsheetml/2006/main" count="12345" uniqueCount="1490">
  <si>
    <t>유형</t>
    <phoneticPr fontId="1" type="noConversion"/>
  </si>
  <si>
    <t>대분류</t>
    <phoneticPr fontId="1" type="noConversion"/>
  </si>
  <si>
    <t>소분류</t>
    <phoneticPr fontId="1" type="noConversion"/>
  </si>
  <si>
    <t>이체</t>
    <phoneticPr fontId="1" type="noConversion"/>
  </si>
  <si>
    <t>거래처</t>
    <phoneticPr fontId="1" type="noConversion"/>
  </si>
  <si>
    <t>메모</t>
    <phoneticPr fontId="1" type="noConversion"/>
  </si>
  <si>
    <t>고정지출</t>
    <phoneticPr fontId="1" type="noConversion"/>
  </si>
  <si>
    <t>유동지출</t>
  </si>
  <si>
    <t>유동지출</t>
    <phoneticPr fontId="1" type="noConversion"/>
  </si>
  <si>
    <t>고정수입</t>
    <phoneticPr fontId="1" type="noConversion"/>
  </si>
  <si>
    <t>유동수입</t>
    <phoneticPr fontId="1" type="noConversion"/>
  </si>
  <si>
    <t>이체</t>
  </si>
  <si>
    <t>계좌</t>
    <phoneticPr fontId="1" type="noConversion"/>
  </si>
  <si>
    <t>반고정지출</t>
  </si>
  <si>
    <t>반고정지출</t>
    <phoneticPr fontId="1" type="noConversion"/>
  </si>
  <si>
    <t>국민ONE</t>
  </si>
  <si>
    <t>국민ONE</t>
    <phoneticPr fontId="1" type="noConversion"/>
  </si>
  <si>
    <t>국민나라사랑</t>
  </si>
  <si>
    <t>국민나라사랑</t>
    <phoneticPr fontId="1" type="noConversion"/>
  </si>
  <si>
    <t>위비모바일통장</t>
  </si>
  <si>
    <t>위비모바일통장</t>
    <phoneticPr fontId="1" type="noConversion"/>
  </si>
  <si>
    <t>두드림통장</t>
  </si>
  <si>
    <t>두드림통장</t>
    <phoneticPr fontId="1" type="noConversion"/>
  </si>
  <si>
    <t>정기급여</t>
    <phoneticPr fontId="1" type="noConversion"/>
  </si>
  <si>
    <t>용돈</t>
    <phoneticPr fontId="1" type="noConversion"/>
  </si>
  <si>
    <t>금융수입</t>
    <phoneticPr fontId="1" type="noConversion"/>
  </si>
  <si>
    <t>상여금</t>
    <phoneticPr fontId="1" type="noConversion"/>
  </si>
  <si>
    <t>사업수입</t>
    <phoneticPr fontId="1" type="noConversion"/>
  </si>
  <si>
    <t>식비</t>
    <phoneticPr fontId="1" type="noConversion"/>
  </si>
  <si>
    <t>생활</t>
    <phoneticPr fontId="1" type="noConversion"/>
  </si>
  <si>
    <t>온라인쇼핑</t>
    <phoneticPr fontId="1" type="noConversion"/>
  </si>
  <si>
    <t>교통</t>
    <phoneticPr fontId="1" type="noConversion"/>
  </si>
  <si>
    <t>자동차</t>
  </si>
  <si>
    <t>자동차</t>
    <phoneticPr fontId="1" type="noConversion"/>
  </si>
  <si>
    <t>배달</t>
    <phoneticPr fontId="1" type="noConversion"/>
  </si>
  <si>
    <t>식재료</t>
    <phoneticPr fontId="1" type="noConversion"/>
  </si>
  <si>
    <t>외식</t>
    <phoneticPr fontId="1" type="noConversion"/>
  </si>
  <si>
    <t>베이커리</t>
    <phoneticPr fontId="1" type="noConversion"/>
  </si>
  <si>
    <t>주점</t>
    <phoneticPr fontId="1" type="noConversion"/>
  </si>
  <si>
    <t>생필품</t>
    <phoneticPr fontId="1" type="noConversion"/>
  </si>
  <si>
    <t>편의점</t>
    <phoneticPr fontId="1" type="noConversion"/>
  </si>
  <si>
    <t>마트</t>
    <phoneticPr fontId="1" type="noConversion"/>
  </si>
  <si>
    <t>지역화폐충전</t>
    <phoneticPr fontId="1" type="noConversion"/>
  </si>
  <si>
    <t>문구류</t>
    <phoneticPr fontId="1" type="noConversion"/>
  </si>
  <si>
    <t>세탁</t>
    <phoneticPr fontId="1" type="noConversion"/>
  </si>
  <si>
    <t>인터넷쇼핑</t>
    <phoneticPr fontId="1" type="noConversion"/>
  </si>
  <si>
    <t>서비스구독</t>
    <phoneticPr fontId="1" type="noConversion"/>
  </si>
  <si>
    <t>앱스토어</t>
    <phoneticPr fontId="1" type="noConversion"/>
  </si>
  <si>
    <t>옷</t>
    <phoneticPr fontId="1" type="noConversion"/>
  </si>
  <si>
    <t>신발</t>
    <phoneticPr fontId="1" type="noConversion"/>
  </si>
  <si>
    <t>백화점</t>
    <phoneticPr fontId="1" type="noConversion"/>
  </si>
  <si>
    <t>화장품</t>
    <phoneticPr fontId="1" type="noConversion"/>
  </si>
  <si>
    <t>헤어샵</t>
    <phoneticPr fontId="1" type="noConversion"/>
  </si>
  <si>
    <t>미용관리</t>
    <phoneticPr fontId="1" type="noConversion"/>
  </si>
  <si>
    <t>미용용품</t>
    <phoneticPr fontId="1" type="noConversion"/>
  </si>
  <si>
    <t>택시</t>
    <phoneticPr fontId="1" type="noConversion"/>
  </si>
  <si>
    <t>대중교통</t>
    <phoneticPr fontId="1" type="noConversion"/>
  </si>
  <si>
    <t>시외버스</t>
    <phoneticPr fontId="1" type="noConversion"/>
  </si>
  <si>
    <t>철도</t>
    <phoneticPr fontId="1" type="noConversion"/>
  </si>
  <si>
    <t>주유</t>
    <phoneticPr fontId="1" type="noConversion"/>
  </si>
  <si>
    <t>주차</t>
    <phoneticPr fontId="1" type="noConversion"/>
  </si>
  <si>
    <t>세차</t>
    <phoneticPr fontId="1" type="noConversion"/>
  </si>
  <si>
    <t>통행료</t>
    <phoneticPr fontId="1" type="noConversion"/>
  </si>
  <si>
    <t>차량보험</t>
    <phoneticPr fontId="1" type="noConversion"/>
  </si>
  <si>
    <t>대리운전</t>
    <phoneticPr fontId="1" type="noConversion"/>
  </si>
  <si>
    <t>휴대폰</t>
    <phoneticPr fontId="1" type="noConversion"/>
  </si>
  <si>
    <t>인터넷</t>
    <phoneticPr fontId="1" type="noConversion"/>
  </si>
  <si>
    <t>월세</t>
    <phoneticPr fontId="1" type="noConversion"/>
  </si>
  <si>
    <t>관리비</t>
    <phoneticPr fontId="1" type="noConversion"/>
  </si>
  <si>
    <t>가스비</t>
    <phoneticPr fontId="1" type="noConversion"/>
  </si>
  <si>
    <t>전기세</t>
    <phoneticPr fontId="1" type="noConversion"/>
  </si>
  <si>
    <t>약국</t>
    <phoneticPr fontId="1" type="noConversion"/>
  </si>
  <si>
    <t>병원</t>
    <phoneticPr fontId="1" type="noConversion"/>
  </si>
  <si>
    <t>운동</t>
    <phoneticPr fontId="1" type="noConversion"/>
  </si>
  <si>
    <t>금융</t>
    <phoneticPr fontId="1" type="noConversion"/>
  </si>
  <si>
    <t>보험</t>
    <phoneticPr fontId="1" type="noConversion"/>
  </si>
  <si>
    <t>카드</t>
    <phoneticPr fontId="1" type="noConversion"/>
  </si>
  <si>
    <t>영화</t>
    <phoneticPr fontId="1" type="noConversion"/>
  </si>
  <si>
    <t>도서</t>
    <phoneticPr fontId="1" type="noConversion"/>
  </si>
  <si>
    <t>게임</t>
    <phoneticPr fontId="1" type="noConversion"/>
  </si>
  <si>
    <t>공연</t>
    <phoneticPr fontId="1" type="noConversion"/>
  </si>
  <si>
    <t>취미</t>
    <phoneticPr fontId="1" type="noConversion"/>
  </si>
  <si>
    <t>테마파크</t>
    <phoneticPr fontId="1" type="noConversion"/>
  </si>
  <si>
    <t>숙박비</t>
    <phoneticPr fontId="1" type="noConversion"/>
  </si>
  <si>
    <t>관광</t>
    <phoneticPr fontId="1" type="noConversion"/>
  </si>
  <si>
    <t>여행용품</t>
    <phoneticPr fontId="1" type="noConversion"/>
  </si>
  <si>
    <t>교통비</t>
    <phoneticPr fontId="1" type="noConversion"/>
  </si>
  <si>
    <t>책</t>
    <phoneticPr fontId="1" type="noConversion"/>
  </si>
  <si>
    <t>시험료</t>
    <phoneticPr fontId="1" type="noConversion"/>
  </si>
  <si>
    <t>수업료</t>
    <phoneticPr fontId="1" type="noConversion"/>
  </si>
  <si>
    <t>축의금</t>
    <phoneticPr fontId="1" type="noConversion"/>
  </si>
  <si>
    <t>부조금</t>
    <phoneticPr fontId="1" type="noConversion"/>
  </si>
  <si>
    <t>선물</t>
    <phoneticPr fontId="1" type="noConversion"/>
  </si>
  <si>
    <t>회비</t>
    <phoneticPr fontId="1" type="noConversion"/>
  </si>
  <si>
    <t>내계좌이체</t>
  </si>
  <si>
    <t>내계좌이체</t>
    <phoneticPr fontId="1" type="noConversion"/>
  </si>
  <si>
    <t>저축</t>
    <phoneticPr fontId="1" type="noConversion"/>
  </si>
  <si>
    <t>현금</t>
    <phoneticPr fontId="1" type="noConversion"/>
  </si>
  <si>
    <t>투자</t>
    <phoneticPr fontId="1" type="noConversion"/>
  </si>
  <si>
    <t>이체분류</t>
  </si>
  <si>
    <t>이체분류</t>
    <phoneticPr fontId="1" type="noConversion"/>
  </si>
  <si>
    <t>금액</t>
    <phoneticPr fontId="1" type="noConversion"/>
  </si>
  <si>
    <t>계좌등록</t>
    <phoneticPr fontId="1" type="noConversion"/>
  </si>
  <si>
    <t>행 레이블</t>
  </si>
  <si>
    <t>총합계</t>
  </si>
  <si>
    <t>합계 : 금액</t>
  </si>
  <si>
    <t>연</t>
    <phoneticPr fontId="1" type="noConversion"/>
  </si>
  <si>
    <t>월</t>
    <phoneticPr fontId="1" type="noConversion"/>
  </si>
  <si>
    <t>일</t>
    <phoneticPr fontId="1" type="noConversion"/>
  </si>
  <si>
    <t>열 레이블</t>
  </si>
  <si>
    <t>카페_간식</t>
  </si>
  <si>
    <t>술_유흥</t>
  </si>
  <si>
    <t>패션_쇼핑</t>
  </si>
  <si>
    <t>뷰티_미용</t>
  </si>
  <si>
    <t>주거_통신</t>
  </si>
  <si>
    <t>의료_건강</t>
  </si>
  <si>
    <t>문화_여가</t>
  </si>
  <si>
    <t>여행_숙박</t>
  </si>
  <si>
    <t>교육_학습</t>
  </si>
  <si>
    <t>경조_선물</t>
  </si>
  <si>
    <t>커피_음료</t>
  </si>
  <si>
    <t>증권_투자</t>
  </si>
  <si>
    <t>디저트_빵</t>
  </si>
  <si>
    <t>건강_보조식품</t>
  </si>
  <si>
    <t>아이스크림_빙수</t>
  </si>
  <si>
    <t>이자_대출</t>
  </si>
  <si>
    <t>정비_수리</t>
  </si>
  <si>
    <t>세금_과태료</t>
  </si>
  <si>
    <t>전시_관람_체험</t>
  </si>
  <si>
    <t>가구_가전</t>
  </si>
  <si>
    <t>금액rev</t>
    <phoneticPr fontId="1" type="noConversion"/>
  </si>
  <si>
    <t>월별소비추이</t>
    <phoneticPr fontId="1" type="noConversion"/>
  </si>
  <si>
    <t>합계 : 금액rev</t>
  </si>
  <si>
    <t>계좌잔고</t>
    <phoneticPr fontId="1" type="noConversion"/>
  </si>
  <si>
    <t>대분류별 지출비율</t>
    <phoneticPr fontId="1" type="noConversion"/>
  </si>
  <si>
    <t>유동수입</t>
  </si>
  <si>
    <t>상여금</t>
  </si>
  <si>
    <t>출장여비</t>
    <phoneticPr fontId="1" type="noConversion"/>
  </si>
  <si>
    <t>식비</t>
  </si>
  <si>
    <t>외식</t>
  </si>
  <si>
    <t>홍대개미</t>
    <phoneticPr fontId="1" type="noConversion"/>
  </si>
  <si>
    <t>주차</t>
  </si>
  <si>
    <t>동탄호수공원</t>
    <phoneticPr fontId="1" type="noConversion"/>
  </si>
  <si>
    <t>기타수입</t>
  </si>
  <si>
    <t>기타수입</t>
    <phoneticPr fontId="1" type="noConversion"/>
  </si>
  <si>
    <t>웃는양복</t>
    <phoneticPr fontId="1" type="noConversion"/>
  </si>
  <si>
    <t>카카오인증</t>
    <phoneticPr fontId="1" type="noConversion"/>
  </si>
  <si>
    <t>유형</t>
  </si>
  <si>
    <t>월별지출수입</t>
    <phoneticPr fontId="1" type="noConversion"/>
  </si>
  <si>
    <t>날짜</t>
    <phoneticPr fontId="1" type="noConversion"/>
  </si>
  <si>
    <t>(다중 항목)</t>
  </si>
  <si>
    <t>고정수입</t>
  </si>
  <si>
    <t>용돈</t>
  </si>
  <si>
    <t>엄마</t>
    <phoneticPr fontId="1" type="noConversion"/>
  </si>
  <si>
    <t>보험, 넷플 차액</t>
    <phoneticPr fontId="1" type="noConversion"/>
  </si>
  <si>
    <t>온라인쇼핑</t>
  </si>
  <si>
    <t>서비스구독</t>
  </si>
  <si>
    <t>박수진</t>
  </si>
  <si>
    <t>디플구독</t>
  </si>
  <si>
    <t>포장</t>
  </si>
  <si>
    <t>수타신짬뽕</t>
  </si>
  <si>
    <t>양장피 포장</t>
  </si>
  <si>
    <t>자판기</t>
  </si>
  <si>
    <t>롯데시네마 음료수</t>
  </si>
  <si>
    <t>큰아빠,할머니 용돈-기름값</t>
  </si>
  <si>
    <t>엠브레인</t>
  </si>
  <si>
    <t>포인트 출금</t>
  </si>
  <si>
    <t>생활</t>
  </si>
  <si>
    <t>편의점</t>
  </si>
  <si>
    <t>여명2개</t>
  </si>
  <si>
    <t>고정지출</t>
  </si>
  <si>
    <t>헤어샵</t>
  </si>
  <si>
    <t>라온하루헤어</t>
  </si>
  <si>
    <t>교통</t>
  </si>
  <si>
    <t>전동킥보드</t>
  </si>
  <si>
    <t>빽다방대전역</t>
  </si>
  <si>
    <t>복귀기념</t>
  </si>
  <si>
    <t>정기급여</t>
  </si>
  <si>
    <t>국군재정단</t>
  </si>
  <si>
    <t>7월 월급</t>
  </si>
  <si>
    <t>선물</t>
  </si>
  <si>
    <t>카카오선물하기</t>
  </si>
  <si>
    <t>용산편백집</t>
  </si>
  <si>
    <t>승무 저녁</t>
  </si>
  <si>
    <t>저축</t>
  </si>
  <si>
    <t>우리적금이체</t>
  </si>
  <si>
    <t>금융</t>
  </si>
  <si>
    <t>육탄 점심</t>
  </si>
  <si>
    <t>민관홍 이체</t>
  </si>
  <si>
    <t>국민적금이체</t>
  </si>
  <si>
    <t>금융수입</t>
  </si>
  <si>
    <t>통신비 환급</t>
  </si>
  <si>
    <t>분대활동비 이전</t>
  </si>
  <si>
    <t>추풍령휴게소 부산</t>
  </si>
  <si>
    <t>볶음밥</t>
  </si>
  <si>
    <t>서대전역 자판기</t>
  </si>
  <si>
    <t>역전우동 대전역</t>
  </si>
  <si>
    <t>배달</t>
  </si>
  <si>
    <t>굽네치킨</t>
  </si>
  <si>
    <t>분대활동비</t>
  </si>
  <si>
    <t>노트북 중고거래</t>
  </si>
  <si>
    <t>점심+간식값</t>
  </si>
  <si>
    <t>육탄 점심, 저녁</t>
  </si>
  <si>
    <t>설렁탕, 버거킹 오세호 이체</t>
  </si>
  <si>
    <t>추풍령휴게소 서울</t>
  </si>
  <si>
    <t>왕비성</t>
  </si>
  <si>
    <t>김도현 이체</t>
  </si>
  <si>
    <t>대중교통</t>
  </si>
  <si>
    <t>교통비 출금</t>
  </si>
  <si>
    <t>승무 소급</t>
  </si>
  <si>
    <t>결산이자</t>
  </si>
  <si>
    <t>코바그릴</t>
  </si>
  <si>
    <t>기타</t>
  </si>
  <si>
    <t>포토시그니쳐 은행점</t>
  </si>
  <si>
    <t>마트</t>
  </si>
  <si>
    <t>국군복지단</t>
  </si>
  <si>
    <t>호송모 1등 상금</t>
  </si>
  <si>
    <t>게임</t>
  </si>
  <si>
    <t>구글플레이</t>
  </si>
  <si>
    <t>클오클</t>
  </si>
  <si>
    <t>환급할인 3150적용</t>
  </si>
  <si>
    <t>인터넷쇼핑</t>
  </si>
  <si>
    <t>광스웍스</t>
  </si>
  <si>
    <t>키링 주문제작</t>
  </si>
  <si>
    <t>용산 순대국밥</t>
  </si>
  <si>
    <t>취미</t>
  </si>
  <si>
    <t>킹베이퍼</t>
  </si>
  <si>
    <t>액상+팟</t>
  </si>
  <si>
    <t>오며가며무인카페</t>
  </si>
  <si>
    <t>프랭크버거</t>
  </si>
  <si>
    <t>동행복권</t>
  </si>
  <si>
    <t>화장품</t>
  </si>
  <si>
    <t>지마켓</t>
  </si>
  <si>
    <t>기초화장품, 5%환급적용</t>
  </si>
  <si>
    <t>임실 is pizza</t>
  </si>
  <si>
    <t>임태수 이체</t>
  </si>
  <si>
    <t>교촌치킨</t>
  </si>
  <si>
    <t>병력 배달</t>
  </si>
  <si>
    <t>육탄px 김도현 이체</t>
  </si>
  <si>
    <t>KFC</t>
  </si>
  <si>
    <t>류호영 이체</t>
  </si>
  <si>
    <t>이준혁</t>
  </si>
  <si>
    <t>담배사고 남은값</t>
  </si>
  <si>
    <t>윤수누나 선물</t>
  </si>
  <si>
    <t>상상짬뽕</t>
  </si>
  <si>
    <t>카페051 부산역점</t>
  </si>
  <si>
    <t>중복식비 제외</t>
  </si>
  <si>
    <t>철화 치킨</t>
  </si>
  <si>
    <t>열린참치</t>
  </si>
  <si>
    <t>전역빵 도현이랑 반씩</t>
  </si>
  <si>
    <t>스토리웨이 신탄진</t>
  </si>
  <si>
    <t>병력 점심</t>
  </si>
  <si>
    <t>권은희</t>
  </si>
  <si>
    <t>넷플내고 남은값</t>
  </si>
  <si>
    <t>쉐이빙밤</t>
  </si>
  <si>
    <t>보스헤어</t>
  </si>
  <si>
    <t>에그박스</t>
  </si>
  <si>
    <t>일이공생돈가스</t>
  </si>
  <si>
    <t>분대외출</t>
  </si>
  <si>
    <t>월급+체크할인</t>
  </si>
  <si>
    <t>이체수수료</t>
  </si>
  <si>
    <t>스토리웨이 조치원</t>
  </si>
  <si>
    <t>택시</t>
  </si>
  <si>
    <t>병력 택시</t>
  </si>
  <si>
    <t>요녀석파스타</t>
  </si>
  <si>
    <t>병력 점심+후임것까지</t>
  </si>
  <si>
    <t>김도현 전역복</t>
  </si>
  <si>
    <t>유준영 이체</t>
  </si>
  <si>
    <t>대전병원px</t>
  </si>
  <si>
    <t>작전비+통신비 할인</t>
  </si>
  <si>
    <t>니코니코니</t>
  </si>
  <si>
    <t>승무 저녁+후임것까지</t>
  </si>
  <si>
    <t>광카롱</t>
  </si>
  <si>
    <t>이대경 이체</t>
  </si>
  <si>
    <t>결산이자+체크할인</t>
  </si>
  <si>
    <t>죠스떡볶이</t>
  </si>
  <si>
    <t>보험</t>
  </si>
  <si>
    <t>한화생명</t>
  </si>
  <si>
    <t>입금비 차액</t>
  </si>
  <si>
    <t>철도</t>
  </si>
  <si>
    <t>한국철도공사</t>
  </si>
  <si>
    <t>저스트텐동</t>
  </si>
  <si>
    <t>하사김도현 이체(용성이것까지)+택시비</t>
  </si>
  <si>
    <t>헤밍웨이베이커리</t>
  </si>
  <si>
    <t>육탄 커피(팀 전체)</t>
  </si>
  <si>
    <t>버거킹</t>
  </si>
  <si>
    <t>오세호 이체</t>
  </si>
  <si>
    <t>반환수수료</t>
  </si>
  <si>
    <t>굽네치킨</t>
    <phoneticPr fontId="1" type="noConversion"/>
  </si>
  <si>
    <t>류호영 이체</t>
    <phoneticPr fontId="1" type="noConversion"/>
  </si>
  <si>
    <t>분대활동비 사용</t>
    <phoneticPr fontId="1" type="noConversion"/>
  </si>
  <si>
    <t>던킨도너츠 대전역</t>
    <phoneticPr fontId="1" type="noConversion"/>
  </si>
  <si>
    <t>컴퓨터 부품</t>
    <phoneticPr fontId="1" type="noConversion"/>
  </si>
  <si>
    <t>6건 결제</t>
    <phoneticPr fontId="1" type="noConversion"/>
  </si>
  <si>
    <t>CMA계좌출금</t>
    <phoneticPr fontId="1" type="noConversion"/>
  </si>
  <si>
    <t>계</t>
    <phoneticPr fontId="1" type="noConversion"/>
  </si>
  <si>
    <t>시발비용</t>
  </si>
  <si>
    <t>한강공원</t>
  </si>
  <si>
    <t>곱도리식당</t>
  </si>
  <si>
    <t>형준 동근 저녁</t>
  </si>
  <si>
    <t>맥도날드</t>
  </si>
  <si>
    <t>G마켓</t>
  </si>
  <si>
    <t>DP선, 에어건</t>
  </si>
  <si>
    <t>유튜브 프리미엄</t>
  </si>
  <si>
    <t>KB체크할인</t>
    <phoneticPr fontId="1" type="noConversion"/>
  </si>
  <si>
    <t>권은희</t>
    <phoneticPr fontId="1" type="noConversion"/>
  </si>
  <si>
    <t>용돈-넷플</t>
    <phoneticPr fontId="1" type="noConversion"/>
  </si>
  <si>
    <t>한국철도공사</t>
    <phoneticPr fontId="1" type="noConversion"/>
  </si>
  <si>
    <t>추석티켓</t>
    <phoneticPr fontId="1" type="noConversion"/>
  </si>
  <si>
    <t>엔제리너스</t>
    <phoneticPr fontId="1" type="noConversion"/>
  </si>
  <si>
    <t>수원롯데시네마</t>
    <phoneticPr fontId="1" type="noConversion"/>
  </si>
  <si>
    <t>씽씽</t>
    <phoneticPr fontId="1" type="noConversion"/>
  </si>
  <si>
    <t>오늘의집</t>
    <phoneticPr fontId="1" type="noConversion"/>
  </si>
  <si>
    <t>교통비 출금</t>
    <phoneticPr fontId="1" type="noConversion"/>
  </si>
  <si>
    <t>엠브레인</t>
    <phoneticPr fontId="1" type="noConversion"/>
  </si>
  <si>
    <t>안양역-&gt;광명역</t>
    <phoneticPr fontId="1" type="noConversion"/>
  </si>
  <si>
    <t>에그박스</t>
    <phoneticPr fontId="1" type="noConversion"/>
  </si>
  <si>
    <t>생활관 간식</t>
    <phoneticPr fontId="1" type="noConversion"/>
  </si>
  <si>
    <t>병력 점심</t>
    <phoneticPr fontId="1" type="noConversion"/>
  </si>
  <si>
    <t>오세호 이체</t>
    <phoneticPr fontId="1" type="noConversion"/>
  </si>
  <si>
    <t>국군재정단</t>
    <phoneticPr fontId="1" type="noConversion"/>
  </si>
  <si>
    <t>핀플레이</t>
    <phoneticPr fontId="1" type="noConversion"/>
  </si>
  <si>
    <t>겜비</t>
    <phoneticPr fontId="1" type="noConversion"/>
  </si>
  <si>
    <t>빽다방대전은행</t>
    <phoneticPr fontId="1" type="noConversion"/>
  </si>
  <si>
    <t>당직 커피</t>
    <phoneticPr fontId="1" type="noConversion"/>
  </si>
  <si>
    <t>구글플레이</t>
    <phoneticPr fontId="1" type="noConversion"/>
  </si>
  <si>
    <t>결산이자</t>
    <phoneticPr fontId="1" type="noConversion"/>
  </si>
  <si>
    <t>총합계</t>
    <phoneticPr fontId="1" type="noConversion"/>
  </si>
  <si>
    <t>김명진</t>
    <phoneticPr fontId="1" type="noConversion"/>
  </si>
  <si>
    <t>생일 용돈</t>
    <phoneticPr fontId="1" type="noConversion"/>
  </si>
  <si>
    <t>용돈-통신비</t>
    <phoneticPr fontId="1" type="noConversion"/>
  </si>
  <si>
    <t>서기남헤어클리닉</t>
    <phoneticPr fontId="1" type="noConversion"/>
  </si>
  <si>
    <t>GS25</t>
    <phoneticPr fontId="1" type="noConversion"/>
  </si>
  <si>
    <t>여명</t>
    <phoneticPr fontId="1" type="noConversion"/>
  </si>
  <si>
    <t>주점</t>
  </si>
  <si>
    <t>박수진</t>
    <phoneticPr fontId="1" type="noConversion"/>
  </si>
  <si>
    <t>신촌 이체</t>
    <phoneticPr fontId="1" type="noConversion"/>
  </si>
  <si>
    <t>버거킹</t>
    <phoneticPr fontId="1" type="noConversion"/>
  </si>
  <si>
    <t>WIFI</t>
    <phoneticPr fontId="1" type="noConversion"/>
  </si>
  <si>
    <t>테마파크</t>
  </si>
  <si>
    <t>에버랜드</t>
    <phoneticPr fontId="1" type="noConversion"/>
  </si>
  <si>
    <t>호준이 티켓+밥값-환급할인</t>
    <phoneticPr fontId="1" type="noConversion"/>
  </si>
  <si>
    <t>옷</t>
  </si>
  <si>
    <t>룩핀</t>
    <phoneticPr fontId="1" type="noConversion"/>
  </si>
  <si>
    <t>모바일티머니</t>
    <phoneticPr fontId="1" type="noConversion"/>
  </si>
  <si>
    <t>따릉이</t>
    <phoneticPr fontId="1" type="noConversion"/>
  </si>
  <si>
    <t>류호영</t>
    <phoneticPr fontId="1" type="noConversion"/>
  </si>
  <si>
    <t>신촌 이체(식비+플스방+사진)</t>
    <phoneticPr fontId="1" type="noConversion"/>
  </si>
  <si>
    <t>G마켓</t>
    <phoneticPr fontId="1" type="noConversion"/>
  </si>
  <si>
    <t>마이크</t>
    <phoneticPr fontId="1" type="noConversion"/>
  </si>
  <si>
    <t>순번</t>
    <phoneticPr fontId="1" type="noConversion"/>
  </si>
  <si>
    <t>생필품</t>
  </si>
  <si>
    <t>플로렌스안경</t>
    <phoneticPr fontId="1" type="noConversion"/>
  </si>
  <si>
    <t>G쿠터</t>
    <phoneticPr fontId="1" type="noConversion"/>
  </si>
  <si>
    <t>티앙팡</t>
    <phoneticPr fontId="1" type="noConversion"/>
  </si>
  <si>
    <t>윤동근</t>
    <phoneticPr fontId="1" type="noConversion"/>
  </si>
  <si>
    <t>중고컴퓨터</t>
    <phoneticPr fontId="1" type="noConversion"/>
  </si>
  <si>
    <t>다이소</t>
    <phoneticPr fontId="1" type="noConversion"/>
  </si>
  <si>
    <t>정리함</t>
    <phoneticPr fontId="1" type="noConversion"/>
  </si>
  <si>
    <t>스타벅스</t>
    <phoneticPr fontId="1" type="noConversion"/>
  </si>
  <si>
    <t>기프티콘 차액</t>
    <phoneticPr fontId="1" type="noConversion"/>
  </si>
  <si>
    <t>슬립워크아지트</t>
    <phoneticPr fontId="1" type="noConversion"/>
  </si>
  <si>
    <t>가천대 점심</t>
    <phoneticPr fontId="1" type="noConversion"/>
  </si>
  <si>
    <t>가천대학교</t>
    <phoneticPr fontId="1" type="noConversion"/>
  </si>
  <si>
    <t>여의도한강공원</t>
    <phoneticPr fontId="1" type="noConversion"/>
  </si>
  <si>
    <t>한강 저녁</t>
    <phoneticPr fontId="1" type="noConversion"/>
  </si>
  <si>
    <t>박수진 이체</t>
    <phoneticPr fontId="1" type="noConversion"/>
  </si>
  <si>
    <t>육첩반상 대전역</t>
    <phoneticPr fontId="1" type="noConversion"/>
  </si>
  <si>
    <t>세븐일레븐 대전역</t>
    <phoneticPr fontId="1" type="noConversion"/>
  </si>
  <si>
    <t>라면</t>
    <phoneticPr fontId="1" type="noConversion"/>
  </si>
  <si>
    <t>요녀석파스타</t>
    <phoneticPr fontId="1" type="noConversion"/>
  </si>
  <si>
    <t>베스킨라빈스</t>
    <phoneticPr fontId="1" type="noConversion"/>
  </si>
  <si>
    <t>노진형 이체</t>
    <phoneticPr fontId="1" type="noConversion"/>
  </si>
  <si>
    <t>성심당 대전역</t>
    <phoneticPr fontId="1" type="noConversion"/>
  </si>
  <si>
    <t>베이커리</t>
  </si>
  <si>
    <t>닭갈비</t>
    <phoneticPr fontId="1" type="noConversion"/>
  </si>
  <si>
    <t>김도현 이체</t>
    <phoneticPr fontId="1" type="noConversion"/>
  </si>
  <si>
    <t>스크린야구</t>
    <phoneticPr fontId="1" type="noConversion"/>
  </si>
  <si>
    <t>서피스8프로</t>
    <phoneticPr fontId="1" type="noConversion"/>
  </si>
  <si>
    <t>중고거래</t>
    <phoneticPr fontId="1" type="noConversion"/>
  </si>
  <si>
    <t>코트</t>
    <phoneticPr fontId="1" type="noConversion"/>
  </si>
  <si>
    <t>조이스틱, 당근 정동호 이체</t>
    <phoneticPr fontId="1" type="noConversion"/>
  </si>
  <si>
    <t>태블릿 파우치, 필름</t>
    <phoneticPr fontId="1" type="noConversion"/>
  </si>
  <si>
    <t>클오클</t>
    <phoneticPr fontId="1" type="noConversion"/>
  </si>
  <si>
    <t>카카오</t>
    <phoneticPr fontId="1" type="noConversion"/>
  </si>
  <si>
    <t>은행인증</t>
    <phoneticPr fontId="1" type="noConversion"/>
  </si>
  <si>
    <t>풍타디6</t>
    <phoneticPr fontId="1" type="noConversion"/>
  </si>
  <si>
    <t>유튜브 프리미엄</t>
    <phoneticPr fontId="1" type="noConversion"/>
  </si>
  <si>
    <t>용인휴게소</t>
    <phoneticPr fontId="1" type="noConversion"/>
  </si>
  <si>
    <t>토스트*2</t>
    <phoneticPr fontId="1" type="noConversion"/>
  </si>
  <si>
    <t>악쓰는하마</t>
    <phoneticPr fontId="1" type="noConversion"/>
  </si>
  <si>
    <t>엄마병원이동</t>
    <phoneticPr fontId="1" type="noConversion"/>
  </si>
  <si>
    <t>99무한삼겹</t>
    <phoneticPr fontId="1" type="noConversion"/>
  </si>
  <si>
    <t>임태수 이체+설빙</t>
    <phoneticPr fontId="1" type="noConversion"/>
  </si>
  <si>
    <t>작전비+통신비 할인</t>
    <phoneticPr fontId="1" type="noConversion"/>
  </si>
  <si>
    <t>아빠 생신</t>
    <phoneticPr fontId="1" type="noConversion"/>
  </si>
  <si>
    <t>보험료+케잌+마트+행거값으로 대체</t>
    <phoneticPr fontId="1" type="noConversion"/>
  </si>
  <si>
    <t>서울뼈구이</t>
    <phoneticPr fontId="1" type="noConversion"/>
  </si>
  <si>
    <t>+공차, 정산값 제외</t>
    <phoneticPr fontId="1" type="noConversion"/>
  </si>
  <si>
    <t>본인인증</t>
    <phoneticPr fontId="1" type="noConversion"/>
  </si>
  <si>
    <t>연극관람</t>
    <phoneticPr fontId="1" type="noConversion"/>
  </si>
  <si>
    <t>이효비 이체</t>
    <phoneticPr fontId="1" type="noConversion"/>
  </si>
  <si>
    <t>카카오선물하기</t>
    <phoneticPr fontId="1" type="noConversion"/>
  </si>
  <si>
    <t>조선앵 생일</t>
    <phoneticPr fontId="1" type="noConversion"/>
  </si>
  <si>
    <t>공연</t>
  </si>
  <si>
    <t>이빠네마그릴</t>
    <phoneticPr fontId="1" type="noConversion"/>
  </si>
  <si>
    <t>박수진 생일</t>
    <phoneticPr fontId="1" type="noConversion"/>
  </si>
  <si>
    <t>웅이 병원+택시비 입금차액</t>
    <phoneticPr fontId="1" type="noConversion"/>
  </si>
  <si>
    <t>국고환급</t>
    <phoneticPr fontId="1" type="noConversion"/>
  </si>
  <si>
    <t>디미고 알바비 세금환급</t>
    <phoneticPr fontId="1" type="noConversion"/>
  </si>
  <si>
    <t>롯데리아 대전역</t>
    <phoneticPr fontId="1" type="noConversion"/>
  </si>
  <si>
    <t>유준영 포장</t>
    <phoneticPr fontId="1" type="noConversion"/>
  </si>
  <si>
    <t>김용성 이체</t>
    <phoneticPr fontId="1" type="noConversion"/>
  </si>
  <si>
    <t>교촌치킨</t>
    <phoneticPr fontId="1" type="noConversion"/>
  </si>
  <si>
    <t>유준영 이체</t>
    <phoneticPr fontId="1" type="noConversion"/>
  </si>
  <si>
    <t>빵값</t>
    <phoneticPr fontId="1" type="noConversion"/>
  </si>
  <si>
    <t>국군복지단</t>
    <phoneticPr fontId="1" type="noConversion"/>
  </si>
  <si>
    <t>영외px이용-환급비</t>
    <phoneticPr fontId="1" type="noConversion"/>
  </si>
  <si>
    <t>전역날 교통비</t>
    <phoneticPr fontId="1" type="noConversion"/>
  </si>
  <si>
    <t>청년다방</t>
    <phoneticPr fontId="1" type="noConversion"/>
  </si>
  <si>
    <t>박서연 이체+카페</t>
    <phoneticPr fontId="1" type="noConversion"/>
  </si>
  <si>
    <t>돈돈정</t>
    <phoneticPr fontId="1" type="noConversion"/>
  </si>
  <si>
    <t>레드버튼</t>
    <phoneticPr fontId="1" type="noConversion"/>
  </si>
  <si>
    <t>현금</t>
  </si>
  <si>
    <t>현금인출</t>
    <phoneticPr fontId="1" type="noConversion"/>
  </si>
  <si>
    <t>스타코노-호영이 정산</t>
    <phoneticPr fontId="1" type="noConversion"/>
  </si>
  <si>
    <t>김진규</t>
    <phoneticPr fontId="1" type="noConversion"/>
  </si>
  <si>
    <t>박종민</t>
    <phoneticPr fontId="1" type="noConversion"/>
  </si>
  <si>
    <t>자기계발비 차액</t>
    <phoneticPr fontId="1" type="noConversion"/>
  </si>
  <si>
    <t>교동짬뽕 대전역</t>
    <phoneticPr fontId="1" type="noConversion"/>
  </si>
  <si>
    <t>돼지찜</t>
    <phoneticPr fontId="1" type="noConversion"/>
  </si>
  <si>
    <t>장형준 이체</t>
    <phoneticPr fontId="1" type="noConversion"/>
  </si>
  <si>
    <t>만기이자</t>
    <phoneticPr fontId="1" type="noConversion"/>
  </si>
  <si>
    <t>CMA계좌입금</t>
    <phoneticPr fontId="1" type="noConversion"/>
  </si>
  <si>
    <t>단원구세무과</t>
    <phoneticPr fontId="1" type="noConversion"/>
  </si>
  <si>
    <t>세금환급</t>
    <phoneticPr fontId="1" type="noConversion"/>
  </si>
  <si>
    <t>점심 커피</t>
    <phoneticPr fontId="1" type="noConversion"/>
  </si>
  <si>
    <t>술</t>
    <phoneticPr fontId="1" type="noConversion"/>
  </si>
  <si>
    <t>하남돼지집, 금별맥주, 스타코노 정산</t>
    <phoneticPr fontId="1" type="noConversion"/>
  </si>
  <si>
    <t>정기급여+전역여비</t>
    <phoneticPr fontId="1" type="noConversion"/>
  </si>
  <si>
    <t>(exp)국민장병내일준비</t>
    <phoneticPr fontId="1" type="noConversion"/>
  </si>
  <si>
    <t>(exp)우리장병내일준비</t>
    <phoneticPr fontId="1" type="noConversion"/>
  </si>
  <si>
    <r>
      <t>내꺼 80, 엄마돈 60</t>
    </r>
    <r>
      <rPr>
        <sz val="11"/>
        <color rgb="FFFF0000"/>
        <rFont val="맑은 고딕"/>
        <family val="3"/>
        <charset val="129"/>
        <scheme val="minor"/>
      </rPr>
      <t>(반환완료)</t>
    </r>
    <phoneticPr fontId="1" type="noConversion"/>
  </si>
  <si>
    <t>롯데홈쇼핑</t>
    <phoneticPr fontId="1" type="noConversion"/>
  </si>
  <si>
    <t>키보드</t>
    <phoneticPr fontId="1" type="noConversion"/>
  </si>
  <si>
    <t>조용민 생일</t>
    <phoneticPr fontId="1" type="noConversion"/>
  </si>
  <si>
    <t>시험료</t>
  </si>
  <si>
    <t>대한상공회의소</t>
    <phoneticPr fontId="1" type="noConversion"/>
  </si>
  <si>
    <t>컴활1급 시험료</t>
    <phoneticPr fontId="1" type="noConversion"/>
  </si>
  <si>
    <t>동행복권</t>
    <phoneticPr fontId="1" type="noConversion"/>
  </si>
  <si>
    <t>교통비</t>
  </si>
  <si>
    <t>수렌트카</t>
    <phoneticPr fontId="1" type="noConversion"/>
  </si>
  <si>
    <t>4명정산</t>
    <phoneticPr fontId="1" type="noConversion"/>
  </si>
  <si>
    <t>숙박비</t>
  </si>
  <si>
    <t>제주항공</t>
    <phoneticPr fontId="1" type="noConversion"/>
  </si>
  <si>
    <t>박종민 이체</t>
    <phoneticPr fontId="1" type="noConversion"/>
  </si>
  <si>
    <t>그랜드메르 제주</t>
    <phoneticPr fontId="1" type="noConversion"/>
  </si>
  <si>
    <t>카카오바이크</t>
    <phoneticPr fontId="1" type="noConversion"/>
  </si>
  <si>
    <t>시험장 이동</t>
    <phoneticPr fontId="1" type="noConversion"/>
  </si>
  <si>
    <t>마이동</t>
    <phoneticPr fontId="1" type="noConversion"/>
  </si>
  <si>
    <t>앱스토어</t>
  </si>
  <si>
    <t>Inkodo</t>
    <phoneticPr fontId="1" type="noConversion"/>
  </si>
  <si>
    <t>Inkodo 프로 구매</t>
    <phoneticPr fontId="1" type="noConversion"/>
  </si>
  <si>
    <t>회사 선배</t>
    <phoneticPr fontId="1" type="noConversion"/>
  </si>
  <si>
    <t>자판기</t>
    <phoneticPr fontId="1" type="noConversion"/>
  </si>
  <si>
    <t>쿠팡 자판기</t>
    <phoneticPr fontId="1" type="noConversion"/>
  </si>
  <si>
    <t>통신비 환급</t>
    <phoneticPr fontId="1" type="noConversion"/>
  </si>
  <si>
    <t>공항 점심</t>
    <phoneticPr fontId="1" type="noConversion"/>
  </si>
  <si>
    <t>관광</t>
  </si>
  <si>
    <t>제주여행</t>
    <phoneticPr fontId="1" type="noConversion"/>
  </si>
  <si>
    <t>12.14-12.15 여행비 정산</t>
    <phoneticPr fontId="1" type="noConversion"/>
  </si>
  <si>
    <t>기념품</t>
  </si>
  <si>
    <t>기념품</t>
    <phoneticPr fontId="1" type="noConversion"/>
  </si>
  <si>
    <t>뱅쇼, 초콜릿, 젤리 등</t>
    <phoneticPr fontId="1" type="noConversion"/>
  </si>
  <si>
    <t>김포공항푸드코드</t>
    <phoneticPr fontId="1" type="noConversion"/>
  </si>
  <si>
    <t>우동</t>
    <phoneticPr fontId="1" type="noConversion"/>
  </si>
  <si>
    <t>쿠팡풀필먼트서비스</t>
    <phoneticPr fontId="1" type="noConversion"/>
  </si>
  <si>
    <t>면세담배(박종민, 송민재 이체)-10만입금</t>
  </si>
  <si>
    <t>동적검색</t>
    <phoneticPr fontId="1" type="noConversion"/>
  </si>
  <si>
    <t>WV프로젝트</t>
  </si>
  <si>
    <t>스타벅스</t>
  </si>
  <si>
    <t>G마트</t>
  </si>
  <si>
    <t>쿠팡풀필먼트서비스</t>
  </si>
  <si>
    <t>자동이체 수수료</t>
    <phoneticPr fontId="1" type="noConversion"/>
  </si>
  <si>
    <t>작전비 입금</t>
    <phoneticPr fontId="1" type="noConversion"/>
  </si>
  <si>
    <t>분대활동비 입금</t>
    <phoneticPr fontId="1" type="noConversion"/>
  </si>
  <si>
    <t>이체(입금)</t>
    <phoneticPr fontId="1" type="noConversion"/>
  </si>
  <si>
    <t>이체(출금)</t>
    <phoneticPr fontId="1" type="noConversion"/>
  </si>
  <si>
    <t>중고거래</t>
  </si>
  <si>
    <t>매칭지원금</t>
  </si>
  <si>
    <t>1월 제주도</t>
  </si>
  <si>
    <t>친척집</t>
  </si>
  <si>
    <t>송민혁 이체</t>
  </si>
  <si>
    <t>리베르테</t>
  </si>
  <si>
    <t>디플구독 5개월</t>
  </si>
  <si>
    <t>셋째이모</t>
  </si>
  <si>
    <t>은행인증</t>
  </si>
  <si>
    <t>아이스크림에 빠지다</t>
  </si>
  <si>
    <t>KB증권CMA계좌</t>
  </si>
  <si>
    <t>KB증권CMA계좌</t>
    <phoneticPr fontId="1" type="noConversion"/>
  </si>
  <si>
    <t>거래처</t>
  </si>
  <si>
    <t>이현빈 생일</t>
  </si>
  <si>
    <t>서기남헤어클리닉</t>
  </si>
  <si>
    <t>CMA계좌입금</t>
  </si>
  <si>
    <t>순번</t>
  </si>
  <si>
    <t>날짜</t>
  </si>
  <si>
    <t>(모두)</t>
  </si>
  <si>
    <t>항목</t>
    <phoneticPr fontId="1" type="noConversion"/>
  </si>
  <si>
    <t>논산역, 병력 커피</t>
    <phoneticPr fontId="1" type="noConversion"/>
  </si>
  <si>
    <t>진해탄약항, 스프라이트</t>
    <phoneticPr fontId="1" type="noConversion"/>
  </si>
  <si>
    <t>공차</t>
    <phoneticPr fontId="1" type="noConversion"/>
  </si>
  <si>
    <t>아이파크몰, 김용성 공차</t>
    <phoneticPr fontId="1" type="noConversion"/>
  </si>
  <si>
    <t>신촌, 윤시호 이체</t>
    <phoneticPr fontId="1" type="noConversion"/>
  </si>
  <si>
    <t>신촌</t>
    <phoneticPr fontId="1" type="noConversion"/>
  </si>
  <si>
    <t>중앙</t>
    <phoneticPr fontId="1" type="noConversion"/>
  </si>
  <si>
    <t>서대전</t>
    <phoneticPr fontId="1" type="noConversion"/>
  </si>
  <si>
    <t>진해점, 민관홍 이체</t>
    <phoneticPr fontId="1" type="noConversion"/>
  </si>
  <si>
    <t>고잔점</t>
    <phoneticPr fontId="1" type="noConversion"/>
  </si>
  <si>
    <t>롤링파스타</t>
    <phoneticPr fontId="1" type="noConversion"/>
  </si>
  <si>
    <t>대전은행점</t>
    <phoneticPr fontId="1" type="noConversion"/>
  </si>
  <si>
    <t>범계역점, 호준이 생일</t>
    <phoneticPr fontId="1" type="noConversion"/>
  </si>
  <si>
    <t>맥도날드</t>
    <phoneticPr fontId="1" type="noConversion"/>
  </si>
  <si>
    <t>고잔DT</t>
  </si>
  <si>
    <t>조용민</t>
    <phoneticPr fontId="1" type="noConversion"/>
  </si>
  <si>
    <t>기타자산</t>
  </si>
  <si>
    <t>기타자산</t>
    <phoneticPr fontId="1" type="noConversion"/>
  </si>
  <si>
    <t>발행어음 가입</t>
    <phoneticPr fontId="1" type="noConversion"/>
  </si>
  <si>
    <t>max</t>
    <phoneticPr fontId="1" type="noConversion"/>
  </si>
  <si>
    <t>min</t>
    <phoneticPr fontId="1" type="noConversion"/>
  </si>
  <si>
    <t>tick</t>
    <phoneticPr fontId="1" type="noConversion"/>
  </si>
  <si>
    <t>y</t>
    <phoneticPr fontId="1" type="noConversion"/>
  </si>
  <si>
    <t>대한상공회의소</t>
  </si>
  <si>
    <t>GS25</t>
  </si>
  <si>
    <t>과태료</t>
  </si>
  <si>
    <t>과태료</t>
    <phoneticPr fontId="1" type="noConversion"/>
  </si>
  <si>
    <t>서귀포주정차</t>
  </si>
  <si>
    <t>수원상공회의소</t>
  </si>
  <si>
    <t>정육점심부름 환급 2000원 차액 차감</t>
  </si>
  <si>
    <t>누계금액</t>
    <phoneticPr fontId="1" type="noConversion"/>
  </si>
  <si>
    <t>지출수입유형비율</t>
    <phoneticPr fontId="1" type="noConversion"/>
  </si>
  <si>
    <t>지출-수입차</t>
    <phoneticPr fontId="1" type="noConversion"/>
  </si>
  <si>
    <t>쿠팡</t>
  </si>
  <si>
    <t>담배</t>
  </si>
  <si>
    <t>담배</t>
    <phoneticPr fontId="1" type="noConversion"/>
  </si>
  <si>
    <t>일렉샵</t>
  </si>
  <si>
    <t>전자제품</t>
  </si>
  <si>
    <t>전자제품</t>
    <phoneticPr fontId="1" type="noConversion"/>
  </si>
  <si>
    <t>워치4 클래식 (액티브2 판매 50,000차감)</t>
  </si>
  <si>
    <t>간식</t>
  </si>
  <si>
    <t>워치4 스트랩</t>
  </si>
  <si>
    <t>집복귀</t>
  </si>
  <si>
    <t>본인인증</t>
  </si>
  <si>
    <t>해동주차장</t>
  </si>
  <si>
    <t>명진이 픽업</t>
  </si>
  <si>
    <t>개발자 등록 수수료</t>
  </si>
  <si>
    <t>보험료 공제</t>
    <phoneticPr fontId="1" type="noConversion"/>
  </si>
  <si>
    <t>자격증비</t>
  </si>
  <si>
    <t>외숙모</t>
  </si>
  <si>
    <t>가족</t>
  </si>
  <si>
    <t>설 포커</t>
  </si>
  <si>
    <t>이모</t>
  </si>
  <si>
    <t>시마스시</t>
  </si>
  <si>
    <t>아이파크몰</t>
  </si>
  <si>
    <t>아빠</t>
  </si>
  <si>
    <t>롯데시네마</t>
  </si>
  <si>
    <t>세탁</t>
  </si>
  <si>
    <t>크린토피아</t>
  </si>
  <si>
    <t>시외버스</t>
  </si>
  <si>
    <t>일요일 김포공항</t>
  </si>
  <si>
    <t>환급액차감</t>
    <phoneticPr fontId="1" type="noConversion"/>
  </si>
  <si>
    <t>G쿠터</t>
  </si>
  <si>
    <t>공항특산품점</t>
  </si>
  <si>
    <t>면세담배 차액 8,000차감</t>
  </si>
  <si>
    <t>CMA계좌출금</t>
  </si>
  <si>
    <t>피아또</t>
  </si>
  <si>
    <t>형준윤재것까지</t>
  </si>
  <si>
    <t>노블PC</t>
  </si>
  <si>
    <t>쿠우쿠우</t>
  </si>
  <si>
    <t>면회 저녁</t>
  </si>
  <si>
    <t>성심당 대전역</t>
  </si>
  <si>
    <t>대전역선상주차장</t>
  </si>
  <si>
    <t>이모티콘</t>
  </si>
  <si>
    <t>홍대개미</t>
  </si>
  <si>
    <t>레드버튼</t>
  </si>
  <si>
    <t>박평진 이체(음료값 포함)</t>
  </si>
  <si>
    <t>자미당</t>
  </si>
  <si>
    <t>STEAM</t>
  </si>
  <si>
    <t>중앙동 술값</t>
  </si>
  <si>
    <t>동근이것까지-경빈이 이체</t>
  </si>
  <si>
    <t>김용오</t>
  </si>
  <si>
    <t>닌텐도스위치 중고구매</t>
  </si>
  <si>
    <t>스위치 타이틀</t>
  </si>
  <si>
    <t>KB체크할인</t>
  </si>
  <si>
    <t>Wolframalpha pro</t>
  </si>
  <si>
    <t>티몬+쿠팡 결제-당근거래+e샵결제</t>
    <phoneticPr fontId="1" type="noConversion"/>
  </si>
  <si>
    <t>롯데시네마 동해</t>
  </si>
  <si>
    <t>동해여행</t>
    <phoneticPr fontId="1" type="noConversion"/>
  </si>
  <si>
    <t>사플PC카페</t>
  </si>
  <si>
    <t>현대오일뱅크</t>
  </si>
  <si>
    <t>공차</t>
  </si>
  <si>
    <t>이효비 이체</t>
  </si>
  <si>
    <t>숭실대학교</t>
  </si>
  <si>
    <t>1학기 정기권</t>
  </si>
  <si>
    <t>다이소</t>
  </si>
  <si>
    <t>발행어음이자</t>
  </si>
  <si>
    <t>오브제</t>
  </si>
  <si>
    <t>CGV</t>
  </si>
  <si>
    <t>엄마 영화, 환급비 차감</t>
  </si>
  <si>
    <t>문구류</t>
  </si>
  <si>
    <t>인터파크</t>
  </si>
  <si>
    <t>델가드 샤프</t>
  </si>
  <si>
    <t>쿠팡 8000원 포함</t>
  </si>
  <si>
    <t>씽씽</t>
  </si>
  <si>
    <t>파일철, 필통</t>
  </si>
  <si>
    <t>이호준</t>
  </si>
  <si>
    <t>호선쌤 커피</t>
  </si>
  <si>
    <t>학적부 사본</t>
  </si>
  <si>
    <t>수수료</t>
  </si>
  <si>
    <t>수수료</t>
    <phoneticPr fontId="1" type="noConversion"/>
  </si>
  <si>
    <t>숭실대학교소비자생협</t>
  </si>
  <si>
    <t>주유</t>
  </si>
  <si>
    <t>컴사책</t>
  </si>
  <si>
    <t>이산수학책</t>
  </si>
  <si>
    <t>도쿄라멘</t>
  </si>
  <si>
    <t>컴활책</t>
  </si>
  <si>
    <t>점심</t>
    <phoneticPr fontId="1" type="noConversion"/>
  </si>
  <si>
    <t>3월</t>
  </si>
  <si>
    <t>숙박+입장료+간식+점심-환급액2000</t>
    <phoneticPr fontId="1" type="noConversion"/>
  </si>
  <si>
    <t>이지민</t>
  </si>
  <si>
    <t>점심</t>
  </si>
  <si>
    <t>약국</t>
  </si>
  <si>
    <t>숭실길약국</t>
  </si>
  <si>
    <t>요거바라</t>
  </si>
  <si>
    <t>여기어때 환급, 보험료 차액 포함</t>
    <phoneticPr fontId="1" type="noConversion"/>
  </si>
  <si>
    <t>밀플랜비</t>
  </si>
  <si>
    <t>아침</t>
  </si>
  <si>
    <t>연래춘</t>
  </si>
  <si>
    <t>이지민 이체</t>
  </si>
  <si>
    <t>이디야커피</t>
  </si>
  <si>
    <t>돈통마늘보쌈</t>
  </si>
  <si>
    <t>호야치킨</t>
  </si>
  <si>
    <t>스토리PC</t>
  </si>
  <si>
    <t>입장료+점심</t>
  </si>
  <si>
    <t>유가네닭갈비</t>
  </si>
  <si>
    <t>책</t>
  </si>
  <si>
    <t>마이피오디</t>
  </si>
  <si>
    <t>공학수학 분권</t>
  </si>
  <si>
    <t>장진영 이체</t>
  </si>
  <si>
    <t>카카오페이 할인</t>
    <phoneticPr fontId="1" type="noConversion"/>
  </si>
  <si>
    <t>넥슨</t>
  </si>
  <si>
    <t>스시벅스</t>
  </si>
  <si>
    <t>투썸플레이스</t>
  </si>
  <si>
    <t>기환이 정산 제외</t>
    <phoneticPr fontId="1" type="noConversion"/>
  </si>
  <si>
    <t>롯데시네마 부천</t>
  </si>
  <si>
    <t>대부도 여행</t>
    <phoneticPr fontId="1" type="noConversion"/>
  </si>
  <si>
    <t>윤시호 이체</t>
    <phoneticPr fontId="1" type="noConversion"/>
  </si>
  <si>
    <t>덮밥</t>
  </si>
  <si>
    <t>저녁</t>
  </si>
  <si>
    <t>스톤504, 블루힐 이지민 이체</t>
  </si>
  <si>
    <t>공학용 계산기</t>
  </si>
  <si>
    <t>설쌈냉면</t>
  </si>
  <si>
    <t>써브웨이</t>
  </si>
  <si>
    <t>공릉동멸치국수</t>
  </si>
  <si>
    <t>4월생활비</t>
    <phoneticPr fontId="1" type="noConversion"/>
  </si>
  <si>
    <t>커피</t>
  </si>
  <si>
    <t>봄봄</t>
  </si>
  <si>
    <t>전정공MT</t>
  </si>
  <si>
    <t>고렝</t>
  </si>
  <si>
    <t>정육점, 옷 차액제외</t>
  </si>
  <si>
    <t>4월</t>
  </si>
  <si>
    <t>긴자료코</t>
  </si>
  <si>
    <t>세븐일레븐</t>
  </si>
  <si>
    <t>우유</t>
  </si>
  <si>
    <t>파라다이스</t>
  </si>
  <si>
    <t>조선앵 이체</t>
  </si>
  <si>
    <t>밀알분식</t>
  </si>
  <si>
    <t>밀알분식</t>
    <phoneticPr fontId="1" type="noConversion"/>
  </si>
  <si>
    <t>멘동</t>
  </si>
  <si>
    <t>멘동</t>
    <phoneticPr fontId="1" type="noConversion"/>
  </si>
  <si>
    <t>손칼국수</t>
  </si>
  <si>
    <t>취향</t>
  </si>
  <si>
    <t>이지민 정산</t>
    <phoneticPr fontId="1" type="noConversion"/>
  </si>
  <si>
    <t>한가족약국</t>
  </si>
  <si>
    <t>인후통약</t>
  </si>
  <si>
    <t>정진 선물</t>
  </si>
  <si>
    <t>왕돈왕냉</t>
  </si>
  <si>
    <t>유동균 이체</t>
  </si>
  <si>
    <t>한화생명</t>
    <phoneticPr fontId="1" type="noConversion"/>
  </si>
  <si>
    <t>보험료 차액</t>
    <phoneticPr fontId="1" type="noConversion"/>
  </si>
  <si>
    <t>백채김치찌개</t>
    <phoneticPr fontId="1" type="noConversion"/>
  </si>
  <si>
    <t>잔액환급, 은행인증</t>
  </si>
  <si>
    <t>모바일티머니</t>
  </si>
  <si>
    <t>신규충전</t>
  </si>
  <si>
    <t>더코네</t>
  </si>
  <si>
    <t>스윙</t>
  </si>
  <si>
    <t>영화</t>
  </si>
  <si>
    <t>송제윤 이체</t>
  </si>
  <si>
    <t xml:space="preserve"> </t>
  </si>
  <si>
    <t>쿠팡</t>
    <phoneticPr fontId="1" type="noConversion"/>
  </si>
  <si>
    <t>HDMI케이블</t>
    <phoneticPr fontId="1" type="noConversion"/>
  </si>
  <si>
    <t>우마이</t>
  </si>
  <si>
    <t>리얼후라이</t>
  </si>
  <si>
    <t>볼원볼링장</t>
  </si>
  <si>
    <t>포토그레이</t>
  </si>
  <si>
    <t>예비군 이동</t>
  </si>
  <si>
    <t>예비군 교통비</t>
  </si>
  <si>
    <t>카페331</t>
  </si>
  <si>
    <t>장례식 교통비 차액</t>
  </si>
  <si>
    <t>장진영 이체</t>
    <phoneticPr fontId="1" type="noConversion"/>
  </si>
  <si>
    <t>아영이네</t>
  </si>
  <si>
    <t>피자앤치킨</t>
  </si>
  <si>
    <t>롯데시네마 산본</t>
  </si>
  <si>
    <t>커피만</t>
  </si>
  <si>
    <t>닌텐도e샵</t>
  </si>
  <si>
    <t>마리오카트</t>
  </si>
  <si>
    <t>대웅주유소</t>
  </si>
  <si>
    <t>어버이날</t>
  </si>
  <si>
    <t>신의주찹쌀순대</t>
  </si>
  <si>
    <t>아침</t>
    <phoneticPr fontId="1" type="noConversion"/>
  </si>
  <si>
    <t>김예빈 이체</t>
  </si>
  <si>
    <t>5월</t>
  </si>
  <si>
    <t>장형준 선물</t>
  </si>
  <si>
    <t>용돈입금</t>
  </si>
  <si>
    <t>여의도한강공원</t>
  </si>
  <si>
    <t>함종현 이체</t>
  </si>
  <si>
    <t>S오일</t>
  </si>
  <si>
    <t>북경</t>
  </si>
  <si>
    <t>엄마생신</t>
  </si>
  <si>
    <t>파리바게트</t>
  </si>
  <si>
    <t>홍약국</t>
  </si>
  <si>
    <t>피부연고</t>
  </si>
  <si>
    <t>마루스시</t>
  </si>
  <si>
    <t>김예빈 생일</t>
  </si>
  <si>
    <t>여의도 한강공원</t>
  </si>
  <si>
    <t>내가찜한닭</t>
  </si>
  <si>
    <t>이모네</t>
  </si>
  <si>
    <t>청년다방</t>
  </si>
  <si>
    <t>지출합계</t>
  </si>
  <si>
    <t>퍼민</t>
  </si>
  <si>
    <t>곱도리+코노+인쌩</t>
  </si>
  <si>
    <t>6월생활비</t>
    <phoneticPr fontId="1" type="noConversion"/>
  </si>
  <si>
    <t>부리또집</t>
  </si>
  <si>
    <t>김각규</t>
  </si>
  <si>
    <t>SK오일</t>
  </si>
  <si>
    <t>6월</t>
  </si>
  <si>
    <t>안산시공영주차장</t>
  </si>
  <si>
    <t>카페331</t>
    <phoneticPr fontId="1" type="noConversion"/>
  </si>
  <si>
    <t>쿱스캣</t>
    <phoneticPr fontId="1" type="noConversion"/>
  </si>
  <si>
    <t>쿱스캣</t>
  </si>
  <si>
    <t>흠뻑쇼</t>
  </si>
  <si>
    <t>크라이치즈버거</t>
  </si>
  <si>
    <t>경찰청</t>
  </si>
  <si>
    <t>신호위반 과태료</t>
  </si>
  <si>
    <t>올리브영</t>
  </si>
  <si>
    <t>여기어때</t>
  </si>
  <si>
    <t>슈퍼보드 보드게임</t>
  </si>
  <si>
    <t>육쌈냉면</t>
  </si>
  <si>
    <t>성남문화센터</t>
  </si>
  <si>
    <t>속초여행</t>
  </si>
  <si>
    <t>숙박 37000, 저녁 11000, 뮤지엄산 38000 등</t>
    <phoneticPr fontId="1" type="noConversion"/>
  </si>
  <si>
    <t>삼진볼링타운</t>
  </si>
  <si>
    <t>성남시공영주차장</t>
  </si>
  <si>
    <t>7월생활비</t>
    <phoneticPr fontId="1" type="noConversion"/>
  </si>
  <si>
    <t>물</t>
  </si>
  <si>
    <t>배터지는집</t>
  </si>
  <si>
    <t>디지털할인마트</t>
  </si>
  <si>
    <t>음료</t>
  </si>
  <si>
    <t>7월</t>
  </si>
  <si>
    <t>안양시공영주차장</t>
  </si>
  <si>
    <t>숨맑은집</t>
  </si>
  <si>
    <t>설빙</t>
  </si>
  <si>
    <t>후타가와</t>
  </si>
  <si>
    <t>김예빈 이체</t>
    <phoneticPr fontId="1" type="noConversion"/>
  </si>
  <si>
    <t>쉘쇽라이브</t>
  </si>
  <si>
    <t>제로백PC</t>
  </si>
  <si>
    <t>깐부치킨</t>
  </si>
  <si>
    <t>솔리드웍스</t>
  </si>
  <si>
    <t>쑝쑝돈까스</t>
  </si>
  <si>
    <t>노들섬주차장</t>
  </si>
  <si>
    <t>고추동제면소</t>
  </si>
  <si>
    <t>부조금</t>
  </si>
  <si>
    <t>화환비</t>
  </si>
  <si>
    <t>박종민 이체</t>
  </si>
  <si>
    <t>체크할인 차액 제외</t>
    <phoneticPr fontId="1" type="noConversion"/>
  </si>
  <si>
    <t>디저트39</t>
  </si>
  <si>
    <t>오레노라멘</t>
  </si>
  <si>
    <t>옛찻집</t>
  </si>
  <si>
    <t>이층양옥</t>
  </si>
  <si>
    <t>고잔동상가</t>
  </si>
  <si>
    <t>짬뽕지존</t>
  </si>
  <si>
    <t>편백집</t>
  </si>
  <si>
    <t>백소정</t>
  </si>
  <si>
    <t>권봄 이체</t>
  </si>
  <si>
    <t>어린이대공원 주차장</t>
  </si>
  <si>
    <t>추억과김밥</t>
  </si>
  <si>
    <t>영풍문고</t>
  </si>
  <si>
    <t>8월생활비</t>
    <phoneticPr fontId="1" type="noConversion"/>
  </si>
  <si>
    <t>사당역포차</t>
  </si>
  <si>
    <t>덴치</t>
  </si>
  <si>
    <t>파스타마마</t>
  </si>
  <si>
    <t>베스킨라빈스</t>
  </si>
  <si>
    <t>소분통</t>
    <phoneticPr fontId="1" type="noConversion"/>
  </si>
  <si>
    <t>8월</t>
  </si>
  <si>
    <t>인터파크티켓</t>
  </si>
  <si>
    <t>타입커버 키보드</t>
  </si>
  <si>
    <t>고향메밀촌</t>
  </si>
  <si>
    <t>이호준 이체</t>
  </si>
  <si>
    <t>메가커피</t>
  </si>
  <si>
    <t>재학증명서</t>
  </si>
  <si>
    <t>서울역토스트</t>
  </si>
  <si>
    <t>서울시공영주차장</t>
  </si>
  <si>
    <t>만뽀 스키야키</t>
  </si>
  <si>
    <t>백미당</t>
  </si>
  <si>
    <t>스토리웨이</t>
  </si>
  <si>
    <t>주식매도</t>
    <phoneticPr fontId="1" type="noConversion"/>
  </si>
  <si>
    <t>김예빈 정산</t>
    <phoneticPr fontId="1" type="noConversion"/>
  </si>
  <si>
    <t>문화역서울 헤드윅전시;김예빈 정산</t>
    <phoneticPr fontId="1" type="noConversion"/>
  </si>
  <si>
    <t>숭실대학교소비자생협</t>
    <phoneticPr fontId="1" type="noConversion"/>
  </si>
  <si>
    <t>엔씨송파점</t>
  </si>
  <si>
    <t>숑숑돈까스</t>
  </si>
  <si>
    <t>매머드커피</t>
  </si>
  <si>
    <t>강릉초당짬뽕순두부</t>
  </si>
  <si>
    <t>황궁</t>
  </si>
  <si>
    <t>이케아</t>
  </si>
  <si>
    <t>메가박스</t>
  </si>
  <si>
    <t>광명AK플라자</t>
  </si>
  <si>
    <t>던킨도너츠</t>
  </si>
  <si>
    <t>주식계좌입금</t>
  </si>
  <si>
    <t>두메 공연</t>
  </si>
  <si>
    <t>여우골초밥</t>
  </si>
  <si>
    <t>테라로사</t>
  </si>
  <si>
    <t>홍마떡</t>
  </si>
  <si>
    <t>2학기 정기권</t>
  </si>
  <si>
    <t>메이빌</t>
  </si>
  <si>
    <t>토스인증</t>
  </si>
  <si>
    <t>9월</t>
  </si>
  <si>
    <t>에이플PC</t>
  </si>
  <si>
    <t>년</t>
    <phoneticPr fontId="1" type="noConversion"/>
  </si>
  <si>
    <t>화</t>
    <phoneticPr fontId="1" type="noConversion"/>
  </si>
  <si>
    <t>수</t>
    <phoneticPr fontId="1" type="noConversion"/>
  </si>
  <si>
    <t>목</t>
    <phoneticPr fontId="1" type="noConversion"/>
  </si>
  <si>
    <t>금</t>
    <phoneticPr fontId="1" type="noConversion"/>
  </si>
  <si>
    <t>토</t>
    <phoneticPr fontId="1" type="noConversion"/>
  </si>
  <si>
    <t>예산</t>
    <phoneticPr fontId="1" type="noConversion"/>
  </si>
  <si>
    <t>에잇피스</t>
  </si>
  <si>
    <t>CU</t>
  </si>
  <si>
    <t>아빠 소주</t>
  </si>
  <si>
    <t>김명진</t>
  </si>
  <si>
    <t>생일</t>
  </si>
  <si>
    <t>편지지</t>
  </si>
  <si>
    <t>건대입구역;김예빈 정산</t>
    <phoneticPr fontId="1" type="noConversion"/>
  </si>
  <si>
    <t>스파게티하우스</t>
  </si>
  <si>
    <t>본죽</t>
  </si>
  <si>
    <t>주식수익</t>
  </si>
  <si>
    <t>세차</t>
  </si>
  <si>
    <t>셀세모</t>
  </si>
  <si>
    <t>현금인출 수수료 1300</t>
  </si>
  <si>
    <t>훈민스캔</t>
  </si>
  <si>
    <t>진푸</t>
  </si>
  <si>
    <t>오레오트럭</t>
  </si>
  <si>
    <t>타코야끼트럭</t>
  </si>
  <si>
    <t>백채김치찌개</t>
  </si>
  <si>
    <t>청운</t>
  </si>
  <si>
    <t>카카오바이크</t>
  </si>
  <si>
    <t>현선이네</t>
  </si>
  <si>
    <t>무인아이스크림</t>
  </si>
  <si>
    <t>왕가탕후루</t>
  </si>
  <si>
    <t>롤링파스타</t>
  </si>
  <si>
    <t>이면</t>
  </si>
  <si>
    <t>포토그레이</t>
    <phoneticPr fontId="1" type="noConversion"/>
  </si>
  <si>
    <t>따뜻한밥상</t>
  </si>
  <si>
    <t>카페잉</t>
  </si>
  <si>
    <t>보증금상환</t>
    <phoneticPr fontId="1" type="noConversion"/>
  </si>
  <si>
    <t>옥션</t>
  </si>
  <si>
    <t>보조모니터</t>
  </si>
  <si>
    <t>KFC결제잔액</t>
  </si>
  <si>
    <t>10월 생활비</t>
  </si>
  <si>
    <t>주식계좌출금</t>
    <phoneticPr fontId="1" type="noConversion"/>
  </si>
  <si>
    <t>총지출</t>
    <phoneticPr fontId="1" type="noConversion"/>
  </si>
  <si>
    <t>총수입</t>
    <phoneticPr fontId="1" type="noConversion"/>
  </si>
  <si>
    <t>10월</t>
  </si>
  <si>
    <t>송준규</t>
  </si>
  <si>
    <t>호올스</t>
  </si>
  <si>
    <t>와우PC</t>
  </si>
  <si>
    <t>마초쉐프</t>
  </si>
  <si>
    <t>호준생일</t>
  </si>
  <si>
    <t>단원구주정차</t>
  </si>
  <si>
    <t>카카오이모티콘</t>
  </si>
  <si>
    <t>10.12 2000원 환급</t>
    <phoneticPr fontId="1" type="noConversion"/>
  </si>
  <si>
    <t>뚝배기스파게티</t>
  </si>
  <si>
    <t>서피스 키보드</t>
  </si>
  <si>
    <t>은화수식당</t>
  </si>
  <si>
    <t>수암주유소</t>
  </si>
  <si>
    <t>더진국</t>
  </si>
  <si>
    <t>앤티앤스프레즐</t>
  </si>
  <si>
    <t>알뜰주유소</t>
  </si>
  <si>
    <t>퍼줄브런치카페</t>
  </si>
  <si>
    <t>롯데월드</t>
  </si>
  <si>
    <t>롯데월드주차장</t>
  </si>
  <si>
    <t>김규빈 이체</t>
  </si>
  <si>
    <t>오술차</t>
  </si>
  <si>
    <t>더필름</t>
  </si>
  <si>
    <t>해성노래방</t>
  </si>
  <si>
    <t>11월 용돈</t>
  </si>
  <si>
    <t>설쌈냉면</t>
    <phoneticPr fontId="1" type="noConversion"/>
  </si>
  <si>
    <t>숭마 카페</t>
  </si>
  <si>
    <t>11월</t>
  </si>
  <si>
    <t>김호진</t>
  </si>
  <si>
    <t>우리은행 잔액</t>
  </si>
  <si>
    <t>고씨네</t>
  </si>
  <si>
    <t>서피스펜</t>
  </si>
  <si>
    <t>고려삼계탕</t>
  </si>
  <si>
    <t>참베이커리</t>
  </si>
  <si>
    <t>젤리</t>
  </si>
  <si>
    <t>12월</t>
  </si>
  <si>
    <t>아빠소주</t>
  </si>
  <si>
    <t>엄마껏까지</t>
  </si>
  <si>
    <t>새로나스튜디오</t>
  </si>
  <si>
    <t>여권발급수수료</t>
  </si>
  <si>
    <t>1월 일본 왕복 비행기</t>
  </si>
  <si>
    <t>슈니퐁당</t>
    <phoneticPr fontId="1" type="noConversion"/>
  </si>
  <si>
    <t>샤오바오우육면</t>
  </si>
  <si>
    <t>동대문디자인플라자</t>
  </si>
  <si>
    <t>LUX전시</t>
  </si>
  <si>
    <t>고망고</t>
  </si>
  <si>
    <t>아키나이제면</t>
  </si>
  <si>
    <t>세븐틴코인노래방</t>
  </si>
  <si>
    <t>미학당</t>
    <phoneticPr fontId="1" type="noConversion"/>
  </si>
  <si>
    <t>12월 생활비, 스타벅스 차액 400원, 아빠선물 차액 3219원</t>
    <phoneticPr fontId="1" type="noConversion"/>
  </si>
  <si>
    <t>8920원 캐시백 정산</t>
    <phoneticPr fontId="1" type="noConversion"/>
  </si>
  <si>
    <t>에어비앤비</t>
  </si>
  <si>
    <t>보르도세계주류</t>
  </si>
  <si>
    <t>김도현</t>
    <phoneticPr fontId="1" type="noConversion"/>
  </si>
  <si>
    <t>범계 저녁 코노 플스방 정산</t>
    <phoneticPr fontId="1" type="noConversion"/>
  </si>
  <si>
    <t>교보문고</t>
  </si>
  <si>
    <t>범계 저녁</t>
  </si>
  <si>
    <t>저녁 보드카페 인생네컷 정산</t>
  </si>
  <si>
    <t>2024년</t>
  </si>
  <si>
    <t>1월</t>
  </si>
  <si>
    <t>사이다</t>
  </si>
  <si>
    <t>김진규</t>
  </si>
  <si>
    <t>체크취소</t>
  </si>
  <si>
    <t>1000원 환급 정산</t>
    <phoneticPr fontId="1" type="noConversion"/>
  </si>
  <si>
    <t>코인빨래방</t>
  </si>
  <si>
    <t>금성전기조명</t>
  </si>
  <si>
    <t>티몬</t>
  </si>
  <si>
    <t>로또</t>
  </si>
  <si>
    <t>5000원 현금</t>
  </si>
  <si>
    <t>심부름</t>
  </si>
  <si>
    <t>제주항공 수수료 6만제외 환불</t>
    <phoneticPr fontId="1" type="noConversion"/>
  </si>
  <si>
    <t>1월 일본 숙박비 취소</t>
    <phoneticPr fontId="1" type="noConversion"/>
  </si>
  <si>
    <t>컨트롤러, 당근 30000만 정산</t>
    <phoneticPr fontId="1" type="noConversion"/>
  </si>
  <si>
    <t>예빈이 점심</t>
  </si>
  <si>
    <t>병원</t>
  </si>
  <si>
    <t>삼성의원</t>
  </si>
  <si>
    <t>피부과</t>
  </si>
  <si>
    <t>상도프라자약국</t>
  </si>
  <si>
    <t>웰빙상도</t>
  </si>
  <si>
    <t>부탄가스</t>
  </si>
  <si>
    <t>선반</t>
  </si>
  <si>
    <t>홍대쌀국수</t>
  </si>
  <si>
    <t>오늘의집</t>
  </si>
  <si>
    <t>시계</t>
  </si>
  <si>
    <t>명륜진사갈비</t>
  </si>
  <si>
    <t>닌텐도e샵</t>
    <phoneticPr fontId="1" type="noConversion"/>
  </si>
  <si>
    <t>우유 등</t>
    <phoneticPr fontId="1" type="noConversion"/>
  </si>
  <si>
    <t>수업료</t>
  </si>
  <si>
    <t>고수의운전면허</t>
  </si>
  <si>
    <t>새날약국</t>
  </si>
  <si>
    <t>도로교통공단</t>
  </si>
  <si>
    <t>면허증 수수료</t>
  </si>
  <si>
    <t>맘스키친</t>
  </si>
  <si>
    <t>서울미술관</t>
  </si>
  <si>
    <t>서촌샤브로21</t>
  </si>
  <si>
    <t>침니펍</t>
  </si>
  <si>
    <t>축의금</t>
  </si>
  <si>
    <t>호선쌤 결혼식</t>
  </si>
  <si>
    <t>인쌩맥주</t>
  </si>
  <si>
    <t>숭실빨래방</t>
  </si>
  <si>
    <t>관악식자재마트</t>
  </si>
  <si>
    <t>김규빈 오락실 2000정산</t>
  </si>
  <si>
    <t>황후탕후루</t>
  </si>
  <si>
    <t>2월</t>
  </si>
  <si>
    <t>연</t>
  </si>
  <si>
    <t>월</t>
  </si>
  <si>
    <t>2월 생활비</t>
  </si>
  <si>
    <t>정원분식</t>
  </si>
  <si>
    <t>우유, 예감 등</t>
  </si>
  <si>
    <t>맥모닝</t>
  </si>
  <si>
    <t>부원프라자</t>
  </si>
  <si>
    <t>설날 세뱃돈</t>
  </si>
  <si>
    <t>차량조회365</t>
  </si>
  <si>
    <t>CDKeys</t>
  </si>
  <si>
    <t>면식당</t>
  </si>
  <si>
    <t>2024상반기 디즈니플러스</t>
  </si>
  <si>
    <t>맥주</t>
    <phoneticPr fontId="1" type="noConversion"/>
  </si>
  <si>
    <t>이삭토스트</t>
  </si>
  <si>
    <t>춘천집명가</t>
  </si>
  <si>
    <t>눈썹칼</t>
  </si>
  <si>
    <t>바른생각</t>
  </si>
  <si>
    <t>배달의민족</t>
  </si>
  <si>
    <t>하나로축산</t>
  </si>
  <si>
    <t>우리들주차장</t>
  </si>
  <si>
    <t>동원건어물</t>
  </si>
  <si>
    <t>행운가득초당주유소</t>
  </si>
  <si>
    <t>전기세</t>
  </si>
  <si>
    <t>한전</t>
  </si>
  <si>
    <t>가스비</t>
  </si>
  <si>
    <t>비지티호두단팥빵</t>
  </si>
  <si>
    <t>3월 생활비</t>
  </si>
  <si>
    <t>아트스트릿11</t>
  </si>
  <si>
    <t>한국삭도공업</t>
  </si>
  <si>
    <t>남산케이블카</t>
  </si>
  <si>
    <t>케이블카매점</t>
  </si>
  <si>
    <t>을지다락</t>
  </si>
  <si>
    <t>프레드피자</t>
  </si>
  <si>
    <t>생수 12L</t>
  </si>
  <si>
    <t>구글</t>
  </si>
  <si>
    <t>구글콘솔 수입</t>
  </si>
  <si>
    <t>사업수입</t>
  </si>
  <si>
    <t>손인서</t>
  </si>
  <si>
    <t>블라인드씨 가입비</t>
  </si>
  <si>
    <t>부모님 생일용돈</t>
  </si>
  <si>
    <t>서울가스공사</t>
  </si>
  <si>
    <t>서울가스공사</t>
    <phoneticPr fontId="1" type="noConversion"/>
  </si>
  <si>
    <t>예빈이 커피</t>
    <phoneticPr fontId="1" type="noConversion"/>
  </si>
  <si>
    <t>화이트데이</t>
    <phoneticPr fontId="1" type="noConversion"/>
  </si>
  <si>
    <t>논두렁</t>
  </si>
  <si>
    <t>손인서 이체</t>
  </si>
  <si>
    <t>예빈이 스벅</t>
  </si>
  <si>
    <t>아웃닭</t>
  </si>
  <si>
    <t>최승효 이체</t>
  </si>
  <si>
    <t>당근</t>
  </si>
  <si>
    <t>조이스틱</t>
  </si>
  <si>
    <t>STEAM</t>
    <phoneticPr fontId="1" type="noConversion"/>
  </si>
  <si>
    <t>미니빅</t>
  </si>
  <si>
    <t>예빈이것까지</t>
  </si>
  <si>
    <t>우유 라면 계란</t>
  </si>
  <si>
    <t>네이버쇼핑</t>
  </si>
  <si>
    <t>슈니퐁당</t>
  </si>
  <si>
    <t>텀블러</t>
  </si>
  <si>
    <t>4월 생활비</t>
  </si>
  <si>
    <t>계란+오레오</t>
  </si>
  <si>
    <t>그린카</t>
  </si>
  <si>
    <t>렌터카</t>
  </si>
  <si>
    <t>렌터카</t>
    <phoneticPr fontId="1" type="noConversion"/>
  </si>
  <si>
    <t>대여비+주행비</t>
    <phoneticPr fontId="1" type="noConversion"/>
  </si>
  <si>
    <t>명랑핫도그</t>
  </si>
  <si>
    <t>스톤504</t>
  </si>
  <si>
    <t>음료수</t>
    <phoneticPr fontId="1" type="noConversion"/>
  </si>
  <si>
    <t>맥주, 하겐다즈</t>
  </si>
  <si>
    <t>황궁</t>
    <phoneticPr fontId="1" type="noConversion"/>
  </si>
  <si>
    <t>학생복지스토어</t>
  </si>
  <si>
    <t>소니 헤드셋</t>
  </si>
  <si>
    <t>코코노포</t>
  </si>
  <si>
    <t>우유, 빵</t>
    <phoneticPr fontId="1" type="noConversion"/>
  </si>
  <si>
    <t>피자 유동균 이체</t>
  </si>
  <si>
    <t>기프티콘 사용</t>
  </si>
  <si>
    <t>포탈종각</t>
  </si>
  <si>
    <t>Mouse potato</t>
  </si>
  <si>
    <t>BBQ</t>
  </si>
  <si>
    <t>취향</t>
    <phoneticPr fontId="1" type="noConversion"/>
  </si>
  <si>
    <t>정비뇨기과</t>
  </si>
  <si>
    <t>우유</t>
    <phoneticPr fontId="1" type="noConversion"/>
  </si>
  <si>
    <t>돌계</t>
  </si>
  <si>
    <t>5월 생활비</t>
  </si>
  <si>
    <t>맥플러리</t>
  </si>
  <si>
    <t>모구모구</t>
    <phoneticPr fontId="1" type="noConversion"/>
  </si>
  <si>
    <t>노모어피자</t>
  </si>
  <si>
    <t>참크래커, 햇반 등</t>
  </si>
  <si>
    <t>다원맛칼국수</t>
  </si>
  <si>
    <t>딸기우유</t>
  </si>
  <si>
    <t>샹츠마라</t>
  </si>
  <si>
    <t>컴포즈커피</t>
  </si>
  <si>
    <t>쿠팡이츠</t>
  </si>
  <si>
    <t>파스타</t>
  </si>
  <si>
    <t>우유, 밴드</t>
  </si>
  <si>
    <t>엄마아빠 용돈</t>
    <phoneticPr fontId="1" type="noConversion"/>
  </si>
  <si>
    <t>미학당</t>
  </si>
  <si>
    <t>뚜레쥬르</t>
  </si>
  <si>
    <t>엄마 케잌</t>
  </si>
  <si>
    <t>생일 용돈</t>
  </si>
  <si>
    <t>예빈이 선물</t>
  </si>
  <si>
    <t>룩핀</t>
  </si>
  <si>
    <t>2024041603</t>
  </si>
  <si>
    <t>교통비 -8000, 환급 -2612 적용</t>
    <phoneticPr fontId="1" type="noConversion"/>
  </si>
  <si>
    <t>축하카드</t>
  </si>
  <si>
    <t>플레르프랑</t>
  </si>
  <si>
    <t>졸전 꽃</t>
  </si>
  <si>
    <t>투루카</t>
  </si>
  <si>
    <t>주행요금 포함</t>
  </si>
  <si>
    <t>갤러리아포레</t>
  </si>
  <si>
    <t>맥켄치킨</t>
  </si>
  <si>
    <t>커피, 딸기샌드, 츄러스</t>
  </si>
  <si>
    <t>블씨 멘토링</t>
  </si>
  <si>
    <t>몬스터</t>
  </si>
  <si>
    <t>에어써큘레이터, 삼각대, 권은희 이체</t>
  </si>
  <si>
    <t>멘토링</t>
  </si>
  <si>
    <t>2프로</t>
  </si>
  <si>
    <t>6월 생활비</t>
  </si>
  <si>
    <t>니키스(빨간트럭)</t>
  </si>
  <si>
    <t>토스트</t>
  </si>
  <si>
    <t>멘토링팀 커피</t>
  </si>
  <si>
    <t>토블론</t>
    <phoneticPr fontId="1" type="noConversion"/>
  </si>
  <si>
    <t>웅이 방석</t>
  </si>
  <si>
    <t>중앙역 물</t>
  </si>
  <si>
    <t>투썸플레이스</t>
    <phoneticPr fontId="1" type="noConversion"/>
  </si>
  <si>
    <t>안양 젤리</t>
  </si>
  <si>
    <t>곰보냉면</t>
  </si>
  <si>
    <t>모기약, 자석</t>
  </si>
  <si>
    <t>푸딩빙수, 감바스, 칵테일</t>
  </si>
  <si>
    <t>악쓰는하마</t>
  </si>
  <si>
    <t>쿱스캣</t>
    <phoneticPr fontId="1" type="noConversion"/>
  </si>
  <si>
    <t>제습제, 세탁조청소약, 소분통</t>
  </si>
  <si>
    <t>제주공항특산품점</t>
  </si>
  <si>
    <t>팰롱팰롱 기념품 10,000원 포함</t>
  </si>
  <si>
    <t>제주여행</t>
  </si>
  <si>
    <t>교통, 숙박, 식비 전체 포함</t>
  </si>
  <si>
    <t>2024061902</t>
  </si>
  <si>
    <t>김예빈 미니 망곰이</t>
    <phoneticPr fontId="1" type="noConversion"/>
  </si>
  <si>
    <t>면도날</t>
  </si>
  <si>
    <t>동근이숯불두마리치킨</t>
  </si>
  <si>
    <t>OST</t>
  </si>
  <si>
    <t>액세서리</t>
  </si>
  <si>
    <t>액세서리</t>
    <phoneticPr fontId="1" type="noConversion"/>
  </si>
  <si>
    <t>커플링</t>
  </si>
  <si>
    <t>국제도서전</t>
  </si>
  <si>
    <t>유아왓유잇</t>
  </si>
  <si>
    <t>코엑스 점심</t>
  </si>
  <si>
    <t>편안</t>
  </si>
  <si>
    <t>성남 이자카야</t>
  </si>
  <si>
    <t>락휴코인노래방</t>
  </si>
  <si>
    <t>노래방비+자판기</t>
    <phoneticPr fontId="1" type="noConversion"/>
  </si>
  <si>
    <t>주섬주섬</t>
  </si>
  <si>
    <t>윤동근 이체</t>
  </si>
  <si>
    <t>막불감동</t>
  </si>
  <si>
    <t>SNS PC방</t>
  </si>
  <si>
    <t>리코스타코인노래연습장</t>
  </si>
  <si>
    <t>비어킹</t>
  </si>
  <si>
    <t>박평진 이체</t>
  </si>
  <si>
    <t>티머니</t>
  </si>
  <si>
    <t>티머니 환불</t>
  </si>
  <si>
    <t>카페프리헷</t>
  </si>
  <si>
    <t>왕복비용 포함</t>
  </si>
  <si>
    <t>권은희</t>
    <phoneticPr fontId="1" type="noConversion"/>
  </si>
  <si>
    <t>7월 생활비</t>
    <phoneticPr fontId="1" type="noConversion"/>
  </si>
  <si>
    <t>짱구분식</t>
  </si>
  <si>
    <t>에비앙</t>
  </si>
  <si>
    <t>예빈 커피</t>
  </si>
  <si>
    <t>타코튜스데이</t>
  </si>
  <si>
    <t>바이닐</t>
  </si>
  <si>
    <t>벌툰</t>
  </si>
  <si>
    <t>여행 용돈</t>
  </si>
  <si>
    <t>주식계좌출금</t>
  </si>
  <si>
    <t>카카오택시</t>
  </si>
  <si>
    <t>인천공항 물</t>
  </si>
  <si>
    <t>진에어</t>
  </si>
  <si>
    <t>여행한그릇</t>
  </si>
  <si>
    <t>교토 패키지</t>
  </si>
  <si>
    <t>카카오손해보험</t>
    <phoneticPr fontId="1" type="noConversion"/>
  </si>
  <si>
    <t>여행자보험</t>
    <phoneticPr fontId="1" type="noConversion"/>
  </si>
  <si>
    <t>USJ</t>
  </si>
  <si>
    <t>7월 일본여행</t>
  </si>
  <si>
    <t>현금 사용(식비, 기념품 등)</t>
    <phoneticPr fontId="1" type="noConversion"/>
  </si>
  <si>
    <t>경복궁면세점</t>
  </si>
  <si>
    <t>평진이 맥모닝</t>
  </si>
  <si>
    <t>우유, 치즈</t>
  </si>
  <si>
    <t>강남77</t>
  </si>
  <si>
    <t>여명</t>
  </si>
  <si>
    <t>3분밥상</t>
  </si>
  <si>
    <t>무인간식</t>
  </si>
  <si>
    <t>차액결제</t>
  </si>
  <si>
    <t>2024071503</t>
  </si>
  <si>
    <t>2024071901</t>
  </si>
  <si>
    <t>환급 차액</t>
    <phoneticPr fontId="1" type="noConversion"/>
  </si>
  <si>
    <t>코레일유통</t>
  </si>
  <si>
    <t>잔치국수</t>
  </si>
  <si>
    <t>수제대박분식</t>
  </si>
  <si>
    <t>아이센스리그PC방</t>
  </si>
  <si>
    <t>1000원 현금</t>
  </si>
  <si>
    <t>치킨플러스</t>
  </si>
  <si>
    <t>우유, 종량제</t>
  </si>
  <si>
    <t>블리자드</t>
  </si>
  <si>
    <t>알라라크</t>
  </si>
  <si>
    <t>권순옥</t>
  </si>
  <si>
    <t>백화점</t>
  </si>
  <si>
    <t>더현대서울</t>
  </si>
  <si>
    <t>망곰이 팝업</t>
  </si>
  <si>
    <t>수티</t>
  </si>
  <si>
    <t>소몽</t>
  </si>
  <si>
    <t>사케동</t>
  </si>
  <si>
    <t>김현주</t>
  </si>
  <si>
    <t>한강 슬러쉬</t>
  </si>
  <si>
    <t>마이크로소프트</t>
  </si>
  <si>
    <t>원드라이브 구독</t>
  </si>
  <si>
    <t>유튜브 멤버쉽</t>
  </si>
  <si>
    <t>기프티콘사용</t>
  </si>
  <si>
    <t>파동추야</t>
  </si>
  <si>
    <t>스아게</t>
  </si>
  <si>
    <t>고고핑</t>
  </si>
  <si>
    <t>이모티콘 플러스</t>
  </si>
  <si>
    <t>정인혜</t>
  </si>
  <si>
    <t>홍대 동아리공연</t>
  </si>
  <si>
    <t>막걸리</t>
  </si>
  <si>
    <t>아트박스</t>
  </si>
  <si>
    <t>우산</t>
  </si>
  <si>
    <t>아이리스PC</t>
  </si>
  <si>
    <t>블씨 회비</t>
  </si>
  <si>
    <t>카툰플러스</t>
  </si>
  <si>
    <t>플레이타코</t>
  </si>
  <si>
    <t>루이까또즈</t>
  </si>
  <si>
    <t>용용선생</t>
  </si>
  <si>
    <t>음료 4000원 포함</t>
  </si>
  <si>
    <t>더맨타코</t>
  </si>
  <si>
    <t>어더아사</t>
  </si>
  <si>
    <t>본가손만두</t>
  </si>
  <si>
    <t>청와정</t>
  </si>
  <si>
    <t>한화생명 인증</t>
  </si>
  <si>
    <t>차량보험</t>
  </si>
  <si>
    <t>DB다이렉트</t>
  </si>
  <si>
    <t>원데이보험</t>
  </si>
  <si>
    <t>호선쌤</t>
  </si>
  <si>
    <t>간식비 포함</t>
  </si>
  <si>
    <t>승효 치킨</t>
  </si>
  <si>
    <t>보너스 10</t>
  </si>
  <si>
    <t>예빈이 지갑, 현금인출 만원 포함</t>
    <phoneticPr fontId="1" type="noConversion"/>
  </si>
  <si>
    <t>고추동제면소</t>
    <phoneticPr fontId="1" type="noConversion"/>
  </si>
  <si>
    <t>이마트에브리데이</t>
  </si>
  <si>
    <t>물티슈</t>
  </si>
  <si>
    <t>볼링화</t>
  </si>
  <si>
    <t>신흥역</t>
  </si>
  <si>
    <t>소주</t>
  </si>
  <si>
    <t>멤버십 67원 포함</t>
    <phoneticPr fontId="1" type="noConversion"/>
  </si>
  <si>
    <t>임혜원</t>
  </si>
  <si>
    <t>슈페어 회비</t>
  </si>
  <si>
    <t>으리으리</t>
  </si>
  <si>
    <t>블씨 개총</t>
  </si>
  <si>
    <t>배터리, 아이깨끗해 리필</t>
  </si>
  <si>
    <t>베라</t>
  </si>
  <si>
    <t>2024091103</t>
  </si>
  <si>
    <t>아모제푸드</t>
  </si>
  <si>
    <t>인천공항 점심</t>
  </si>
  <si>
    <t>인천공항-안산 시외버스</t>
  </si>
  <si>
    <t>버거킹 차액</t>
  </si>
  <si>
    <t>동탄점</t>
  </si>
  <si>
    <t>아침 커피</t>
  </si>
  <si>
    <t>계란</t>
  </si>
  <si>
    <t>알파문구</t>
  </si>
  <si>
    <t>편지봉투, 테이프 등</t>
  </si>
  <si>
    <t>고무장갑, 쓰레기통 등</t>
  </si>
  <si>
    <t>지쿠터</t>
  </si>
  <si>
    <t>김홍도미술관 왕복</t>
  </si>
  <si>
    <t>오란다볼링파크</t>
    <phoneticPr fontId="1" type="noConversion"/>
  </si>
  <si>
    <t>아름다운가게</t>
  </si>
  <si>
    <t>24년 상반기 14850+1년구독 9900</t>
  </si>
  <si>
    <t>호준 생일</t>
  </si>
  <si>
    <t>동근 생일</t>
  </si>
  <si>
    <t>오란다볼링파크</t>
  </si>
  <si>
    <t>10/8 볼링비</t>
    <phoneticPr fontId="1" type="noConversion"/>
  </si>
  <si>
    <t>우체국</t>
  </si>
  <si>
    <t>항공우편</t>
  </si>
  <si>
    <t>우유 짜파게티</t>
  </si>
  <si>
    <t>충전기</t>
  </si>
  <si>
    <t>카레, 홈런볼</t>
  </si>
  <si>
    <t>스팅</t>
  </si>
  <si>
    <t>우유 핫바</t>
  </si>
  <si>
    <t>휴대폰</t>
  </si>
  <si>
    <t>LiivM통신요금</t>
  </si>
  <si>
    <t>통신비 차액</t>
  </si>
  <si>
    <t>조선앵 생일</t>
  </si>
  <si>
    <t>현우 생일</t>
  </si>
  <si>
    <t>우편 특송</t>
  </si>
  <si>
    <t>로앤산부인과</t>
  </si>
  <si>
    <t>립밤</t>
  </si>
  <si>
    <t>심부름 차액</t>
  </si>
  <si>
    <t>박수진 생일</t>
  </si>
  <si>
    <t>2024102502</t>
  </si>
  <si>
    <t>순수카츠</t>
  </si>
  <si>
    <t>거울, 권은희 이체</t>
  </si>
  <si>
    <t>충전기(집용)</t>
  </si>
  <si>
    <t>우유, 맥주</t>
  </si>
  <si>
    <t>11월 생활비</t>
  </si>
  <si>
    <t>메리엘스</t>
  </si>
  <si>
    <t>건전지</t>
  </si>
  <si>
    <t>아이스박스</t>
  </si>
  <si>
    <t>왕곡점</t>
  </si>
  <si>
    <t>GS마트</t>
  </si>
  <si>
    <t>과자, 맥주 등</t>
  </si>
  <si>
    <t>집들이 케잌</t>
  </si>
  <si>
    <t>우유, 핫바</t>
  </si>
  <si>
    <t>Claude 구독</t>
  </si>
  <si>
    <t>가다실</t>
    <phoneticPr fontId="1" type="noConversion"/>
  </si>
  <si>
    <t>김서연 이체</t>
  </si>
  <si>
    <t>가온이형 생일</t>
  </si>
  <si>
    <t>폰케이스</t>
  </si>
  <si>
    <t>숭마 카페</t>
    <phoneticPr fontId="1" type="noConversion"/>
  </si>
  <si>
    <t>피자스쿨</t>
  </si>
  <si>
    <t>조명</t>
  </si>
  <si>
    <t>우유, 닭가슴살</t>
  </si>
  <si>
    <t>카레, 폼클렌징</t>
  </si>
  <si>
    <t>여행용품</t>
  </si>
  <si>
    <t>소분통, 폰거치대</t>
  </si>
  <si>
    <t>상비약</t>
  </si>
  <si>
    <t>이서아 커피</t>
  </si>
  <si>
    <t>평진이 생일</t>
  </si>
  <si>
    <t>러쉬</t>
  </si>
  <si>
    <t>부겸 집들이</t>
  </si>
  <si>
    <t>아빠 면세점 차액, 카드혜택 3400 제외(원금 17000)</t>
    <phoneticPr fontId="1" type="noConversion"/>
  </si>
  <si>
    <t>249무한조개</t>
  </si>
  <si>
    <t>김부겸 이체</t>
  </si>
  <si>
    <t>30일분 임혜원 이체</t>
  </si>
  <si>
    <t>맛닭꼬</t>
  </si>
  <si>
    <t>송옥 방배점</t>
  </si>
  <si>
    <t>하정훈 이체</t>
  </si>
  <si>
    <t>1월 생활비</t>
  </si>
  <si>
    <t>오버쿡드</t>
  </si>
  <si>
    <t>메탈슬러그</t>
    <phoneticPr fontId="1" type="noConversion"/>
  </si>
  <si>
    <t>2025년</t>
  </si>
  <si>
    <t>커피, 치즈스틱</t>
  </si>
  <si>
    <t>인천공항공사</t>
  </si>
  <si>
    <t>콘웰</t>
  </si>
  <si>
    <t>희범쌤 결혼식</t>
  </si>
  <si>
    <t>배터리, 핫팩</t>
  </si>
  <si>
    <t>포토이즘</t>
  </si>
  <si>
    <t>별빛파티룸</t>
  </si>
  <si>
    <t>바나나우유</t>
  </si>
  <si>
    <t>고당쫄면</t>
  </si>
  <si>
    <t>타코야끼클라스</t>
  </si>
  <si>
    <t>이장원 부친상</t>
  </si>
  <si>
    <t>카카오주문하기</t>
  </si>
  <si>
    <t>굽네 배달비</t>
  </si>
  <si>
    <t>맥주</t>
  </si>
  <si>
    <t>미꼬담</t>
  </si>
  <si>
    <t>아이존팝</t>
  </si>
  <si>
    <t>노원기차마을</t>
  </si>
  <si>
    <t>xbox</t>
  </si>
  <si>
    <t>패스 구독료</t>
  </si>
  <si>
    <t>접이식의자</t>
  </si>
  <si>
    <t>김예빈</t>
  </si>
  <si>
    <t>우마이식당</t>
  </si>
  <si>
    <t>고무장갑, 배터리</t>
  </si>
  <si>
    <t>편지지, 선물</t>
  </si>
  <si>
    <t>세뱃돈</t>
  </si>
  <si>
    <t>권은희</t>
    <phoneticPr fontId="1" type="noConversion"/>
  </si>
  <si>
    <t>할머니 용돈 5만원 포함</t>
    <phoneticPr fontId="1" type="noConversion"/>
  </si>
  <si>
    <t>미국여행</t>
    <phoneticPr fontId="1" type="noConversion"/>
  </si>
  <si>
    <t>주식계좌 출금</t>
    <phoneticPr fontId="1" type="noConversion"/>
  </si>
  <si>
    <t>교통, 식비, 숙박 모두 포함, 지출내역에서 제외</t>
    <phoneticPr fontId="1" type="noConversion"/>
  </si>
  <si>
    <t>미국여행비 입금, 잔액 116만</t>
    <phoneticPr fontId="1" type="noConversion"/>
  </si>
  <si>
    <t>변상민</t>
  </si>
  <si>
    <t>베라</t>
    <phoneticPr fontId="1" type="noConversion"/>
  </si>
  <si>
    <t>KB페이</t>
  </si>
  <si>
    <t>KB페이</t>
    <phoneticPr fontId="1" type="noConversion"/>
  </si>
  <si>
    <t>KB페이 충전</t>
  </si>
  <si>
    <t>경빈이 공연</t>
  </si>
  <si>
    <t>경빈이 공연 입장료</t>
    <phoneticPr fontId="1" type="noConversion"/>
  </si>
  <si>
    <t>c타입 젠더</t>
  </si>
  <si>
    <t>부겸이 생일</t>
  </si>
  <si>
    <t>부겸이 생일</t>
    <phoneticPr fontId="1" type="noConversion"/>
  </si>
  <si>
    <t>송제윤</t>
  </si>
  <si>
    <t>최재은 이체</t>
  </si>
  <si>
    <t>쎄시봉</t>
  </si>
  <si>
    <t>시티즈2</t>
  </si>
  <si>
    <t>갤럭시버거</t>
  </si>
  <si>
    <t>매덕스피자</t>
  </si>
  <si>
    <t>니트세탁</t>
  </si>
  <si>
    <t>다독이네 숯불구이</t>
  </si>
  <si>
    <t>코인노래방</t>
  </si>
  <si>
    <t>수수하지만굉장해</t>
  </si>
  <si>
    <t>동근이 집들이</t>
  </si>
  <si>
    <t>몬스터코인노래방</t>
  </si>
  <si>
    <t>윤동근</t>
  </si>
  <si>
    <t>중국집 배달</t>
  </si>
  <si>
    <t>테이블1629</t>
  </si>
  <si>
    <t>미국여행비 입금, 잔액 100만</t>
  </si>
  <si>
    <t>SHAKE SHACK</t>
  </si>
  <si>
    <t>무인양품</t>
  </si>
  <si>
    <t>초콜릿</t>
  </si>
  <si>
    <t>파일, 포스트잇</t>
  </si>
  <si>
    <t>블씨 상금</t>
  </si>
  <si>
    <t>팔팔구</t>
  </si>
  <si>
    <t>생일용돈</t>
  </si>
  <si>
    <t>KB페이충전</t>
  </si>
  <si>
    <t>슬기로운간식생활</t>
  </si>
  <si>
    <t>더까까주까</t>
  </si>
  <si>
    <t>손칼국수집</t>
  </si>
  <si>
    <t>연희동</t>
  </si>
  <si>
    <t>시도플레이스</t>
  </si>
  <si>
    <t>평화연남</t>
  </si>
  <si>
    <t>잇테이크투</t>
  </si>
  <si>
    <t>키보드</t>
  </si>
  <si>
    <t>보험료 248106</t>
    <phoneticPr fontId="1" type="noConversion"/>
  </si>
  <si>
    <t>유튜브 멤버쉽</t>
    <phoneticPr fontId="1" type="noConversion"/>
  </si>
  <si>
    <t>호랑이행님</t>
  </si>
  <si>
    <t>보쌈나무</t>
  </si>
  <si>
    <t>여행비 입금, 잔액 60만</t>
  </si>
  <si>
    <t>롯데리아</t>
  </si>
  <si>
    <t>비타오백</t>
  </si>
  <si>
    <t>3층다락방</t>
  </si>
  <si>
    <t>바나프레소</t>
  </si>
  <si>
    <t>알라딘</t>
  </si>
  <si>
    <t>도서</t>
  </si>
  <si>
    <t>책 펀딩</t>
  </si>
  <si>
    <t>박병선</t>
  </si>
  <si>
    <t>할머니 생신</t>
  </si>
  <si>
    <t>엄마 생신</t>
    <phoneticPr fontId="1" type="noConversion"/>
  </si>
  <si>
    <t>미국여행비 입금, 잔액 30만</t>
  </si>
  <si>
    <t>육회바른연어</t>
  </si>
  <si>
    <t>크레이저커피</t>
  </si>
  <si>
    <t>스타동</t>
  </si>
  <si>
    <t>5월 용돈</t>
  </si>
  <si>
    <t>안안</t>
  </si>
  <si>
    <t>평화다방</t>
  </si>
  <si>
    <t>2025041801</t>
  </si>
  <si>
    <t>Claude 구독</t>
    <phoneticPr fontId="1" type="noConversion"/>
  </si>
  <si>
    <t>ANTHROPIC</t>
    <phoneticPr fontId="1" type="noConversion"/>
  </si>
  <si>
    <t>아웃닭</t>
    <phoneticPr fontId="1" type="noConversion"/>
  </si>
  <si>
    <t>김우재 이체</t>
    <phoneticPr fontId="1" type="noConversion"/>
  </si>
  <si>
    <t>보영만두</t>
  </si>
  <si>
    <t>배틀코인 선물</t>
  </si>
  <si>
    <t>율</t>
  </si>
  <si>
    <t>미국여행비 입금, 잔액 0</t>
    <phoneticPr fontId="1" type="noConversion"/>
  </si>
  <si>
    <t>스노우폭스플라워</t>
  </si>
  <si>
    <t>낙원의소바</t>
  </si>
  <si>
    <t>이마트24</t>
  </si>
  <si>
    <t>두잇</t>
  </si>
  <si>
    <t>케이티알파</t>
  </si>
  <si>
    <t>기프티쇼</t>
  </si>
  <si>
    <t>이건빈</t>
  </si>
  <si>
    <t>네잎클로버</t>
  </si>
  <si>
    <t>헤이티</t>
  </si>
  <si>
    <t>짱구네떡볶이</t>
  </si>
  <si>
    <t>야놀자</t>
  </si>
  <si>
    <t>깡우동</t>
  </si>
  <si>
    <t>6월 생활비</t>
    <phoneticPr fontId="1" type="noConversion"/>
  </si>
  <si>
    <t>이호영 조부상</t>
  </si>
  <si>
    <t>팝콘</t>
  </si>
  <si>
    <t>박복순쭈꾸미</t>
  </si>
  <si>
    <t>우지커피</t>
  </si>
  <si>
    <t>옛날집</t>
  </si>
  <si>
    <t>증명서 수수료</t>
  </si>
  <si>
    <t>인프레쉬</t>
  </si>
  <si>
    <t>2주년 선물</t>
  </si>
  <si>
    <t>GITHUB</t>
    <phoneticPr fontId="1" type="noConversion"/>
  </si>
  <si>
    <t>코파일럿 프리미엄</t>
    <phoneticPr fontId="1" type="noConversion"/>
  </si>
  <si>
    <t>2024051201</t>
  </si>
  <si>
    <t>2025041802</t>
  </si>
  <si>
    <t>샤브로21</t>
  </si>
  <si>
    <t>떡도리탕</t>
  </si>
  <si>
    <t>스벅 환급</t>
  </si>
  <si>
    <t>7월 생활비</t>
  </si>
  <si>
    <t>데이릿</t>
  </si>
  <si>
    <t>태양의토마토라멘</t>
  </si>
  <si>
    <t>노트북거치대</t>
  </si>
  <si>
    <t>베트남휴게소</t>
  </si>
  <si>
    <t>아비오그란데</t>
  </si>
  <si>
    <t>에버랜드</t>
  </si>
  <si>
    <t>하겐다즈 이체 포함</t>
  </si>
  <si>
    <t>일월분식</t>
  </si>
  <si>
    <t>수박</t>
  </si>
  <si>
    <t>팔도밀방</t>
  </si>
  <si>
    <t>키보드, 체크할인 포함</t>
    <phoneticPr fontId="1" type="noConversion"/>
  </si>
  <si>
    <t>입장료, 체크할인 포함</t>
    <phoneticPr fontId="1" type="noConversion"/>
  </si>
  <si>
    <t>라쿤피자</t>
  </si>
  <si>
    <t>배드민턴채</t>
  </si>
  <si>
    <t>큐넷</t>
  </si>
  <si>
    <t>재학증명서 포함</t>
  </si>
  <si>
    <t>2024082304</t>
  </si>
  <si>
    <t>오픽시험</t>
  </si>
  <si>
    <t>홍대돈부리</t>
  </si>
  <si>
    <t>피자</t>
  </si>
  <si>
    <t>유독</t>
  </si>
  <si>
    <t>8월 생활비</t>
  </si>
  <si>
    <t>환급 2380 포함</t>
    <phoneticPr fontId="1" type="noConversion"/>
  </si>
  <si>
    <t>구독</t>
  </si>
  <si>
    <t>8월 보험료</t>
  </si>
  <si>
    <t>8월 통신비</t>
  </si>
  <si>
    <t>-------------출금 후 삭제</t>
  </si>
  <si>
    <t>8월 넷플</t>
  </si>
  <si>
    <t>-----출금 후 삭제</t>
  </si>
  <si>
    <t>2025080202</t>
  </si>
  <si>
    <t>2025080501</t>
  </si>
  <si>
    <t>2025080701</t>
  </si>
  <si>
    <t>2025080102</t>
  </si>
  <si>
    <t>2025080201</t>
  </si>
  <si>
    <t>2025080301</t>
  </si>
  <si>
    <t>2025080203</t>
  </si>
  <si>
    <t>2025080505</t>
  </si>
  <si>
    <t>2025080506</t>
  </si>
  <si>
    <t>버거</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</si>
</sst>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2" formatCode="_-&quot;₩&quot;* #,##0_-;\-&quot;₩&quot;* #,##0_-;_-&quot;₩&quot;* &quot;-&quot;_-;_-@_-"/>
    <numFmt numFmtId="41" formatCode="_-* #,##0_-;\-* #,##0_-;_-* &quot;-&quot;_-;_-@_-"/>
    <numFmt numFmtId="176" formatCode="[Blue]_-&quot;₩&quot;* #,##0_-;\-&quot;₩&quot;* #,##0_-;_-&quot;₩&quot;* &quot;-&quot;_-;_-@_-"/>
    <numFmt numFmtId="177" formatCode="####"/>
    <numFmt numFmtId="178" formatCode="##&quot;일&quot;"/>
    <numFmt numFmtId="179" formatCode="##&quot;월&quot;"/>
    <numFmt numFmtId="180" formatCode="_-&quot;₩&quot;* #,##0_-;[Blue]\-&quot;₩&quot;* #,##0_-;_-&quot;₩&quot;* &quot;-&quot;_-;_-@_-"/>
    <numFmt numFmtId="181" formatCode="yy\.mm\.dd"/>
    <numFmt numFmtId="182" formatCode="0.0%"/>
    <numFmt numFmtId="183" formatCode="[=0]&quot;&quot;;General"/>
    <numFmt numFmtId="184" formatCode="0.0%;[=0]&quot;&quot;"/>
    <numFmt numFmtId="185" formatCode="#,##0_);[Red]\(#,##0\)"/>
    <numFmt numFmtId="186" formatCode="#,##0_ "/>
    <numFmt numFmtId="187" formatCode="_-&quot;₩&quot;* #,##0_-;_-&quot;₩&quot;* \-#,##0_-;_-&quot;₩&quot;* &quot;-&quot;_-;_-@_-"/>
    <numFmt numFmtId="188" formatCode="_-&quot;₩&quot;* #,##0_-;\-&quot;₩&quot;* #,##0_-;_-&quot;₩&quot;* &quot;-&quot;_-;_-* @_-"/>
    <numFmt numFmtId="189" formatCode="dd"/>
  </numFmts>
  <fonts count="26">
    <font>
      <sz val="11"/>
      <color theme="1"/>
      <name val="맑은 고딕"/>
      <family val="2"/>
      <charset val="129"/>
      <scheme val="minor"/>
    </font>
    <font>
      <sz val="8"/>
      <name val="맑은 고딕"/>
      <family val="2"/>
      <charset val="129"/>
      <scheme val="minor"/>
    </font>
    <font>
      <sz val="14"/>
      <color theme="1"/>
      <name val="맑은 고딕"/>
      <family val="2"/>
      <charset val="129"/>
      <scheme val="minor"/>
    </font>
    <font>
      <sz val="14"/>
      <color theme="1"/>
      <name val="맑은 고딕"/>
      <family val="3"/>
      <charset val="129"/>
      <scheme val="minor"/>
    </font>
    <font>
      <sz val="11"/>
      <name val="맑은 고딕"/>
      <family val="2"/>
      <charset val="129"/>
      <scheme val="minor"/>
    </font>
    <font>
      <sz val="11"/>
      <color theme="1"/>
      <name val="맑은 고딕"/>
      <family val="2"/>
      <charset val="129"/>
      <scheme val="minor"/>
    </font>
    <font>
      <sz val="11"/>
      <color rgb="FFFF0000"/>
      <name val="맑은 고딕"/>
      <family val="2"/>
      <charset val="129"/>
      <scheme val="minor"/>
    </font>
    <font>
      <sz val="9"/>
      <color theme="1"/>
      <name val="맑은 고딕"/>
      <family val="3"/>
      <charset val="129"/>
      <scheme val="minor"/>
    </font>
    <font>
      <sz val="11"/>
      <color rgb="FFFF0000"/>
      <name val="맑은 고딕"/>
      <family val="3"/>
      <charset val="129"/>
      <scheme val="minor"/>
    </font>
    <font>
      <sz val="11"/>
      <color theme="0"/>
      <name val="맑은 고딕"/>
      <family val="2"/>
      <charset val="129"/>
      <scheme val="minor"/>
    </font>
    <font>
      <sz val="11"/>
      <color theme="0"/>
      <name val="맑은 고딕"/>
      <family val="3"/>
      <charset val="129"/>
      <scheme val="minor"/>
    </font>
    <font>
      <b/>
      <sz val="14"/>
      <color theme="0"/>
      <name val="맑은 고딕"/>
      <family val="3"/>
      <charset val="129"/>
      <scheme val="minor"/>
    </font>
    <font>
      <b/>
      <sz val="18"/>
      <color theme="0"/>
      <name val="나눔스퀘어 Extrabold"/>
      <family val="3"/>
      <charset val="129"/>
    </font>
    <font>
      <sz val="18"/>
      <color theme="0"/>
      <name val="나눔스퀘어 ExtraBold"/>
      <family val="3"/>
      <charset val="129"/>
    </font>
    <font>
      <sz val="11"/>
      <color theme="0"/>
      <name val="나눔스퀘어 Bold"/>
      <family val="3"/>
      <charset val="129"/>
    </font>
    <font>
      <sz val="18"/>
      <color theme="0"/>
      <name val="나눔스퀘어 Bold"/>
      <family val="3"/>
      <charset val="129"/>
    </font>
    <font>
      <sz val="11"/>
      <color rgb="FF161616"/>
      <name val="나눔스퀘어 Bold"/>
      <family val="3"/>
      <charset val="129"/>
    </font>
    <font>
      <sz val="11"/>
      <color rgb="FF161616"/>
      <name val="맑은 고딕"/>
      <family val="2"/>
      <charset val="129"/>
      <scheme val="minor"/>
    </font>
    <font>
      <sz val="18"/>
      <color rgb="FFFF3F3F"/>
      <name val="나눔스퀘어 ExtraBold"/>
      <family val="3"/>
      <charset val="129"/>
    </font>
    <font>
      <sz val="18"/>
      <color rgb="FFFF3F3F"/>
      <name val="나눔스퀘어 Bold"/>
      <family val="3"/>
      <charset val="129"/>
    </font>
    <font>
      <sz val="18"/>
      <color rgb="FF00B0F0"/>
      <name val="나눔스퀘어 ExtraBold"/>
      <family val="3"/>
      <charset val="129"/>
    </font>
    <font>
      <sz val="18"/>
      <color rgb="FF00B0F0"/>
      <name val="나눔스퀘어 Bold"/>
      <family val="3"/>
      <charset val="129"/>
    </font>
    <font>
      <sz val="14"/>
      <color theme="0"/>
      <name val="나눔스퀘어 ExtraBold"/>
      <family val="3"/>
      <charset val="129"/>
    </font>
    <font>
      <b/>
      <sz val="22"/>
      <color theme="0"/>
      <name val="나눔스퀘어 Extrabold"/>
      <family val="3"/>
      <charset val="129"/>
    </font>
    <font>
      <sz val="16"/>
      <color theme="0"/>
      <name val="나눔스퀘어 ExtraBold"/>
      <family val="3"/>
      <charset val="129"/>
    </font>
    <font>
      <sz val="11"/>
      <color rgb="FF000000"/>
      <name val="맑은 고딕"/>
      <family val="3"/>
      <charset val="129"/>
    </font>
  </fonts>
  <fills count="7">
    <fill>
      <patternFill patternType="none"/>
    </fill>
    <fill>
      <patternFill patternType="gray125"/>
    </fill>
    <fill>
      <patternFill patternType="solid">
        <fgColor theme="8" tint="0.79998168889431442"/>
        <bgColor indexed="64"/>
      </patternFill>
    </fill>
    <fill>
      <patternFill patternType="solid">
        <fgColor theme="2" tint="-0.89999084444715716"/>
        <bgColor indexed="64"/>
      </patternFill>
    </fill>
    <fill>
      <patternFill patternType="solid">
        <fgColor rgb="FF161616"/>
        <bgColor indexed="64"/>
      </patternFill>
    </fill>
    <fill>
      <patternFill patternType="solid">
        <fgColor theme="8" tint="-0.499984740745262"/>
        <bgColor indexed="64"/>
      </patternFill>
    </fill>
    <fill>
      <patternFill patternType="solid">
        <fgColor rgb="FF262626"/>
        <bgColor indexed="64"/>
      </patternFill>
    </fill>
  </fills>
  <borders count="15">
    <border>
      <left/>
      <right/>
      <top/>
      <bottom/>
      <diagonal/>
    </border>
    <border>
      <left/>
      <right/>
      <top/>
      <bottom style="thick">
        <color theme="0"/>
      </bottom>
      <diagonal/>
    </border>
    <border>
      <left/>
      <right/>
      <top style="thin">
        <color theme="0"/>
      </top>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ck">
        <color theme="0"/>
      </left>
      <right/>
      <top/>
      <bottom/>
      <diagonal/>
    </border>
    <border>
      <left/>
      <right style="thick">
        <color theme="0"/>
      </right>
      <top/>
      <bottom/>
      <diagonal/>
    </border>
    <border>
      <left style="thick">
        <color theme="0"/>
      </left>
      <right/>
      <top style="thick">
        <color theme="0"/>
      </top>
      <bottom style="thin">
        <color theme="0"/>
      </bottom>
      <diagonal/>
    </border>
    <border>
      <left/>
      <right style="thick">
        <color theme="0"/>
      </right>
      <top style="thick">
        <color theme="0"/>
      </top>
      <bottom style="thin">
        <color theme="0"/>
      </bottom>
      <diagonal/>
    </border>
    <border>
      <left style="thick">
        <color theme="0"/>
      </left>
      <right/>
      <top style="mediumDashed">
        <color theme="0"/>
      </top>
      <bottom style="thick">
        <color theme="0"/>
      </bottom>
      <diagonal/>
    </border>
    <border>
      <left/>
      <right style="thick">
        <color theme="0"/>
      </right>
      <top style="mediumDashed">
        <color theme="0"/>
      </top>
      <bottom style="thick">
        <color theme="0"/>
      </bottom>
      <diagonal/>
    </border>
    <border>
      <left style="thick">
        <color auto="1"/>
      </left>
      <right style="thick">
        <color auto="1"/>
      </right>
      <top style="thick">
        <color auto="1"/>
      </top>
      <bottom style="thick">
        <color auto="1"/>
      </bottom>
      <diagonal/>
    </border>
    <border>
      <left style="thick">
        <color auto="1"/>
      </left>
      <right style="thick">
        <color auto="1"/>
      </right>
      <top/>
      <bottom/>
      <diagonal/>
    </border>
    <border>
      <left style="thick">
        <color auto="1"/>
      </left>
      <right style="thick">
        <color auto="1"/>
      </right>
      <top/>
      <bottom style="thick">
        <color auto="1"/>
      </bottom>
      <diagonal/>
    </border>
  </borders>
  <cellStyleXfs count="4">
    <xf numFmtId="0" fontId="0" fillId="0" borderId="0">
      <alignment vertical="center"/>
    </xf>
    <xf numFmtId="42" fontId="5" fillId="0" borderId="0" applyFont="0" applyFill="0" applyBorder="0" applyAlignment="0" applyProtection="0">
      <alignment vertical="center"/>
    </xf>
    <xf numFmtId="9" fontId="5" fillId="0" borderId="0" applyFont="0" applyFill="0" applyBorder="0" applyAlignment="0" applyProtection="0">
      <alignment vertical="center"/>
    </xf>
    <xf numFmtId="41" fontId="5" fillId="0" borderId="0" applyFont="0" applyFill="0" applyBorder="0" applyAlignment="0" applyProtection="0">
      <alignment vertical="center"/>
    </xf>
  </cellStyleXfs>
  <cellXfs count="89">
    <xf numFmtId="0" fontId="0" fillId="0" borderId="0" xfId="0">
      <alignment vertical="center"/>
    </xf>
    <xf numFmtId="0" fontId="0" fillId="0" borderId="0" xfId="0" applyAlignment="1">
      <alignment horizontal="center" vertical="center"/>
    </xf>
    <xf numFmtId="0" fontId="0" fillId="0" borderId="0" xfId="0" applyAlignment="1">
      <alignment horizontal="left" vertical="center"/>
    </xf>
    <xf numFmtId="0" fontId="3" fillId="0" borderId="0" xfId="0" applyFont="1">
      <alignment vertical="center"/>
    </xf>
    <xf numFmtId="0" fontId="2" fillId="2" borderId="0" xfId="0" applyFont="1" applyFill="1" applyAlignment="1">
      <alignment horizontal="center" vertical="center"/>
    </xf>
    <xf numFmtId="0" fontId="3" fillId="2" borderId="0" xfId="0" applyFont="1" applyFill="1" applyAlignment="1">
      <alignment horizontal="center" vertical="center"/>
    </xf>
    <xf numFmtId="176" fontId="2" fillId="2" borderId="0" xfId="0" applyNumberFormat="1" applyFont="1" applyFill="1" applyAlignment="1">
      <alignment horizontal="center" vertical="center"/>
    </xf>
    <xf numFmtId="176" fontId="0" fillId="0" borderId="0" xfId="0" applyNumberFormat="1" applyAlignment="1">
      <alignment horizontal="left" vertical="center"/>
    </xf>
    <xf numFmtId="0" fontId="0" fillId="0" borderId="0" xfId="0" pivotButton="1">
      <alignment vertical="center"/>
    </xf>
    <xf numFmtId="0" fontId="0" fillId="0" borderId="0" xfId="0" applyAlignment="1">
      <alignment horizontal="left" vertical="center" indent="1"/>
    </xf>
    <xf numFmtId="180" fontId="0" fillId="0" borderId="0" xfId="0" applyNumberFormat="1" applyAlignment="1">
      <alignment horizontal="left" vertical="center"/>
    </xf>
    <xf numFmtId="14" fontId="0" fillId="0" borderId="0" xfId="0" applyNumberFormat="1">
      <alignment vertical="center"/>
    </xf>
    <xf numFmtId="180" fontId="2" fillId="2" borderId="0" xfId="0" applyNumberFormat="1" applyFont="1" applyFill="1" applyAlignment="1">
      <alignment horizontal="center" vertical="center"/>
    </xf>
    <xf numFmtId="181" fontId="3" fillId="2" borderId="0" xfId="0" applyNumberFormat="1" applyFont="1" applyFill="1" applyAlignment="1">
      <alignment horizontal="center" vertical="center"/>
    </xf>
    <xf numFmtId="42" fontId="0" fillId="0" borderId="0" xfId="0" applyNumberFormat="1">
      <alignment vertical="center"/>
    </xf>
    <xf numFmtId="42" fontId="0" fillId="0" borderId="0" xfId="1" applyFont="1">
      <alignment vertical="center"/>
    </xf>
    <xf numFmtId="182" fontId="0" fillId="0" borderId="0" xfId="2" applyNumberFormat="1" applyFont="1">
      <alignment vertical="center"/>
    </xf>
    <xf numFmtId="177" fontId="3" fillId="2" borderId="0" xfId="0" applyNumberFormat="1" applyFont="1" applyFill="1" applyAlignment="1">
      <alignment horizontal="center" vertical="center"/>
    </xf>
    <xf numFmtId="179" fontId="3" fillId="2" borderId="0" xfId="0" applyNumberFormat="1" applyFont="1" applyFill="1" applyAlignment="1">
      <alignment horizontal="center" vertical="center"/>
    </xf>
    <xf numFmtId="178" fontId="3" fillId="2" borderId="0" xfId="0" applyNumberFormat="1" applyFont="1" applyFill="1" applyAlignment="1">
      <alignment horizontal="center" vertical="center"/>
    </xf>
    <xf numFmtId="0" fontId="7" fillId="0" borderId="0" xfId="0" applyFont="1" applyAlignment="1">
      <alignment horizontal="center" vertical="center"/>
    </xf>
    <xf numFmtId="181" fontId="7" fillId="0" borderId="0" xfId="0" applyNumberFormat="1" applyFont="1" applyAlignment="1">
      <alignment horizontal="center" vertical="center"/>
    </xf>
    <xf numFmtId="177" fontId="7" fillId="0" borderId="0" xfId="0" applyNumberFormat="1" applyFont="1" applyAlignment="1">
      <alignment horizontal="center" vertical="center"/>
    </xf>
    <xf numFmtId="179" fontId="7" fillId="0" borderId="0" xfId="0" applyNumberFormat="1" applyFont="1" applyAlignment="1">
      <alignment horizontal="center" vertical="center"/>
    </xf>
    <xf numFmtId="178" fontId="7" fillId="0" borderId="0" xfId="0" applyNumberFormat="1" applyFont="1" applyAlignment="1">
      <alignment horizontal="center" vertical="center"/>
    </xf>
    <xf numFmtId="0" fontId="6" fillId="0" borderId="0" xfId="0" applyFont="1" applyAlignment="1">
      <alignment horizontal="left" vertical="center"/>
    </xf>
    <xf numFmtId="0" fontId="0" fillId="0" borderId="0" xfId="0" quotePrefix="1" applyAlignment="1">
      <alignment horizontal="left" vertical="center"/>
    </xf>
    <xf numFmtId="0" fontId="11" fillId="3" borderId="0" xfId="0" applyFont="1" applyFill="1">
      <alignment vertical="center"/>
    </xf>
    <xf numFmtId="0" fontId="4" fillId="3" borderId="0" xfId="0" applyFont="1" applyFill="1">
      <alignment vertical="center"/>
    </xf>
    <xf numFmtId="0" fontId="10" fillId="3" borderId="0" xfId="0" applyFont="1" applyFill="1" applyAlignment="1">
      <alignment horizontal="center" vertical="center"/>
    </xf>
    <xf numFmtId="42" fontId="10" fillId="3" borderId="0" xfId="1" applyFont="1" applyFill="1">
      <alignment vertical="center"/>
    </xf>
    <xf numFmtId="182" fontId="10" fillId="3" borderId="0" xfId="2" applyNumberFormat="1" applyFont="1" applyFill="1">
      <alignment vertical="center"/>
    </xf>
    <xf numFmtId="0" fontId="9" fillId="3" borderId="0" xfId="0" applyFont="1" applyFill="1">
      <alignment vertical="center"/>
    </xf>
    <xf numFmtId="183" fontId="10" fillId="3" borderId="0" xfId="0" applyNumberFormat="1" applyFont="1" applyFill="1" applyAlignment="1">
      <alignment horizontal="center" vertical="center"/>
    </xf>
    <xf numFmtId="184" fontId="10" fillId="3" borderId="0" xfId="2" applyNumberFormat="1" applyFont="1" applyFill="1">
      <alignment vertical="center"/>
    </xf>
    <xf numFmtId="0" fontId="10" fillId="3" borderId="2" xfId="0" applyFont="1" applyFill="1" applyBorder="1" applyAlignment="1">
      <alignment horizontal="right" vertical="center"/>
    </xf>
    <xf numFmtId="42" fontId="10" fillId="3" borderId="2" xfId="0" applyNumberFormat="1" applyFont="1" applyFill="1" applyBorder="1">
      <alignment vertical="center"/>
    </xf>
    <xf numFmtId="0" fontId="9" fillId="3" borderId="2" xfId="0" applyFont="1" applyFill="1" applyBorder="1">
      <alignment vertical="center"/>
    </xf>
    <xf numFmtId="184" fontId="10" fillId="3" borderId="0" xfId="2" applyNumberFormat="1" applyFont="1" applyFill="1" applyBorder="1">
      <alignment vertical="center"/>
    </xf>
    <xf numFmtId="0" fontId="9" fillId="3" borderId="2" xfId="0" applyFont="1" applyFill="1" applyBorder="1" applyAlignment="1">
      <alignment horizontal="right" vertical="center"/>
    </xf>
    <xf numFmtId="42" fontId="4" fillId="3" borderId="0" xfId="0" applyNumberFormat="1" applyFont="1" applyFill="1">
      <alignment vertical="center"/>
    </xf>
    <xf numFmtId="0" fontId="2" fillId="2" borderId="0" xfId="0" applyFont="1" applyFill="1" applyAlignment="1">
      <alignment horizontal="center" vertical="center" shrinkToFit="1"/>
    </xf>
    <xf numFmtId="0" fontId="0" fillId="0" borderId="0" xfId="0" applyAlignment="1">
      <alignment horizontal="center" vertical="center" shrinkToFit="1"/>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0" xfId="0" applyAlignment="1">
      <alignment horizontal="right" vertical="center"/>
    </xf>
    <xf numFmtId="185" fontId="0" fillId="0" borderId="0" xfId="3" applyNumberFormat="1" applyFont="1">
      <alignment vertical="center"/>
    </xf>
    <xf numFmtId="186" fontId="0" fillId="0" borderId="0" xfId="0" applyNumberFormat="1">
      <alignment vertical="center"/>
    </xf>
    <xf numFmtId="186" fontId="0" fillId="0" borderId="0" xfId="3" applyNumberFormat="1" applyFont="1">
      <alignment vertical="center"/>
    </xf>
    <xf numFmtId="187" fontId="10" fillId="3" borderId="2" xfId="0" applyNumberFormat="1" applyFont="1" applyFill="1" applyBorder="1">
      <alignment vertical="center"/>
    </xf>
    <xf numFmtId="0" fontId="9" fillId="4" borderId="0" xfId="0" applyFont="1" applyFill="1">
      <alignment vertical="center"/>
    </xf>
    <xf numFmtId="0" fontId="14" fillId="4" borderId="0" xfId="0" applyFont="1" applyFill="1">
      <alignment vertical="center"/>
    </xf>
    <xf numFmtId="0" fontId="16" fillId="4" borderId="0" xfId="0" applyFont="1" applyFill="1">
      <alignment vertical="center"/>
    </xf>
    <xf numFmtId="183" fontId="9" fillId="4" borderId="0" xfId="0" applyNumberFormat="1" applyFont="1" applyFill="1">
      <alignment vertical="center"/>
    </xf>
    <xf numFmtId="0" fontId="9" fillId="4" borderId="0" xfId="0" applyFont="1" applyFill="1" applyAlignment="1">
      <alignment vertical="center" shrinkToFit="1"/>
    </xf>
    <xf numFmtId="0" fontId="13" fillId="4" borderId="0" xfId="0" applyFont="1" applyFill="1" applyAlignment="1">
      <alignment horizontal="center" vertical="center" shrinkToFit="1"/>
    </xf>
    <xf numFmtId="0" fontId="14" fillId="4" borderId="0" xfId="0" applyFont="1" applyFill="1" applyAlignment="1">
      <alignment vertical="center" shrinkToFit="1"/>
    </xf>
    <xf numFmtId="183" fontId="9" fillId="4" borderId="0" xfId="0" applyNumberFormat="1" applyFont="1" applyFill="1" applyAlignment="1">
      <alignment vertical="center" shrinkToFit="1"/>
    </xf>
    <xf numFmtId="0" fontId="9" fillId="4" borderId="6" xfId="0" applyFont="1" applyFill="1" applyBorder="1" applyAlignment="1">
      <alignment vertical="center" shrinkToFit="1"/>
    </xf>
    <xf numFmtId="188" fontId="9" fillId="4" borderId="0" xfId="0" applyNumberFormat="1" applyFont="1" applyFill="1" applyAlignment="1">
      <alignment vertical="center" shrinkToFit="1"/>
    </xf>
    <xf numFmtId="188" fontId="9" fillId="4" borderId="7" xfId="0" applyNumberFormat="1" applyFont="1" applyFill="1" applyBorder="1" applyAlignment="1">
      <alignment vertical="center" shrinkToFit="1"/>
    </xf>
    <xf numFmtId="0" fontId="17" fillId="4" borderId="0" xfId="0" applyFont="1" applyFill="1">
      <alignment vertical="center"/>
    </xf>
    <xf numFmtId="183" fontId="17" fillId="4" borderId="0" xfId="0" applyNumberFormat="1" applyFont="1" applyFill="1">
      <alignment vertical="center"/>
    </xf>
    <xf numFmtId="0" fontId="12" fillId="4" borderId="1" xfId="0" applyFont="1" applyFill="1" applyBorder="1" applyAlignment="1">
      <alignment vertical="center" shrinkToFit="1"/>
    </xf>
    <xf numFmtId="0" fontId="22" fillId="4" borderId="1" xfId="0" applyFont="1" applyFill="1" applyBorder="1" applyAlignment="1">
      <alignment horizontal="right" vertical="center" shrinkToFit="1"/>
    </xf>
    <xf numFmtId="188" fontId="22" fillId="4" borderId="1" xfId="0" applyNumberFormat="1" applyFont="1" applyFill="1" applyBorder="1" applyAlignment="1">
      <alignment vertical="center" shrinkToFit="1"/>
    </xf>
    <xf numFmtId="0" fontId="9" fillId="4" borderId="1" xfId="0" applyFont="1" applyFill="1" applyBorder="1" applyAlignment="1">
      <alignment vertical="center" shrinkToFit="1"/>
    </xf>
    <xf numFmtId="189" fontId="19" fillId="4" borderId="8" xfId="0" applyNumberFormat="1" applyFont="1" applyFill="1" applyBorder="1" applyAlignment="1">
      <alignment horizontal="right" vertical="center" shrinkToFit="1"/>
    </xf>
    <xf numFmtId="188" fontId="16" fillId="4" borderId="9" xfId="0" applyNumberFormat="1" applyFont="1" applyFill="1" applyBorder="1" applyAlignment="1">
      <alignment vertical="center" shrinkToFit="1"/>
    </xf>
    <xf numFmtId="189" fontId="15" fillId="4" borderId="8" xfId="0" applyNumberFormat="1" applyFont="1" applyFill="1" applyBorder="1" applyAlignment="1">
      <alignment horizontal="right" vertical="center" shrinkToFit="1"/>
    </xf>
    <xf numFmtId="189" fontId="21" fillId="4" borderId="8" xfId="0" applyNumberFormat="1" applyFont="1" applyFill="1" applyBorder="1" applyAlignment="1">
      <alignment horizontal="right" vertical="center" shrinkToFit="1"/>
    </xf>
    <xf numFmtId="183" fontId="9" fillId="4" borderId="10" xfId="0" applyNumberFormat="1" applyFont="1" applyFill="1" applyBorder="1" applyAlignment="1">
      <alignment vertical="center" shrinkToFit="1"/>
    </xf>
    <xf numFmtId="188" fontId="9" fillId="4" borderId="11" xfId="0" applyNumberFormat="1" applyFont="1" applyFill="1" applyBorder="1" applyAlignment="1">
      <alignment vertical="center" shrinkToFit="1"/>
    </xf>
    <xf numFmtId="0" fontId="23" fillId="4" borderId="1" xfId="0" applyFont="1" applyFill="1" applyBorder="1" applyAlignment="1">
      <alignment vertical="center" shrinkToFit="1"/>
    </xf>
    <xf numFmtId="0" fontId="23" fillId="4" borderId="1" xfId="0" applyFont="1" applyFill="1" applyBorder="1" applyAlignment="1">
      <alignment horizontal="left" vertical="center" shrinkToFit="1"/>
    </xf>
    <xf numFmtId="3" fontId="4" fillId="3" borderId="0" xfId="0" applyNumberFormat="1" applyFont="1" applyFill="1">
      <alignment vertical="center"/>
    </xf>
    <xf numFmtId="0" fontId="0" fillId="0" borderId="12" xfId="0" applyBorder="1">
      <alignment vertical="center"/>
    </xf>
    <xf numFmtId="0" fontId="0" fillId="0" borderId="13" xfId="0" applyBorder="1">
      <alignment vertical="center"/>
    </xf>
    <xf numFmtId="0" fontId="0" fillId="0" borderId="14" xfId="0" applyBorder="1">
      <alignment vertical="center"/>
    </xf>
    <xf numFmtId="0" fontId="4" fillId="5" borderId="0" xfId="0" applyFont="1" applyFill="1">
      <alignment vertical="center"/>
    </xf>
    <xf numFmtId="0" fontId="4" fillId="6" borderId="0" xfId="0" applyFont="1" applyFill="1">
      <alignment vertical="center"/>
    </xf>
    <xf numFmtId="0" fontId="0" fillId="0" borderId="0" xfId="0" applyAlignment="1">
      <alignment horizontal="left" vertical="center" indent="2"/>
    </xf>
    <xf numFmtId="41" fontId="0" fillId="0" borderId="0" xfId="3" applyFont="1" applyAlignment="1">
      <alignment horizontal="center" vertical="center"/>
    </xf>
    <xf numFmtId="0" fontId="11" fillId="3" borderId="1" xfId="0" applyFont="1" applyFill="1" applyBorder="1" applyAlignment="1">
      <alignment horizontal="center" vertical="center"/>
    </xf>
    <xf numFmtId="188" fontId="24" fillId="4" borderId="0" xfId="0" applyNumberFormat="1" applyFont="1" applyFill="1" applyAlignment="1">
      <alignment horizontal="center" vertical="center" shrinkToFit="1"/>
    </xf>
    <xf numFmtId="0" fontId="18" fillId="4" borderId="0" xfId="0" applyFont="1" applyFill="1" applyAlignment="1">
      <alignment horizontal="center" vertical="center" shrinkToFit="1"/>
    </xf>
    <xf numFmtId="0" fontId="20" fillId="4" borderId="0" xfId="0" applyFont="1" applyFill="1" applyAlignment="1">
      <alignment horizontal="center" vertical="center" shrinkToFit="1"/>
    </xf>
    <xf numFmtId="0" fontId="13" fillId="4" borderId="0" xfId="0" applyFont="1" applyFill="1" applyAlignment="1">
      <alignment horizontal="center" vertical="center" shrinkToFit="1"/>
    </xf>
  </cellXfs>
  <cellStyles count="4">
    <cellStyle name="백분율" xfId="2" builtinId="5"/>
    <cellStyle name="쉼표 [0]" xfId="3" builtinId="6"/>
    <cellStyle name="통화 [0]" xfId="1" builtinId="7"/>
    <cellStyle name="표준" xfId="0" builtinId="0"/>
  </cellStyles>
  <dxfs count="7">
    <dxf>
      <font>
        <color rgb="FF161616"/>
      </font>
    </dxf>
    <dxf>
      <font>
        <color rgb="FFFF3F3F"/>
      </font>
    </dxf>
    <dxf>
      <border>
        <top style="thin">
          <color theme="0"/>
        </top>
        <vertical/>
        <horizontal/>
      </border>
    </dxf>
    <dxf>
      <font>
        <sz val="11"/>
        <color theme="0"/>
        <name val="맑은 고딕"/>
        <family val="3"/>
        <charset val="129"/>
        <scheme val="major"/>
      </font>
      <fill>
        <patternFill>
          <bgColor theme="1" tint="0.14996795556505021"/>
        </patternFill>
      </fill>
      <border diagonalUp="0" diagonalDown="0">
        <left/>
        <right/>
        <top/>
        <bottom/>
        <vertical/>
        <horizontal/>
      </border>
    </dxf>
    <dxf>
      <fill>
        <patternFill patternType="solid">
          <fgColor auto="1"/>
          <bgColor theme="1"/>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dxf>
    <dxf>
      <fill>
        <patternFill>
          <bgColor theme="1"/>
        </patternFill>
      </fill>
    </dxf>
  </dxfs>
  <tableStyles count="2" defaultTableStyle="TableStyleMedium2" defaultPivotStyle="PivotStyleLight16">
    <tableStyle name="슬라이서 스타일 1" pivot="0" table="0" count="10" xr9:uid="{B951A31F-1A3F-4060-8A21-F352FE98DB2F}">
      <tableStyleElement type="wholeTable" dxfId="6"/>
      <tableStyleElement type="headerRow" dxfId="5"/>
    </tableStyle>
    <tableStyle name="시간 표시 막대 스타일 1" pivot="0" table="0" count="9" xr9:uid="{8837C0CB-8DB6-4961-AB03-BFB16B306005}">
      <tableStyleElement type="wholeTable" dxfId="4"/>
      <tableStyleElement type="headerRow" dxfId="3"/>
    </tableStyle>
  </tableStyles>
  <colors>
    <mruColors>
      <color rgb="FF161616"/>
      <color rgb="FF262626"/>
      <color rgb="FFFF3F3F"/>
    </mruColors>
  </colors>
  <extLst>
    <ext xmlns:x14="http://schemas.microsoft.com/office/spreadsheetml/2009/9/main" uri="{46F421CA-312F-682f-3DD2-61675219B42D}">
      <x14:dxfs count="8">
        <dxf>
          <font>
            <color theme="0" tint="-0.14996795556505021"/>
          </font>
          <fill>
            <patternFill>
              <bgColor theme="0" tint="-4.9989318521683403E-2"/>
            </patternFill>
          </fill>
        </dxf>
        <dxf>
          <fill>
            <patternFill>
              <bgColor theme="1" tint="0.499984740745262"/>
            </patternFill>
          </fill>
        </dxf>
        <dxf>
          <font>
            <color theme="1"/>
          </font>
          <fill>
            <patternFill>
              <bgColor theme="0" tint="-0.14996795556505021"/>
            </patternFill>
          </fill>
        </dxf>
        <dxf>
          <font>
            <color theme="1"/>
          </font>
          <fill>
            <patternFill>
              <bgColor theme="0" tint="-0.14996795556505021"/>
            </patternFill>
          </fill>
        </dxf>
        <dxf>
          <font>
            <color theme="0" tint="-0.34998626667073579"/>
          </font>
          <fill>
            <patternFill>
              <bgColor theme="0" tint="-4.9989318521683403E-2"/>
            </patternFill>
          </fill>
        </dxf>
        <dxf>
          <font>
            <color auto="1"/>
          </font>
          <fill>
            <patternFill>
              <bgColor theme="0" tint="-4.9989318521683403E-2"/>
            </patternFill>
          </fill>
        </dxf>
        <dxf>
          <font>
            <color theme="0" tint="-4.9989318521683403E-2"/>
          </font>
          <fill>
            <patternFill>
              <bgColor theme="1" tint="0.499984740745262"/>
            </patternFill>
          </fill>
        </dxf>
        <dxf>
          <font>
            <color theme="0" tint="-4.9989318521683403E-2"/>
          </font>
          <fill>
            <patternFill>
              <bgColor theme="0" tint="-0.34998626667073579"/>
            </patternFill>
          </fill>
        </dxf>
      </x14:dxfs>
    </ext>
    <ext xmlns:x14="http://schemas.microsoft.com/office/spreadsheetml/2009/9/main" uri="{EB79DEF2-80B8-43e5-95BD-54CBDDF9020C}">
      <x14:slicerStyles defaultSlicerStyle="SlicerStyleLight1">
        <x14:slicerStyle name="슬라이서 스타일 1">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bgColor theme="0" tint="-0.14996795556505021"/>
            </patternFill>
          </fill>
        </dxf>
        <dxf>
          <fill>
            <patternFill patternType="solid">
              <fgColor theme="0" tint="-0.14996795556505021"/>
              <bgColor theme="1" tint="0.499984740745262"/>
            </patternFill>
          </fill>
        </dxf>
        <dxf>
          <fill>
            <patternFill patternType="none">
              <fgColor indexed="64"/>
              <bgColor auto="1"/>
            </patternFill>
          </fill>
          <border diagonalUp="0" diagonalDown="0">
            <left style="thin">
              <color theme="0"/>
            </left>
            <right style="thin">
              <color theme="0"/>
            </right>
            <top style="thin">
              <color theme="0"/>
            </top>
            <bottom style="thin">
              <color theme="0"/>
            </bottom>
            <vertical/>
            <horizontal/>
          </border>
        </dxf>
        <dxf>
          <font>
            <sz val="9"/>
            <color theme="0" tint="-4.9989318521683403E-2"/>
            <name val="맑은 고딕"/>
            <family val="3"/>
            <charset val="129"/>
            <scheme val="minor"/>
          </font>
        </dxf>
        <dxf>
          <font>
            <sz val="9"/>
            <color theme="0" tint="-0.34998626667073579"/>
            <name val="맑은 고딕"/>
            <family val="3"/>
            <charset val="129"/>
            <scheme val="minor"/>
          </font>
        </dxf>
        <dxf>
          <font>
            <sz val="9"/>
            <color theme="0" tint="-0.14996795556505021"/>
            <name val="맑은 고딕"/>
            <family val="3"/>
            <charset val="129"/>
            <scheme val="minor"/>
          </font>
        </dxf>
        <dxf>
          <font>
            <sz val="10"/>
            <color theme="0" tint="-0.24994659260841701"/>
            <name val="맑은 고딕"/>
            <family val="3"/>
            <charset val="129"/>
            <scheme val="minor"/>
          </font>
        </dxf>
      </x15:dxfs>
    </ext>
    <ext xmlns:x15="http://schemas.microsoft.com/office/spreadsheetml/2010/11/main" uri="{9260A510-F301-46a8-8635-F512D64BE5F5}">
      <x15:timelineStyles defaultTimelineStyle="TimeSlicerStyleLight1">
        <x15:timelineStyle name="시간 표시 막대 스타일 1">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sheetMetadata" Target="metadata.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11/relationships/timelineCache" Target="timelineCaches/timelineCache1.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79176FB0-B7F2-11CE-97EF-00AA006D2776}"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요약!월별지출수입</c:name>
    <c:fmtId val="18"/>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6">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2">
              <a:lumMod val="75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pivotFmt>
      <c:pivotFmt>
        <c:idx val="15"/>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6"/>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740748245541427E-2"/>
          <c:y val="0.16460954152856669"/>
          <c:w val="0.9212705733276636"/>
          <c:h val="0.64913489853501061"/>
        </c:manualLayout>
      </c:layout>
      <c:barChart>
        <c:barDir val="bar"/>
        <c:grouping val="stacked"/>
        <c:varyColors val="0"/>
        <c:ser>
          <c:idx val="0"/>
          <c:order val="0"/>
          <c:tx>
            <c:strRef>
              <c:f>'가계부 요약'!$AB$4:$AB$5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요약'!$AB$6:$AB$8</c:f>
              <c:numCache>
                <c:formatCode>#,##0_ </c:formatCode>
                <c:ptCount val="1"/>
                <c:pt idx="0">
                  <c:v>-105020</c:v>
                </c:pt>
              </c:numCache>
            </c:numRef>
          </c:val>
          <c:extLst>
            <c:ext xmlns:c16="http://schemas.microsoft.com/office/drawing/2014/chart" uri="{C3380CC4-5D6E-409C-BE32-E72D297353CC}">
              <c16:uniqueId val="{00000000-DA67-4F33-86F2-5A5932C59AB0}"/>
            </c:ext>
          </c:extLst>
        </c:ser>
        <c:ser>
          <c:idx val="1"/>
          <c:order val="1"/>
          <c:tx>
            <c:strRef>
              <c:f>'가계부 요약'!$AC$4:$AC$5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 "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요약'!$AC$6:$AC$8</c:f>
              <c:numCache>
                <c:formatCode>#,##0_ </c:formatCode>
                <c:ptCount val="1"/>
                <c:pt idx="0">
                  <c:v>-55200</c:v>
                </c:pt>
              </c:numCache>
            </c:numRef>
          </c:val>
          <c:extLst>
            <c:ext xmlns:c16="http://schemas.microsoft.com/office/drawing/2014/chart" uri="{C3380CC4-5D6E-409C-BE32-E72D297353CC}">
              <c16:uniqueId val="{00000001-604E-4831-AD54-B7128F923D73}"/>
            </c:ext>
          </c:extLst>
        </c:ser>
        <c:ser>
          <c:idx val="2"/>
          <c:order val="2"/>
          <c:tx>
            <c:strRef>
              <c:f>'가계부 요약'!$AD$4:$AD$5</c:f>
              <c:strCache>
                <c:ptCount val="1"/>
                <c:pt idx="0">
                  <c:v>유동수입</c:v>
                </c:pt>
              </c:strCache>
            </c:strRef>
          </c:tx>
          <c:spPr>
            <a:solidFill>
              <a:schemeClr val="accent6">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요약'!$AD$6:$AD$8</c:f>
              <c:numCache>
                <c:formatCode>#,##0_ </c:formatCode>
                <c:ptCount val="1"/>
                <c:pt idx="0">
                  <c:v>241</c:v>
                </c:pt>
              </c:numCache>
            </c:numRef>
          </c:val>
          <c:extLst>
            <c:ext xmlns:c16="http://schemas.microsoft.com/office/drawing/2014/chart" uri="{C3380CC4-5D6E-409C-BE32-E72D297353CC}">
              <c16:uniqueId val="{00000000-8E36-4265-9DBB-CB844221C2CF}"/>
            </c:ext>
          </c:extLst>
        </c:ser>
        <c:ser>
          <c:idx val="3"/>
          <c:order val="3"/>
          <c:tx>
            <c:strRef>
              <c:f>'가계부 요약'!$AE$4:$AE$5</c:f>
              <c:strCache>
                <c:ptCount val="1"/>
                <c:pt idx="0">
                  <c:v>고정수입</c:v>
                </c:pt>
              </c:strCache>
            </c:strRef>
          </c:tx>
          <c:spPr>
            <a:solidFill>
              <a:schemeClr val="accent2">
                <a:lumMod val="75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요약'!$AA$6:$AA$8</c:f>
              <c:multiLvlStrCache>
                <c:ptCount val="1"/>
                <c:lvl>
                  <c:pt idx="0">
                    <c:v>8</c:v>
                  </c:pt>
                </c:lvl>
                <c:lvl>
                  <c:pt idx="0">
                    <c:v>2025</c:v>
                  </c:pt>
                </c:lvl>
              </c:multiLvlStrCache>
            </c:multiLvlStrRef>
          </c:cat>
          <c:val>
            <c:numRef>
              <c:f>'가계부 요약'!$AE$6:$AE$8</c:f>
              <c:numCache>
                <c:formatCode>#,##0_ </c:formatCode>
                <c:ptCount val="1"/>
                <c:pt idx="0">
                  <c:v>600000</c:v>
                </c:pt>
              </c:numCache>
            </c:numRef>
          </c:val>
          <c:extLst>
            <c:ext xmlns:c16="http://schemas.microsoft.com/office/drawing/2014/chart" uri="{C3380CC4-5D6E-409C-BE32-E72D297353CC}">
              <c16:uniqueId val="{00000001-8E36-4265-9DBB-CB844221C2CF}"/>
            </c:ext>
          </c:extLst>
        </c:ser>
        <c:dLbls>
          <c:dLblPos val="ctr"/>
          <c:showLegendKey val="0"/>
          <c:showVal val="1"/>
          <c:showCatName val="0"/>
          <c:showSerName val="0"/>
          <c:showPercent val="0"/>
          <c:showBubbleSize val="0"/>
        </c:dLbls>
        <c:gapWidth val="70"/>
        <c:overlap val="100"/>
        <c:axId val="1717918784"/>
        <c:axId val="1717917536"/>
      </c:barChart>
      <c:catAx>
        <c:axId val="1717918784"/>
        <c:scaling>
          <c:orientation val="minMax"/>
        </c:scaling>
        <c:delete val="0"/>
        <c:axPos val="l"/>
        <c:numFmt formatCode="General" sourceLinked="1"/>
        <c:majorTickMark val="none"/>
        <c:minorTickMark val="none"/>
        <c:tickLblPos val="none"/>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7536"/>
        <c:crosses val="autoZero"/>
        <c:auto val="1"/>
        <c:lblAlgn val="ctr"/>
        <c:lblOffset val="0"/>
        <c:tickMarkSkip val="1"/>
        <c:noMultiLvlLbl val="0"/>
      </c:catAx>
      <c:valAx>
        <c:axId val="1717917536"/>
        <c:scaling>
          <c:orientation val="minMax"/>
          <c:max val="650000"/>
          <c:min val="-200000"/>
        </c:scaling>
        <c:delete val="0"/>
        <c:axPos val="b"/>
        <c:majorGridlines>
          <c:spPr>
            <a:ln w="9525" cap="flat" cmpd="sng" algn="ctr">
              <a:solidFill>
                <a:schemeClr val="lt1">
                  <a:lumMod val="95000"/>
                  <a:alpha val="10000"/>
                </a:schemeClr>
              </a:solidFill>
              <a:round/>
            </a:ln>
            <a:effectLst/>
          </c:spPr>
        </c:majorGridlines>
        <c:numFmt formatCode="#,##0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717918784"/>
        <c:crosses val="autoZero"/>
        <c:crossBetween val="between"/>
        <c:majorUnit val="50000"/>
        <c:dispUnits>
          <c:builtInUnit val="tenThousands"/>
          <c:dispUnitsLbl>
            <c:spPr>
              <a:noFill/>
              <a:ln>
                <a:noFill/>
              </a:ln>
              <a:effectLst/>
            </c:spPr>
            <c:txPr>
              <a:bodyPr rot="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pivotSource>
    <c:name>[가계부.xlsm]가계부 요약!월별소비추이</c:name>
    <c:fmtId val="23"/>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ko-KR"/>
              <a:t>월별지출추이</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8"/>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pivotFmt>
      <c:pivotFmt>
        <c:idx val="9"/>
        <c:spPr>
          <a:solidFill>
            <a:srgbClr val="7030A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lumMod val="50000"/>
            </a:schemeClr>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
        <c:spPr>
          <a:solidFill>
            <a:srgbClr val="FF0000"/>
          </a:solidFill>
          <a:ln>
            <a:noFill/>
          </a:ln>
          <a:effectLst>
            <a:outerShdw blurRad="57150" dist="19050" dir="5400000" algn="ctr" rotWithShape="0">
              <a:srgbClr val="000000">
                <a:alpha val="63000"/>
              </a:srgbClr>
            </a:outerShdw>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
        <c:spPr>
          <a:solidFill>
            <a:srgbClr val="7030A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lumMod val="50000"/>
            </a:schemeClr>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rgbClr val="FF0000"/>
          </a:solidFill>
          <a:ln>
            <a:noFill/>
          </a:ln>
          <a:effectLst>
            <a:outerShdw blurRad="57150" dist="19050" dir="5400000" algn="ctr" rotWithShape="0">
              <a:srgbClr val="000000">
                <a:alpha val="63000"/>
              </a:srgbClr>
            </a:outerShdw>
          </a:effectLst>
        </c:spPr>
        <c:marker>
          <c:symbol val="none"/>
        </c:marker>
        <c:dLbl>
          <c:idx val="0"/>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7"/>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'가계부 요약'!$B$4:$B$5</c:f>
              <c:strCache>
                <c:ptCount val="1"/>
                <c:pt idx="0">
                  <c:v>반고정지출</c:v>
                </c:pt>
              </c:strCache>
            </c:strRef>
          </c:tx>
          <c:spPr>
            <a:solidFill>
              <a:srgbClr val="7030A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요약'!$B$6:$B$25</c:f>
              <c:numCache>
                <c:formatCode>General</c:formatCode>
                <c:ptCount val="17"/>
                <c:pt idx="0">
                  <c:v>375413</c:v>
                </c:pt>
                <c:pt idx="1">
                  <c:v>319900</c:v>
                </c:pt>
                <c:pt idx="2">
                  <c:v>276590</c:v>
                </c:pt>
                <c:pt idx="3">
                  <c:v>73260</c:v>
                </c:pt>
                <c:pt idx="4">
                  <c:v>107940</c:v>
                </c:pt>
                <c:pt idx="5">
                  <c:v>165110</c:v>
                </c:pt>
                <c:pt idx="6">
                  <c:v>234478</c:v>
                </c:pt>
                <c:pt idx="7">
                  <c:v>245112</c:v>
                </c:pt>
                <c:pt idx="8">
                  <c:v>153450</c:v>
                </c:pt>
                <c:pt idx="9">
                  <c:v>112830</c:v>
                </c:pt>
                <c:pt idx="10">
                  <c:v>148960</c:v>
                </c:pt>
                <c:pt idx="11">
                  <c:v>133720</c:v>
                </c:pt>
                <c:pt idx="12">
                  <c:v>176200</c:v>
                </c:pt>
                <c:pt idx="13">
                  <c:v>222260</c:v>
                </c:pt>
                <c:pt idx="14">
                  <c:v>150400</c:v>
                </c:pt>
                <c:pt idx="15">
                  <c:v>239030</c:v>
                </c:pt>
                <c:pt idx="16">
                  <c:v>55200</c:v>
                </c:pt>
              </c:numCache>
            </c:numRef>
          </c:val>
          <c:extLst>
            <c:ext xmlns:c16="http://schemas.microsoft.com/office/drawing/2014/chart" uri="{C3380CC4-5D6E-409C-BE32-E72D297353CC}">
              <c16:uniqueId val="{00000000-0845-43D7-9A37-CDF0F07A67F4}"/>
            </c:ext>
          </c:extLst>
        </c:ser>
        <c:ser>
          <c:idx val="1"/>
          <c:order val="1"/>
          <c:tx>
            <c:strRef>
              <c:f>'가계부 요약'!$C$4:$C$5</c:f>
              <c:strCache>
                <c:ptCount val="1"/>
                <c:pt idx="0">
                  <c:v>유동지출</c:v>
                </c:pt>
              </c:strCache>
            </c:strRef>
          </c:tx>
          <c:spPr>
            <a:solidFill>
              <a:schemeClr val="accent1">
                <a:lumMod val="50000"/>
              </a:schemeClr>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요약'!$C$6:$C$25</c:f>
              <c:numCache>
                <c:formatCode>General</c:formatCode>
                <c:ptCount val="17"/>
                <c:pt idx="0">
                  <c:v>425969</c:v>
                </c:pt>
                <c:pt idx="1">
                  <c:v>613815</c:v>
                </c:pt>
                <c:pt idx="2">
                  <c:v>992559</c:v>
                </c:pt>
                <c:pt idx="3">
                  <c:v>1555286</c:v>
                </c:pt>
                <c:pt idx="4">
                  <c:v>629036</c:v>
                </c:pt>
                <c:pt idx="5">
                  <c:v>377230</c:v>
                </c:pt>
                <c:pt idx="6">
                  <c:v>1008250</c:v>
                </c:pt>
                <c:pt idx="7">
                  <c:v>134440</c:v>
                </c:pt>
                <c:pt idx="8">
                  <c:v>173431</c:v>
                </c:pt>
                <c:pt idx="9">
                  <c:v>494805</c:v>
                </c:pt>
                <c:pt idx="10">
                  <c:v>483637</c:v>
                </c:pt>
                <c:pt idx="11">
                  <c:v>434127</c:v>
                </c:pt>
                <c:pt idx="12">
                  <c:v>513082</c:v>
                </c:pt>
                <c:pt idx="13">
                  <c:v>369755</c:v>
                </c:pt>
                <c:pt idx="14">
                  <c:v>380400</c:v>
                </c:pt>
                <c:pt idx="15">
                  <c:v>524033</c:v>
                </c:pt>
                <c:pt idx="16">
                  <c:v>105020</c:v>
                </c:pt>
              </c:numCache>
            </c:numRef>
          </c:val>
          <c:extLst>
            <c:ext xmlns:c16="http://schemas.microsoft.com/office/drawing/2014/chart" uri="{C3380CC4-5D6E-409C-BE32-E72D297353CC}">
              <c16:uniqueId val="{00000001-F5BE-43B6-A823-035CF8A756F2}"/>
            </c:ext>
          </c:extLst>
        </c:ser>
        <c:ser>
          <c:idx val="2"/>
          <c:order val="2"/>
          <c:tx>
            <c:strRef>
              <c:f>'가계부 요약'!$D$4:$D$5</c:f>
              <c:strCache>
                <c:ptCount val="1"/>
                <c:pt idx="0">
                  <c:v>고정지출</c:v>
                </c:pt>
              </c:strCache>
            </c:strRef>
          </c:tx>
          <c:spPr>
            <a:solidFill>
              <a:srgbClr val="FF0000"/>
            </a:solidFill>
            <a:ln>
              <a:noFill/>
            </a:ln>
            <a:effectLst>
              <a:outerShdw blurRad="57150" dist="19050" dir="5400000" algn="ctr" rotWithShape="0">
                <a:srgbClr val="000000">
                  <a:alpha val="63000"/>
                </a:srgbClr>
              </a:outerShdw>
            </a:effectLst>
          </c:spPr>
          <c:invertIfNegative val="0"/>
          <c:dLbls>
            <c:numFmt formatCode="#,##0.0_);[Red]\(#,##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'가계부 요약'!$A$6:$A$25</c:f>
              <c:multiLvlStrCache>
                <c:ptCount val="17"/>
                <c:lvl>
                  <c:pt idx="0">
                    <c:v>4월</c:v>
                  </c:pt>
                  <c:pt idx="1">
                    <c:v>5월</c:v>
                  </c:pt>
                  <c:pt idx="2">
                    <c:v>6월</c:v>
                  </c:pt>
                  <c:pt idx="3">
                    <c:v>7월</c:v>
                  </c:pt>
                  <c:pt idx="4">
                    <c:v>8월</c:v>
                  </c:pt>
                  <c:pt idx="5">
                    <c:v>9월</c:v>
                  </c:pt>
                  <c:pt idx="6">
                    <c:v>10월</c:v>
                  </c:pt>
                  <c:pt idx="7">
                    <c:v>11월</c:v>
                  </c:pt>
                  <c:pt idx="8">
                    <c:v>12월</c:v>
                  </c:pt>
                  <c:pt idx="9">
                    <c:v>1월</c:v>
                  </c:pt>
                  <c:pt idx="10">
                    <c:v>2월</c:v>
                  </c:pt>
                  <c:pt idx="11">
                    <c:v>3월</c:v>
                  </c:pt>
                  <c:pt idx="12">
                    <c:v>4월</c:v>
                  </c:pt>
                  <c:pt idx="13">
                    <c:v>5월</c:v>
                  </c:pt>
                  <c:pt idx="14">
                    <c:v>6월</c:v>
                  </c:pt>
                  <c:pt idx="15">
                    <c:v>7월</c:v>
                  </c:pt>
                  <c:pt idx="16">
                    <c:v>8월</c:v>
                  </c:pt>
                </c:lvl>
                <c:lvl>
                  <c:pt idx="0">
                    <c:v>2024년</c:v>
                  </c:pt>
                  <c:pt idx="9">
                    <c:v>2025년</c:v>
                  </c:pt>
                </c:lvl>
              </c:multiLvlStrCache>
            </c:multiLvlStrRef>
          </c:cat>
          <c:val>
            <c:numRef>
              <c:f>'가계부 요약'!$D$6:$D$25</c:f>
              <c:numCache>
                <c:formatCode>General</c:formatCode>
                <c:ptCount val="17"/>
                <c:pt idx="0">
                  <c:v>69815</c:v>
                </c:pt>
                <c:pt idx="1">
                  <c:v>42563</c:v>
                </c:pt>
                <c:pt idx="2">
                  <c:v>33738</c:v>
                </c:pt>
                <c:pt idx="3">
                  <c:v>11061</c:v>
                </c:pt>
                <c:pt idx="4">
                  <c:v>45299</c:v>
                </c:pt>
                <c:pt idx="5">
                  <c:v>40198</c:v>
                </c:pt>
                <c:pt idx="6">
                  <c:v>65869</c:v>
                </c:pt>
                <c:pt idx="7">
                  <c:v>35889</c:v>
                </c:pt>
                <c:pt idx="8">
                  <c:v>58454</c:v>
                </c:pt>
                <c:pt idx="9">
                  <c:v>65910</c:v>
                </c:pt>
                <c:pt idx="10">
                  <c:v>91567</c:v>
                </c:pt>
                <c:pt idx="11">
                  <c:v>90460</c:v>
                </c:pt>
                <c:pt idx="12">
                  <c:v>68662</c:v>
                </c:pt>
                <c:pt idx="13">
                  <c:v>71030</c:v>
                </c:pt>
                <c:pt idx="14">
                  <c:v>58380</c:v>
                </c:pt>
                <c:pt idx="15">
                  <c:v>84670</c:v>
                </c:pt>
              </c:numCache>
            </c:numRef>
          </c:val>
          <c:extLst>
            <c:ext xmlns:c16="http://schemas.microsoft.com/office/drawing/2014/chart" uri="{C3380CC4-5D6E-409C-BE32-E72D297353CC}">
              <c16:uniqueId val="{00000002-F5BE-43B6-A823-035CF8A756F2}"/>
            </c:ext>
          </c:extLst>
        </c:ser>
        <c:dLbls>
          <c:dLblPos val="ctr"/>
          <c:showLegendKey val="0"/>
          <c:showVal val="1"/>
          <c:showCatName val="0"/>
          <c:showSerName val="0"/>
          <c:showPercent val="0"/>
          <c:showBubbleSize val="0"/>
        </c:dLbls>
        <c:gapWidth val="100"/>
        <c:overlap val="100"/>
        <c:axId val="1998090384"/>
        <c:axId val="1998095376"/>
      </c:barChart>
      <c:catAx>
        <c:axId val="199809038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0" spcFirstLastPara="1" vertOverflow="ellipsis"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5376"/>
        <c:crosses val="autoZero"/>
        <c:auto val="1"/>
        <c:lblAlgn val="ctr"/>
        <c:lblOffset val="100"/>
        <c:noMultiLvlLbl val="0"/>
      </c:catAx>
      <c:valAx>
        <c:axId val="199809537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0"/>
        <c:majorTickMark val="none"/>
        <c:minorTickMark val="none"/>
        <c:tickLblPos val="nextTo"/>
        <c:spPr>
          <a:noFill/>
          <a:ln w="3175">
            <a:solidFill>
              <a:schemeClr val="bg1">
                <a:lumMod val="50000"/>
              </a:schemeClr>
            </a:solid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crossAx val="1998090384"/>
        <c:crosses val="autoZero"/>
        <c:crossBetween val="between"/>
        <c:dispUnits>
          <c:builtInUnit val="tenThousands"/>
          <c:dispUnitsLbl>
            <c:spPr>
              <a:noFill/>
              <a:ln>
                <a:noFill/>
              </a:ln>
              <a:effectLst/>
            </c:spPr>
            <c:txPr>
              <a:bodyPr rot="-5400000" spcFirstLastPara="1" vertOverflow="ellipsis" vert="horz" wrap="square" anchor="ctr" anchorCtr="1"/>
              <a:lstStyle/>
              <a:p>
                <a:pPr>
                  <a:defRPr sz="900" b="1" i="0" u="none" strike="noStrike" kern="1200" cap="all" baseline="0">
                    <a:solidFill>
                      <a:schemeClr val="lt1">
                        <a:lumMod val="85000"/>
                      </a:schemeClr>
                    </a:solidFill>
                    <a:latin typeface="+mn-lt"/>
                    <a:ea typeface="+mn-ea"/>
                    <a:cs typeface="+mn-cs"/>
                  </a:defRPr>
                </a:pPr>
                <a:endParaRPr lang="ko-KR"/>
              </a:p>
            </c:txPr>
          </c:dispUnitsLbl>
        </c:dispUnits>
      </c:valAx>
      <c:spPr>
        <a:noFill/>
        <a:ln>
          <a:noFill/>
        </a:ln>
        <a:effectLst/>
      </c:spPr>
    </c:plotArea>
    <c:legend>
      <c:legendPos val="tr"/>
      <c:layout>
        <c:manualLayout>
          <c:xMode val="edge"/>
          <c:yMode val="edge"/>
          <c:x val="0.85799037063042283"/>
          <c:y val="2.7906414130641731E-2"/>
          <c:w val="9.8833099199924543E-2"/>
          <c:h val="0.13931329467744871"/>
        </c:manualLayout>
      </c:layout>
      <c:overlay val="1"/>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ko-K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tx1">
            <a:lumMod val="65000"/>
            <a:lumOff val="35000"/>
          </a:schemeClr>
        </a:gs>
        <a:gs pos="55000">
          <a:schemeClr val="tx1">
            <a:lumMod val="85000"/>
            <a:lumOff val="15000"/>
          </a:schemeClr>
        </a:gs>
        <a:gs pos="97000">
          <a:schemeClr val="tx1"/>
        </a:gs>
      </a:gsLst>
      <a:path path="circle">
        <a:fillToRect l="50000" t="50000" r="50000" b="50000"/>
      </a:path>
      <a:tileRect/>
    </a:gradFill>
    <a:ln>
      <a:noFill/>
    </a:ln>
    <a:effectLst/>
  </c:spPr>
  <c:txPr>
    <a:bodyPr/>
    <a:lstStyle/>
    <a:p>
      <a:pPr>
        <a:defRPr/>
      </a:pPr>
      <a:endParaRPr lang="ko-KR"/>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기간내 소비 </a:t>
            </a:r>
            <a:r>
              <a:rPr lang="en-US" altLang="ko-KR"/>
              <a:t>TOP10</a:t>
            </a:r>
            <a:endParaRPr lang="ko-KR" altLang="en-US"/>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ltLang="en-US"/>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tx>
            <c:strRef>
              <c:f>'가계부 요약'!$M$4</c:f>
              <c:strCache>
                <c:ptCount val="1"/>
                <c:pt idx="0">
                  <c:v>금액</c:v>
                </c:pt>
              </c:strCache>
            </c:strRef>
          </c:tx>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요약'!$L$5:$L$14</c:f>
              <c:strCache>
                <c:ptCount val="10"/>
                <c:pt idx="0">
                  <c:v>240823 루이까또즈</c:v>
                </c:pt>
                <c:pt idx="1">
                  <c:v>240512 네이버쇼핑</c:v>
                </c:pt>
                <c:pt idx="2">
                  <c:v>250418 네이버쇼핑</c:v>
                </c:pt>
                <c:pt idx="3">
                  <c:v>240911 김명진</c:v>
                </c:pt>
                <c:pt idx="4">
                  <c:v>250418 박병선</c:v>
                </c:pt>
                <c:pt idx="5">
                  <c:v>240416 학생복지스토어</c:v>
                </c:pt>
                <c:pt idx="6">
                  <c:v>240715 진에어</c:v>
                </c:pt>
                <c:pt idx="7">
                  <c:v>240619 제주여행</c:v>
                </c:pt>
                <c:pt idx="8">
                  <c:v>241025 로앤산부인과</c:v>
                </c:pt>
                <c:pt idx="9">
                  <c:v>240719 7월 일본여행</c:v>
                </c:pt>
              </c:strCache>
            </c:strRef>
          </c:cat>
          <c:val>
            <c:numRef>
              <c:f>'가계부 요약'!$M$5:$M$14</c:f>
              <c:numCache>
                <c:formatCode>General</c:formatCode>
                <c:ptCount val="10"/>
                <c:pt idx="0">
                  <c:v>116340</c:v>
                </c:pt>
                <c:pt idx="1">
                  <c:v>120000</c:v>
                </c:pt>
                <c:pt idx="2">
                  <c:v>122000</c:v>
                </c:pt>
                <c:pt idx="3">
                  <c:v>150000</c:v>
                </c:pt>
                <c:pt idx="4">
                  <c:v>200000</c:v>
                </c:pt>
                <c:pt idx="5">
                  <c:v>216019</c:v>
                </c:pt>
                <c:pt idx="6">
                  <c:v>267800</c:v>
                </c:pt>
                <c:pt idx="7">
                  <c:v>543369</c:v>
                </c:pt>
                <c:pt idx="8">
                  <c:v>570000</c:v>
                </c:pt>
                <c:pt idx="9">
                  <c:v>641880</c:v>
                </c:pt>
              </c:numCache>
            </c:numRef>
          </c:val>
          <c:extLst>
            <c:ext xmlns:c16="http://schemas.microsoft.com/office/drawing/2014/chart" uri="{C3380CC4-5D6E-409C-BE32-E72D297353CC}">
              <c16:uniqueId val="{00000000-1333-4EED-B338-222FB2E9851D}"/>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ko-KR"/>
        </a:p>
      </c:txPr>
    </c:title>
    <c:autoTitleDeleted val="0"/>
    <c:plotArea>
      <c:layout/>
      <c:lineChart>
        <c:grouping val="standard"/>
        <c:varyColors val="0"/>
        <c:ser>
          <c:idx val="0"/>
          <c:order val="0"/>
          <c:tx>
            <c:strRef>
              <c:f>'가계부 요약'!$AM$5</c:f>
              <c:strCache>
                <c:ptCount val="1"/>
                <c:pt idx="0">
                  <c:v>누계금액</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'가계부 요약'!$AL$6:$AL$26</c:f>
              <c:strCache>
                <c:ptCount val="21"/>
                <c:pt idx="0">
                  <c:v>22-07</c:v>
                </c:pt>
                <c:pt idx="1">
                  <c:v>22-08</c:v>
                </c:pt>
                <c:pt idx="2">
                  <c:v>22-09</c:v>
                </c:pt>
                <c:pt idx="3">
                  <c:v>22-10</c:v>
                </c:pt>
                <c:pt idx="4">
                  <c:v>22-11</c:v>
                </c:pt>
                <c:pt idx="5">
                  <c:v>22-12</c:v>
                </c:pt>
                <c:pt idx="6">
                  <c:v>23-01</c:v>
                </c:pt>
                <c:pt idx="7">
                  <c:v>23-02</c:v>
                </c:pt>
                <c:pt idx="8">
                  <c:v>23-03</c:v>
                </c:pt>
                <c:pt idx="9">
                  <c:v>23-04</c:v>
                </c:pt>
                <c:pt idx="10">
                  <c:v>23-05</c:v>
                </c:pt>
                <c:pt idx="11">
                  <c:v>23-06</c:v>
                </c:pt>
                <c:pt idx="12">
                  <c:v>23-07</c:v>
                </c:pt>
                <c:pt idx="13">
                  <c:v>23-08</c:v>
                </c:pt>
                <c:pt idx="14">
                  <c:v>23-09</c:v>
                </c:pt>
                <c:pt idx="15">
                  <c:v>23-10</c:v>
                </c:pt>
                <c:pt idx="16">
                  <c:v>23-11</c:v>
                </c:pt>
                <c:pt idx="17">
                  <c:v>23-12</c:v>
                </c:pt>
                <c:pt idx="18">
                  <c:v>24-01</c:v>
                </c:pt>
                <c:pt idx="19">
                  <c:v>24-02</c:v>
                </c:pt>
                <c:pt idx="20">
                  <c:v>24-03</c:v>
                </c:pt>
              </c:strCache>
            </c:strRef>
          </c:cat>
          <c:val>
            <c:numRef>
              <c:f>'가계부 요약'!$AM$6:$AM$26</c:f>
              <c:numCache>
                <c:formatCode>_("₩"* #,##0_);_("₩"* \(#,##0\);_("₩"* "-"_);_(@_)</c:formatCode>
                <c:ptCount val="21"/>
                <c:pt idx="0">
                  <c:v>10565154</c:v>
                </c:pt>
                <c:pt idx="1">
                  <c:v>9024205</c:v>
                </c:pt>
                <c:pt idx="2">
                  <c:v>7849401</c:v>
                </c:pt>
                <c:pt idx="3">
                  <c:v>8206639</c:v>
                </c:pt>
                <c:pt idx="4">
                  <c:v>8632208</c:v>
                </c:pt>
                <c:pt idx="5">
                  <c:v>9385331</c:v>
                </c:pt>
                <c:pt idx="6">
                  <c:v>10584853</c:v>
                </c:pt>
                <c:pt idx="7">
                  <c:v>9456517</c:v>
                </c:pt>
                <c:pt idx="8">
                  <c:v>9027991</c:v>
                </c:pt>
                <c:pt idx="9">
                  <c:v>8818663</c:v>
                </c:pt>
                <c:pt idx="10">
                  <c:v>8203925</c:v>
                </c:pt>
                <c:pt idx="11">
                  <c:v>7379926</c:v>
                </c:pt>
                <c:pt idx="12">
                  <c:v>7036857</c:v>
                </c:pt>
                <c:pt idx="13">
                  <c:v>6738238</c:v>
                </c:pt>
                <c:pt idx="14">
                  <c:v>6745991</c:v>
                </c:pt>
                <c:pt idx="15">
                  <c:v>6709456</c:v>
                </c:pt>
                <c:pt idx="16">
                  <c:v>6649924</c:v>
                </c:pt>
                <c:pt idx="17">
                  <c:v>6526438</c:v>
                </c:pt>
                <c:pt idx="18">
                  <c:v>6926603</c:v>
                </c:pt>
                <c:pt idx="19">
                  <c:v>7237321</c:v>
                </c:pt>
                <c:pt idx="20">
                  <c:v>7181298</c:v>
                </c:pt>
              </c:numCache>
            </c:numRef>
          </c:val>
          <c:smooth val="0"/>
          <c:extLst>
            <c:ext xmlns:c16="http://schemas.microsoft.com/office/drawing/2014/chart" uri="{C3380CC4-5D6E-409C-BE32-E72D297353CC}">
              <c16:uniqueId val="{00000000-336A-4502-8B06-671D991494E5}"/>
            </c:ext>
          </c:extLst>
        </c:ser>
        <c:dLbls>
          <c:showLegendKey val="0"/>
          <c:showVal val="0"/>
          <c:showCatName val="0"/>
          <c:showSerName val="0"/>
          <c:showPercent val="0"/>
          <c:showBubbleSize val="0"/>
        </c:dLbls>
        <c:marker val="1"/>
        <c:smooth val="0"/>
        <c:axId val="750750432"/>
        <c:axId val="750750848"/>
      </c:lineChart>
      <c:catAx>
        <c:axId val="75075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848"/>
        <c:crosses val="autoZero"/>
        <c:auto val="1"/>
        <c:lblAlgn val="ctr"/>
        <c:lblOffset val="100"/>
        <c:noMultiLvlLbl val="0"/>
      </c:catAx>
      <c:valAx>
        <c:axId val="750750848"/>
        <c:scaling>
          <c:orientation val="minMax"/>
          <c:max val="11000000"/>
          <c:min val="6500000"/>
        </c:scaling>
        <c:delete val="0"/>
        <c:axPos val="l"/>
        <c:majorGridlines>
          <c:spPr>
            <a:ln w="9525" cap="flat" cmpd="sng" algn="ctr">
              <a:solidFill>
                <a:schemeClr val="tx1">
                  <a:lumMod val="15000"/>
                  <a:lumOff val="85000"/>
                </a:schemeClr>
              </a:solidFill>
              <a:round/>
            </a:ln>
            <a:effectLst/>
          </c:spPr>
        </c:majorGridlines>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750750432"/>
        <c:crosses val="autoZero"/>
        <c:crossBetween val="between"/>
        <c:majorUnit val="500000"/>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15000">
          <a:schemeClr val="tx1">
            <a:lumMod val="65000"/>
            <a:lumOff val="35000"/>
          </a:schemeClr>
        </a:gs>
        <a:gs pos="74000">
          <a:schemeClr val="tx1">
            <a:lumMod val="85000"/>
            <a:lumOff val="15000"/>
          </a:schemeClr>
        </a:gs>
        <a:gs pos="100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3"/>
    </mc:Choice>
    <mc:Fallback>
      <c:style val="3"/>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ko-KR" altLang="en-US"/>
              <a:t>당월 소비 </a:t>
            </a:r>
            <a:r>
              <a:rPr lang="en-US" altLang="ko-KR"/>
              <a:t>TOP10</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ko-KR"/>
        </a:p>
      </c:txPr>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
      </c:pivotFmt>
      <c:pivotFmt>
        <c:idx val="25"/>
      </c:pivotFmt>
      <c:pivotFmt>
        <c:idx val="26"/>
      </c:pivotFmt>
      <c:pivotFmt>
        <c:idx val="27"/>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4"/>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8"/>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19"/>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0"/>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5"/>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2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3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148"/>
        <c:spPr>
          <a:solidFill>
            <a:schemeClr val="accent1"/>
          </a:solidFill>
          <a:ln>
            <a:noFill/>
          </a:ln>
          <a:effectLst/>
        </c:spPr>
      </c:pivotFmt>
      <c:pivotFmt>
        <c:idx val="149"/>
        <c:spPr>
          <a:solidFill>
            <a:schemeClr val="accent1"/>
          </a:solidFill>
          <a:ln>
            <a:noFill/>
          </a:ln>
          <a:effectLst/>
        </c:spPr>
      </c:pivotFmt>
      <c:pivotFmt>
        <c:idx val="150"/>
        <c:spPr>
          <a:solidFill>
            <a:schemeClr val="accent1"/>
          </a:solidFill>
          <a:ln>
            <a:noFill/>
          </a:ln>
          <a:effectLst/>
        </c:spPr>
      </c:pivotFmt>
      <c:pivotFmt>
        <c:idx val="151"/>
        <c:spPr>
          <a:solidFill>
            <a:schemeClr val="accent1"/>
          </a:solidFill>
          <a:ln>
            <a:noFill/>
          </a:ln>
          <a:effectLst/>
        </c:spPr>
      </c:pivotFmt>
      <c:pivotFmt>
        <c:idx val="152"/>
        <c:spPr>
          <a:solidFill>
            <a:schemeClr val="accent1"/>
          </a:solidFill>
          <a:ln>
            <a:noFill/>
          </a:ln>
          <a:effectLst/>
        </c:spPr>
      </c:pivotFmt>
      <c:pivotFmt>
        <c:idx val="153"/>
        <c:spPr>
          <a:solidFill>
            <a:schemeClr val="accent1"/>
          </a:solidFill>
          <a:ln>
            <a:noFill/>
          </a:ln>
          <a:effectLst/>
        </c:spPr>
      </c:pivotFmt>
      <c:pivotFmt>
        <c:idx val="154"/>
        <c:spPr>
          <a:solidFill>
            <a:schemeClr val="accent1"/>
          </a:solidFill>
          <a:ln>
            <a:noFill/>
          </a:ln>
          <a:effectLst/>
        </c:spPr>
      </c:pivotFmt>
      <c:pivotFmt>
        <c:idx val="155"/>
        <c:spPr>
          <a:solidFill>
            <a:schemeClr val="accent1"/>
          </a:solidFill>
          <a:ln>
            <a:noFill/>
          </a:ln>
          <a:effectLst/>
        </c:spPr>
      </c:pivotFmt>
      <c:pivotFmt>
        <c:idx val="156"/>
        <c:spPr>
          <a:solidFill>
            <a:schemeClr val="accent1"/>
          </a:solidFill>
          <a:ln>
            <a:noFill/>
          </a:ln>
          <a:effectLst/>
        </c:spPr>
      </c:pivotFmt>
      <c:pivotFmt>
        <c:idx val="157"/>
        <c:spPr>
          <a:solidFill>
            <a:schemeClr val="accent1"/>
          </a:solidFill>
          <a:ln>
            <a:noFill/>
          </a:ln>
          <a:effectLst/>
        </c:spPr>
      </c:pivotFmt>
      <c:pivotFmt>
        <c:idx val="158"/>
        <c:spPr>
          <a:solidFill>
            <a:schemeClr val="accent1"/>
          </a:solidFill>
          <a:ln>
            <a:noFill/>
          </a:ln>
          <a:effectLst/>
        </c:spPr>
      </c:pivotFmt>
      <c:pivotFmt>
        <c:idx val="159"/>
        <c:spPr>
          <a:solidFill>
            <a:schemeClr val="accent1"/>
          </a:solidFill>
          <a:ln>
            <a:noFill/>
          </a:ln>
          <a:effectLst/>
        </c:spPr>
      </c:pivotFmt>
      <c:pivotFmt>
        <c:idx val="160"/>
        <c:spPr>
          <a:solidFill>
            <a:schemeClr val="accent1"/>
          </a:solidFill>
          <a:ln>
            <a:noFill/>
          </a:ln>
          <a:effectLst/>
        </c:spPr>
      </c:pivotFmt>
      <c:pivotFmt>
        <c:idx val="161"/>
        <c:spPr>
          <a:solidFill>
            <a:schemeClr val="accent1"/>
          </a:solidFill>
          <a:ln>
            <a:noFill/>
          </a:ln>
          <a:effectLst/>
        </c:spPr>
      </c:pivotFmt>
      <c:pivotFmt>
        <c:idx val="162"/>
        <c:spPr>
          <a:solidFill>
            <a:schemeClr val="accent1"/>
          </a:solidFill>
          <a:ln>
            <a:noFill/>
          </a:ln>
          <a:effectLst/>
        </c:spPr>
      </c:pivotFmt>
      <c:pivotFmt>
        <c:idx val="163"/>
        <c:spPr>
          <a:solidFill>
            <a:schemeClr val="accent1"/>
          </a:solidFill>
          <a:ln>
            <a:noFill/>
          </a:ln>
          <a:effectLst/>
        </c:spPr>
      </c:pivotFmt>
      <c:pivotFmt>
        <c:idx val="164"/>
        <c:spPr>
          <a:solidFill>
            <a:schemeClr val="accent1"/>
          </a:solidFill>
          <a:ln>
            <a:noFill/>
          </a:ln>
          <a:effectLst/>
        </c:spPr>
      </c:pivotFmt>
      <c:pivotFmt>
        <c:idx val="165"/>
        <c:spPr>
          <a:solidFill>
            <a:schemeClr val="accent1"/>
          </a:solidFill>
          <a:ln>
            <a:noFill/>
          </a:ln>
          <a:effectLst/>
        </c:spPr>
      </c:pivotFmt>
      <c:pivotFmt>
        <c:idx val="166"/>
        <c:spPr>
          <a:solidFill>
            <a:schemeClr val="accent1"/>
          </a:solidFill>
          <a:ln>
            <a:noFill/>
          </a:ln>
          <a:effectLst/>
        </c:spPr>
      </c:pivotFmt>
      <c:pivotFmt>
        <c:idx val="167"/>
        <c:spPr>
          <a:solidFill>
            <a:schemeClr val="accent1"/>
          </a:solidFill>
          <a:ln>
            <a:noFill/>
          </a:ln>
          <a:effectLst/>
        </c:spPr>
      </c:pivotFmt>
      <c:pivotFmt>
        <c:idx val="168"/>
        <c:spPr>
          <a:solidFill>
            <a:schemeClr val="accent1"/>
          </a:solidFill>
          <a:ln>
            <a:noFill/>
          </a:ln>
          <a:effectLst/>
        </c:spPr>
      </c:pivotFmt>
      <c:pivotFmt>
        <c:idx val="169"/>
        <c:spPr>
          <a:solidFill>
            <a:schemeClr val="accent1"/>
          </a:solidFill>
          <a:ln>
            <a:noFill/>
          </a:ln>
          <a:effectLst/>
        </c:spPr>
      </c:pivotFmt>
      <c:pivotFmt>
        <c:idx val="170"/>
        <c:spPr>
          <a:solidFill>
            <a:schemeClr val="accent1"/>
          </a:solidFill>
          <a:ln>
            <a:noFill/>
          </a:ln>
          <a:effectLst/>
        </c:spPr>
      </c:pivotFmt>
      <c:pivotFmt>
        <c:idx val="171"/>
        <c:spPr>
          <a:solidFill>
            <a:schemeClr val="accent1"/>
          </a:solidFill>
          <a:ln>
            <a:noFill/>
          </a:ln>
          <a:effectLst/>
        </c:spPr>
      </c:pivotFmt>
      <c:pivotFmt>
        <c:idx val="172"/>
        <c:spPr>
          <a:solidFill>
            <a:schemeClr val="accent1"/>
          </a:solidFill>
          <a:ln>
            <a:noFill/>
          </a:ln>
          <a:effectLst/>
        </c:spPr>
      </c:pivotFmt>
      <c:pivotFmt>
        <c:idx val="173"/>
        <c:spPr>
          <a:solidFill>
            <a:schemeClr val="accent1"/>
          </a:solidFill>
          <a:ln>
            <a:noFill/>
          </a:ln>
          <a:effectLst/>
        </c:spPr>
      </c:pivotFmt>
      <c:pivotFmt>
        <c:idx val="174"/>
        <c:spPr>
          <a:solidFill>
            <a:schemeClr val="accent1"/>
          </a:solidFill>
          <a:ln>
            <a:noFill/>
          </a:ln>
          <a:effectLst/>
        </c:spPr>
      </c:pivotFmt>
      <c:pivotFmt>
        <c:idx val="175"/>
        <c:spPr>
          <a:solidFill>
            <a:schemeClr val="accent1"/>
          </a:solidFill>
          <a:ln>
            <a:noFill/>
          </a:ln>
          <a:effectLst/>
        </c:spPr>
      </c:pivotFmt>
      <c:pivotFmt>
        <c:idx val="176"/>
        <c:spPr>
          <a:solidFill>
            <a:schemeClr val="accent1"/>
          </a:solidFill>
          <a:ln>
            <a:noFill/>
          </a:ln>
          <a:effectLst/>
        </c:spPr>
      </c:pivotFmt>
      <c:pivotFmt>
        <c:idx val="177"/>
        <c:spPr>
          <a:solidFill>
            <a:schemeClr val="accent1"/>
          </a:solidFill>
          <a:ln>
            <a:noFill/>
          </a:ln>
          <a:effectLst/>
        </c:spPr>
      </c:pivotFmt>
      <c:pivotFmt>
        <c:idx val="178"/>
        <c:spPr>
          <a:solidFill>
            <a:schemeClr val="accent1"/>
          </a:solidFill>
          <a:ln>
            <a:noFill/>
          </a:ln>
          <a:effectLst/>
        </c:spPr>
      </c:pivotFmt>
      <c:pivotFmt>
        <c:idx val="179"/>
        <c:spPr>
          <a:solidFill>
            <a:schemeClr val="accent1"/>
          </a:solidFill>
          <a:ln>
            <a:noFill/>
          </a:ln>
          <a:effectLst/>
        </c:spPr>
      </c:pivotFmt>
      <c:pivotFmt>
        <c:idx val="180"/>
        <c:spPr>
          <a:solidFill>
            <a:schemeClr val="accent1"/>
          </a:solidFill>
          <a:ln>
            <a:noFill/>
          </a:ln>
          <a:effectLst/>
        </c:spPr>
      </c:pivotFmt>
      <c:pivotFmt>
        <c:idx val="181"/>
        <c:spPr>
          <a:solidFill>
            <a:schemeClr val="accent1"/>
          </a:solidFill>
          <a:ln>
            <a:noFill/>
          </a:ln>
          <a:effectLst/>
        </c:spPr>
      </c:pivotFmt>
      <c:pivotFmt>
        <c:idx val="182"/>
        <c:spPr>
          <a:solidFill>
            <a:schemeClr val="accent1"/>
          </a:solidFill>
          <a:ln>
            <a:noFill/>
          </a:ln>
          <a:effectLst/>
        </c:spPr>
      </c:pivotFmt>
      <c:pivotFmt>
        <c:idx val="183"/>
        <c:spPr>
          <a:solidFill>
            <a:schemeClr val="accent1"/>
          </a:solidFill>
          <a:ln>
            <a:noFill/>
          </a:ln>
          <a:effectLst/>
        </c:spPr>
      </c:pivotFmt>
      <c:pivotFmt>
        <c:idx val="184"/>
        <c:spPr>
          <a:solidFill>
            <a:schemeClr val="accent1"/>
          </a:solidFill>
          <a:ln>
            <a:noFill/>
          </a:ln>
          <a:effectLst/>
        </c:spPr>
      </c:pivotFmt>
      <c:pivotFmt>
        <c:idx val="185"/>
        <c:spPr>
          <a:solidFill>
            <a:schemeClr val="accent1"/>
          </a:solidFill>
          <a:ln>
            <a:noFill/>
          </a:ln>
          <a:effectLst/>
        </c:spPr>
      </c:pivotFmt>
      <c:pivotFmt>
        <c:idx val="186"/>
        <c:spPr>
          <a:solidFill>
            <a:schemeClr val="accent1"/>
          </a:solidFill>
          <a:ln>
            <a:noFill/>
          </a:ln>
          <a:effectLst/>
        </c:spPr>
      </c:pivotFmt>
      <c:pivotFmt>
        <c:idx val="187"/>
        <c:spPr>
          <a:solidFill>
            <a:schemeClr val="accent1"/>
          </a:solidFill>
          <a:ln>
            <a:noFill/>
          </a:ln>
          <a:effectLst/>
        </c:spPr>
      </c:pivotFmt>
      <c:pivotFmt>
        <c:idx val="188"/>
        <c:spPr>
          <a:solidFill>
            <a:schemeClr val="accent1"/>
          </a:solidFill>
          <a:ln>
            <a:noFill/>
          </a:ln>
          <a:effectLst/>
        </c:spPr>
      </c:pivotFmt>
      <c:pivotFmt>
        <c:idx val="189"/>
        <c:spPr>
          <a:solidFill>
            <a:schemeClr val="accent1"/>
          </a:solidFill>
          <a:ln>
            <a:noFill/>
          </a:ln>
          <a:effectLst/>
        </c:spPr>
      </c:pivotFmt>
      <c:pivotFmt>
        <c:idx val="190"/>
        <c:spPr>
          <a:solidFill>
            <a:schemeClr val="accent1"/>
          </a:solidFill>
          <a:ln>
            <a:noFill/>
          </a:ln>
          <a:effectLst/>
        </c:spPr>
      </c:pivotFmt>
      <c:pivotFmt>
        <c:idx val="191"/>
        <c:spPr>
          <a:solidFill>
            <a:schemeClr val="accent1"/>
          </a:solidFill>
          <a:ln>
            <a:noFill/>
          </a:ln>
          <a:effectLst/>
        </c:spPr>
      </c:pivotFmt>
      <c:pivotFmt>
        <c:idx val="192"/>
        <c:spPr>
          <a:solidFill>
            <a:schemeClr val="accent1"/>
          </a:solidFill>
          <a:ln>
            <a:noFill/>
          </a:ln>
          <a:effectLst/>
        </c:spPr>
      </c:pivotFmt>
      <c:pivotFmt>
        <c:idx val="193"/>
        <c:spPr>
          <a:solidFill>
            <a:schemeClr val="accent1"/>
          </a:solidFill>
          <a:ln>
            <a:noFill/>
          </a:ln>
          <a:effectLst/>
        </c:spPr>
      </c:pivotFmt>
      <c:pivotFmt>
        <c:idx val="194"/>
        <c:spPr>
          <a:solidFill>
            <a:schemeClr val="accent1"/>
          </a:solidFill>
          <a:ln>
            <a:noFill/>
          </a:ln>
          <a:effectLst/>
        </c:spPr>
      </c:pivotFmt>
      <c:pivotFmt>
        <c:idx val="195"/>
        <c:spPr>
          <a:solidFill>
            <a:schemeClr val="accent1"/>
          </a:solidFill>
          <a:ln>
            <a:noFill/>
          </a:ln>
          <a:effectLst/>
        </c:spPr>
      </c:pivotFmt>
      <c:pivotFmt>
        <c:idx val="196"/>
        <c:spPr>
          <a:solidFill>
            <a:schemeClr val="accent1"/>
          </a:solidFill>
          <a:ln>
            <a:noFill/>
          </a:ln>
          <a:effectLst/>
        </c:spPr>
      </c:pivotFmt>
      <c:pivotFmt>
        <c:idx val="197"/>
        <c:spPr>
          <a:solidFill>
            <a:schemeClr val="accent1"/>
          </a:solidFill>
          <a:ln>
            <a:noFill/>
          </a:ln>
          <a:effectLst/>
        </c:spPr>
      </c:pivotFmt>
      <c:pivotFmt>
        <c:idx val="198"/>
        <c:spPr>
          <a:solidFill>
            <a:schemeClr val="accent1"/>
          </a:solidFill>
          <a:ln>
            <a:noFill/>
          </a:ln>
          <a:effectLst/>
        </c:spPr>
      </c:pivotFmt>
      <c:pivotFmt>
        <c:idx val="199"/>
        <c:spPr>
          <a:solidFill>
            <a:schemeClr val="accent1"/>
          </a:solidFill>
          <a:ln>
            <a:noFill/>
          </a:ln>
          <a:effectLst/>
        </c:spPr>
      </c:pivotFmt>
      <c:pivotFmt>
        <c:idx val="200"/>
        <c:spPr>
          <a:solidFill>
            <a:schemeClr val="accent1"/>
          </a:solidFill>
          <a:ln>
            <a:noFill/>
          </a:ln>
          <a:effectLst/>
        </c:spPr>
      </c:pivotFmt>
      <c:pivotFmt>
        <c:idx val="201"/>
        <c:spPr>
          <a:solidFill>
            <a:schemeClr val="accent1"/>
          </a:solidFill>
          <a:ln>
            <a:noFill/>
          </a:ln>
          <a:effectLst/>
        </c:spPr>
      </c:pivotFmt>
      <c:pivotFmt>
        <c:idx val="202"/>
        <c:spPr>
          <a:solidFill>
            <a:schemeClr val="accent1"/>
          </a:solidFill>
          <a:ln>
            <a:noFill/>
          </a:ln>
          <a:effectLst/>
        </c:spPr>
      </c:pivotFmt>
      <c:pivotFmt>
        <c:idx val="203"/>
        <c:spPr>
          <a:solidFill>
            <a:schemeClr val="accent1"/>
          </a:solidFill>
          <a:ln>
            <a:noFill/>
          </a:ln>
          <a:effectLst/>
        </c:spPr>
      </c:pivotFmt>
      <c:pivotFmt>
        <c:idx val="204"/>
        <c:spPr>
          <a:solidFill>
            <a:schemeClr val="accent1"/>
          </a:solidFill>
          <a:ln>
            <a:noFill/>
          </a:ln>
          <a:effectLst/>
        </c:spPr>
      </c:pivotFmt>
      <c:pivotFmt>
        <c:idx val="205"/>
        <c:spPr>
          <a:solidFill>
            <a:schemeClr val="accent1"/>
          </a:solidFill>
          <a:ln>
            <a:noFill/>
          </a:ln>
          <a:effectLst/>
        </c:spPr>
      </c:pivotFmt>
      <c:pivotFmt>
        <c:idx val="206"/>
        <c:spPr>
          <a:solidFill>
            <a:schemeClr val="accent1"/>
          </a:solidFill>
          <a:ln>
            <a:noFill/>
          </a:ln>
          <a:effectLst/>
        </c:spPr>
      </c:pivotFmt>
      <c:pivotFmt>
        <c:idx val="207"/>
        <c:spPr>
          <a:solidFill>
            <a:schemeClr val="accent1"/>
          </a:solidFill>
          <a:ln>
            <a:noFill/>
          </a:ln>
          <a:effectLst/>
        </c:spPr>
      </c:pivotFmt>
      <c:pivotFmt>
        <c:idx val="208"/>
        <c:spPr>
          <a:solidFill>
            <a:schemeClr val="accent1"/>
          </a:solidFill>
          <a:ln>
            <a:noFill/>
          </a:ln>
          <a:effectLst/>
        </c:spPr>
      </c:pivotFmt>
      <c:pivotFmt>
        <c:idx val="209"/>
        <c:spPr>
          <a:solidFill>
            <a:schemeClr val="accent1"/>
          </a:solidFill>
          <a:ln>
            <a:noFill/>
          </a:ln>
          <a:effectLst/>
        </c:spPr>
      </c:pivotFmt>
      <c:pivotFmt>
        <c:idx val="210"/>
        <c:spPr>
          <a:solidFill>
            <a:schemeClr val="accent1"/>
          </a:solidFill>
          <a:ln>
            <a:noFill/>
          </a:ln>
          <a:effectLst/>
        </c:spPr>
      </c:pivotFmt>
      <c:pivotFmt>
        <c:idx val="211"/>
        <c:spPr>
          <a:solidFill>
            <a:schemeClr val="accent1"/>
          </a:solidFill>
          <a:ln>
            <a:noFill/>
          </a:ln>
          <a:effectLst/>
        </c:spPr>
      </c:pivotFmt>
      <c:pivotFmt>
        <c:idx val="212"/>
        <c:spPr>
          <a:solidFill>
            <a:schemeClr val="accent1"/>
          </a:solidFill>
          <a:ln>
            <a:noFill/>
          </a:ln>
          <a:effectLst/>
        </c:spPr>
      </c:pivotFmt>
      <c:pivotFmt>
        <c:idx val="213"/>
        <c:spPr>
          <a:solidFill>
            <a:schemeClr val="accent1"/>
          </a:solidFill>
          <a:ln>
            <a:noFill/>
          </a:ln>
          <a:effectLst/>
        </c:spPr>
      </c:pivotFmt>
      <c:pivotFmt>
        <c:idx val="214"/>
        <c:spPr>
          <a:solidFill>
            <a:schemeClr val="accent1"/>
          </a:solidFill>
          <a:ln>
            <a:noFill/>
          </a:ln>
          <a:effectLst/>
        </c:spPr>
      </c:pivotFmt>
      <c:pivotFmt>
        <c:idx val="215"/>
        <c:spPr>
          <a:solidFill>
            <a:schemeClr val="accent1"/>
          </a:solidFill>
          <a:ln>
            <a:noFill/>
          </a:ln>
          <a:effectLst/>
        </c:spPr>
      </c:pivotFmt>
      <c:pivotFmt>
        <c:idx val="216"/>
        <c:spPr>
          <a:solidFill>
            <a:schemeClr val="accent1"/>
          </a:solidFill>
          <a:ln>
            <a:noFill/>
          </a:ln>
          <a:effectLst/>
        </c:spPr>
      </c:pivotFmt>
      <c:pivotFmt>
        <c:idx val="217"/>
        <c:spPr>
          <a:solidFill>
            <a:schemeClr val="accent1"/>
          </a:solidFill>
          <a:ln>
            <a:noFill/>
          </a:ln>
          <a:effectLst/>
        </c:spPr>
      </c:pivotFmt>
      <c:pivotFmt>
        <c:idx val="218"/>
        <c:spPr>
          <a:solidFill>
            <a:schemeClr val="accent1"/>
          </a:solidFill>
          <a:ln>
            <a:noFill/>
          </a:ln>
          <a:effectLst/>
        </c:spPr>
      </c:pivotFmt>
      <c:pivotFmt>
        <c:idx val="219"/>
        <c:spPr>
          <a:solidFill>
            <a:schemeClr val="accent1"/>
          </a:solidFill>
          <a:ln>
            <a:noFill/>
          </a:ln>
          <a:effectLst/>
        </c:spPr>
      </c:pivotFmt>
      <c:pivotFmt>
        <c:idx val="220"/>
        <c:spPr>
          <a:solidFill>
            <a:schemeClr val="accent1"/>
          </a:solidFill>
          <a:ln>
            <a:noFill/>
          </a:ln>
          <a:effectLst/>
        </c:spPr>
      </c:pivotFmt>
      <c:pivotFmt>
        <c:idx val="221"/>
        <c:spPr>
          <a:solidFill>
            <a:schemeClr val="accent1"/>
          </a:solidFill>
          <a:ln>
            <a:noFill/>
          </a:ln>
          <a:effectLst/>
        </c:spPr>
      </c:pivotFmt>
      <c:pivotFmt>
        <c:idx val="222"/>
        <c:spPr>
          <a:solidFill>
            <a:schemeClr val="accent1"/>
          </a:solidFill>
          <a:ln>
            <a:noFill/>
          </a:ln>
          <a:effectLst/>
        </c:spPr>
      </c:pivotFmt>
      <c:pivotFmt>
        <c:idx val="223"/>
        <c:spPr>
          <a:solidFill>
            <a:schemeClr val="accent1"/>
          </a:solidFill>
          <a:ln>
            <a:noFill/>
          </a:ln>
          <a:effectLst/>
        </c:spPr>
      </c:pivotFmt>
      <c:pivotFmt>
        <c:idx val="224"/>
        <c:spPr>
          <a:solidFill>
            <a:schemeClr val="accent1"/>
          </a:solidFill>
          <a:ln>
            <a:noFill/>
          </a:ln>
          <a:effectLst/>
        </c:spPr>
      </c:pivotFmt>
      <c:pivotFmt>
        <c:idx val="225"/>
        <c:spPr>
          <a:solidFill>
            <a:schemeClr val="accent1"/>
          </a:solidFill>
          <a:ln>
            <a:noFill/>
          </a:ln>
          <a:effectLst/>
        </c:spPr>
      </c:pivotFmt>
      <c:pivotFmt>
        <c:idx val="226"/>
        <c:spPr>
          <a:solidFill>
            <a:schemeClr val="accent1"/>
          </a:solidFill>
          <a:ln>
            <a:noFill/>
          </a:ln>
          <a:effectLst/>
        </c:spPr>
      </c:pivotFmt>
      <c:pivotFmt>
        <c:idx val="227"/>
        <c:spPr>
          <a:solidFill>
            <a:schemeClr val="accent1"/>
          </a:solidFill>
          <a:ln>
            <a:noFill/>
          </a:ln>
          <a:effectLst/>
        </c:spPr>
      </c:pivotFmt>
      <c:pivotFmt>
        <c:idx val="228"/>
        <c:spPr>
          <a:solidFill>
            <a:schemeClr val="accent1"/>
          </a:solidFill>
          <a:ln>
            <a:noFill/>
          </a:ln>
          <a:effectLst/>
        </c:spPr>
      </c:pivotFmt>
      <c:pivotFmt>
        <c:idx val="229"/>
        <c:spPr>
          <a:solidFill>
            <a:schemeClr val="accent1"/>
          </a:solidFill>
          <a:ln>
            <a:noFill/>
          </a:ln>
          <a:effectLst/>
        </c:spPr>
      </c:pivotFmt>
      <c:pivotFmt>
        <c:idx val="230"/>
        <c:spPr>
          <a:solidFill>
            <a:schemeClr val="accent1"/>
          </a:solidFill>
          <a:ln>
            <a:noFill/>
          </a:ln>
          <a:effectLst/>
        </c:spPr>
      </c:pivotFmt>
      <c:pivotFmt>
        <c:idx val="231"/>
        <c:spPr>
          <a:solidFill>
            <a:schemeClr val="accent1"/>
          </a:solidFill>
          <a:ln>
            <a:noFill/>
          </a:ln>
          <a:effectLst/>
        </c:spPr>
      </c:pivotFmt>
      <c:pivotFmt>
        <c:idx val="232"/>
        <c:spPr>
          <a:solidFill>
            <a:schemeClr val="accent1"/>
          </a:solidFill>
          <a:ln>
            <a:noFill/>
          </a:ln>
          <a:effectLst/>
        </c:spPr>
      </c:pivotFmt>
      <c:pivotFmt>
        <c:idx val="233"/>
        <c:spPr>
          <a:solidFill>
            <a:schemeClr val="accent1"/>
          </a:solidFill>
          <a:ln>
            <a:noFill/>
          </a:ln>
          <a:effectLst/>
        </c:spPr>
      </c:pivotFmt>
      <c:pivotFmt>
        <c:idx val="234"/>
        <c:spPr>
          <a:solidFill>
            <a:schemeClr val="accent1"/>
          </a:solidFill>
          <a:ln>
            <a:noFill/>
          </a:ln>
          <a:effectLst/>
        </c:spPr>
      </c:pivotFmt>
      <c:pivotFmt>
        <c:idx val="235"/>
        <c:spPr>
          <a:solidFill>
            <a:schemeClr val="accent1"/>
          </a:solidFill>
          <a:ln>
            <a:noFill/>
          </a:ln>
          <a:effectLst/>
        </c:spPr>
      </c:pivotFmt>
      <c:pivotFmt>
        <c:idx val="236"/>
        <c:spPr>
          <a:solidFill>
            <a:schemeClr val="accent1"/>
          </a:solidFill>
          <a:ln>
            <a:noFill/>
          </a:ln>
          <a:effectLst/>
        </c:spPr>
      </c:pivotFmt>
      <c:pivotFmt>
        <c:idx val="237"/>
        <c:spPr>
          <a:solidFill>
            <a:schemeClr val="accent1"/>
          </a:solidFill>
          <a:ln>
            <a:noFill/>
          </a:ln>
          <a:effectLst/>
        </c:spPr>
      </c:pivotFmt>
      <c:pivotFmt>
        <c:idx val="238"/>
        <c:spPr>
          <a:solidFill>
            <a:schemeClr val="accent1"/>
          </a:solidFill>
          <a:ln>
            <a:noFill/>
          </a:ln>
          <a:effectLst/>
        </c:spPr>
      </c:pivotFmt>
      <c:pivotFmt>
        <c:idx val="239"/>
        <c:spPr>
          <a:solidFill>
            <a:schemeClr val="accent1"/>
          </a:solidFill>
          <a:ln>
            <a:noFill/>
          </a:ln>
          <a:effectLst/>
        </c:spPr>
      </c:pivotFmt>
      <c:pivotFmt>
        <c:idx val="240"/>
        <c:spPr>
          <a:solidFill>
            <a:schemeClr val="accent1"/>
          </a:solidFill>
          <a:ln>
            <a:noFill/>
          </a:ln>
          <a:effectLst/>
        </c:spPr>
      </c:pivotFmt>
      <c:pivotFmt>
        <c:idx val="241"/>
        <c:spPr>
          <a:solidFill>
            <a:schemeClr val="accent1"/>
          </a:solidFill>
          <a:ln>
            <a:noFill/>
          </a:ln>
          <a:effectLst/>
        </c:spPr>
      </c:pivotFmt>
      <c:pivotFmt>
        <c:idx val="242"/>
        <c:spPr>
          <a:solidFill>
            <a:schemeClr val="accent1"/>
          </a:solidFill>
          <a:ln>
            <a:noFill/>
          </a:ln>
          <a:effectLst/>
        </c:spPr>
      </c:pivotFmt>
      <c:pivotFmt>
        <c:idx val="243"/>
        <c:spPr>
          <a:solidFill>
            <a:schemeClr val="accent1"/>
          </a:solidFill>
          <a:ln>
            <a:noFill/>
          </a:ln>
          <a:effectLst/>
        </c:spPr>
      </c:pivotFmt>
      <c:pivotFmt>
        <c:idx val="244"/>
        <c:spPr>
          <a:solidFill>
            <a:schemeClr val="accent1"/>
          </a:solidFill>
          <a:ln>
            <a:noFill/>
          </a:ln>
          <a:effectLst/>
        </c:spPr>
      </c:pivotFmt>
      <c:pivotFmt>
        <c:idx val="245"/>
        <c:spPr>
          <a:solidFill>
            <a:schemeClr val="accent1"/>
          </a:solidFill>
          <a:ln>
            <a:noFill/>
          </a:ln>
          <a:effectLst/>
        </c:spPr>
      </c:pivotFmt>
      <c:pivotFmt>
        <c:idx val="246"/>
        <c:spPr>
          <a:solidFill>
            <a:schemeClr val="accent1"/>
          </a:solidFill>
          <a:ln>
            <a:noFill/>
          </a:ln>
          <a:effectLst/>
        </c:spPr>
      </c:pivotFmt>
      <c:pivotFmt>
        <c:idx val="247"/>
        <c:spPr>
          <a:solidFill>
            <a:schemeClr val="accent1"/>
          </a:solidFill>
          <a:ln>
            <a:noFill/>
          </a:ln>
          <a:effectLst/>
        </c:spPr>
      </c:pivotFmt>
      <c:pivotFmt>
        <c:idx val="24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49"/>
      </c:pivotFmt>
      <c:pivotFmt>
        <c:idx val="250"/>
      </c:pivotFmt>
      <c:pivotFmt>
        <c:idx val="251"/>
      </c:pivotFmt>
      <c:pivotFmt>
        <c:idx val="252"/>
      </c:pivotFmt>
      <c:pivotFmt>
        <c:idx val="253"/>
      </c:pivotFmt>
      <c:pivotFmt>
        <c:idx val="254"/>
      </c:pivotFmt>
      <c:pivotFmt>
        <c:idx val="255"/>
      </c:pivotFmt>
      <c:pivotFmt>
        <c:idx val="256"/>
      </c:pivotFmt>
      <c:pivotFmt>
        <c:idx val="257"/>
      </c:pivotFmt>
      <c:pivotFmt>
        <c:idx val="258"/>
      </c:pivotFmt>
      <c:pivotFmt>
        <c:idx val="25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8"/>
        <c:spPr>
          <a:solidFill>
            <a:srgbClr val="002060"/>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2"/>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5"/>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6"/>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7"/>
        <c:spPr>
          <a:solidFill>
            <a:schemeClr val="accent1"/>
          </a:solidFill>
          <a:ln>
            <a:noFill/>
          </a:ln>
          <a:effectLst/>
        </c:spP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7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4"/>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5"/>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89"/>
        <c:spPr>
          <a:solidFill>
            <a:schemeClr val="accent1"/>
          </a:solidFill>
          <a:ln>
            <a:noFill/>
          </a:ln>
          <a:effectLst/>
        </c:spPr>
        <c:dLbl>
          <c:idx val="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290"/>
        <c:spPr>
          <a:solidFill>
            <a:schemeClr val="accent1"/>
          </a:solidFill>
          <a:ln>
            <a:noFill/>
          </a:ln>
          <a:effectLst/>
        </c:spPr>
      </c:pivotFmt>
      <c:pivotFmt>
        <c:idx val="291"/>
        <c:spPr>
          <a:solidFill>
            <a:schemeClr val="accent1"/>
          </a:solidFill>
          <a:ln>
            <a:noFill/>
          </a:ln>
          <a:effectLst/>
        </c:spPr>
      </c:pivotFmt>
      <c:pivotFmt>
        <c:idx val="292"/>
        <c:spPr>
          <a:solidFill>
            <a:schemeClr val="accent1"/>
          </a:solidFill>
          <a:ln>
            <a:noFill/>
          </a:ln>
          <a:effectLst/>
        </c:spPr>
      </c:pivotFmt>
      <c:pivotFmt>
        <c:idx val="293"/>
        <c:spPr>
          <a:solidFill>
            <a:schemeClr val="accent1"/>
          </a:solidFill>
          <a:ln>
            <a:noFill/>
          </a:ln>
          <a:effectLst/>
        </c:spPr>
      </c:pivotFmt>
      <c:pivotFmt>
        <c:idx val="294"/>
        <c:spPr>
          <a:solidFill>
            <a:schemeClr val="accent1"/>
          </a:solidFill>
          <a:ln>
            <a:noFill/>
          </a:ln>
          <a:effectLst/>
        </c:spPr>
      </c:pivotFmt>
      <c:pivotFmt>
        <c:idx val="295"/>
        <c:spPr>
          <a:solidFill>
            <a:schemeClr val="accent1"/>
          </a:solidFill>
          <a:ln>
            <a:noFill/>
          </a:ln>
          <a:effectLst/>
        </c:spPr>
      </c:pivotFmt>
      <c:pivotFmt>
        <c:idx val="296"/>
        <c:spPr>
          <a:solidFill>
            <a:schemeClr val="accent1"/>
          </a:solidFill>
          <a:ln>
            <a:noFill/>
          </a:ln>
          <a:effectLst/>
        </c:spPr>
      </c:pivotFmt>
      <c:pivotFmt>
        <c:idx val="297"/>
        <c:spPr>
          <a:solidFill>
            <a:schemeClr val="accent1"/>
          </a:solidFill>
          <a:ln>
            <a:noFill/>
          </a:ln>
          <a:effectLst/>
        </c:spPr>
      </c:pivotFmt>
      <c:pivotFmt>
        <c:idx val="298"/>
        <c:spPr>
          <a:solidFill>
            <a:schemeClr val="accent1"/>
          </a:solidFill>
          <a:ln>
            <a:noFill/>
          </a:ln>
          <a:effectLst/>
        </c:spPr>
      </c:pivotFmt>
      <c:pivotFmt>
        <c:idx val="299"/>
        <c:spPr>
          <a:solidFill>
            <a:schemeClr val="accent1"/>
          </a:solidFill>
          <a:ln>
            <a:noFill/>
          </a:ln>
          <a:effectLst/>
        </c:spPr>
      </c:pivotFmt>
      <c:pivotFmt>
        <c:idx val="300"/>
        <c:spPr>
          <a:solidFill>
            <a:schemeClr val="accent1"/>
          </a:solidFill>
          <a:ln>
            <a:noFill/>
          </a:ln>
          <a:effectLst/>
        </c:spPr>
      </c:pivotFmt>
      <c:pivotFmt>
        <c:idx val="301"/>
        <c:spPr>
          <a:solidFill>
            <a:schemeClr val="accent1"/>
          </a:solidFill>
          <a:ln>
            <a:noFill/>
          </a:ln>
          <a:effectLst/>
        </c:spPr>
      </c:pivotFmt>
      <c:pivotFmt>
        <c:idx val="302"/>
        <c:spPr>
          <a:solidFill>
            <a:schemeClr val="accent1"/>
          </a:solidFill>
          <a:ln>
            <a:noFill/>
          </a:ln>
          <a:effectLst/>
        </c:spPr>
      </c:pivotFmt>
      <c:pivotFmt>
        <c:idx val="303"/>
        <c:spPr>
          <a:solidFill>
            <a:schemeClr val="accent1"/>
          </a:solidFill>
          <a:ln>
            <a:noFill/>
          </a:ln>
          <a:effectLst/>
        </c:spPr>
      </c:pivotFmt>
      <c:pivotFmt>
        <c:idx val="304"/>
        <c:spPr>
          <a:solidFill>
            <a:schemeClr val="accent1"/>
          </a:solidFill>
          <a:ln>
            <a:noFill/>
          </a:ln>
          <a:effectLst/>
        </c:spPr>
      </c:pivotFmt>
      <c:pivotFmt>
        <c:idx val="305"/>
      </c:pivotFmt>
      <c:pivotFmt>
        <c:idx val="306"/>
      </c:pivotFmt>
      <c:pivotFmt>
        <c:idx val="307"/>
      </c:pivotFmt>
      <c:pivotFmt>
        <c:idx val="308"/>
      </c:pivotFmt>
      <c:pivotFmt>
        <c:idx val="309"/>
      </c:pivotFmt>
      <c:pivotFmt>
        <c:idx val="310"/>
      </c:pivotFmt>
      <c:pivotFmt>
        <c:idx val="311"/>
      </c:pivotFmt>
      <c:pivotFmt>
        <c:idx val="312"/>
      </c:pivotFmt>
      <c:pivotFmt>
        <c:idx val="313"/>
      </c:pivotFmt>
      <c:pivotFmt>
        <c:idx val="314"/>
        <c:dLbl>
          <c:idx val="0"/>
          <c:spPr>
            <a:noFill/>
            <a:ln>
              <a:noFill/>
            </a:ln>
            <a:effectLst/>
          </c:spPr>
          <c:txPr>
            <a:bodyPr rot="0" spcFirstLastPara="1" vertOverflow="clip" horzOverflow="clip" vert="horz" wrap="square" lIns="38100" tIns="19050" rIns="38100" bIns="19050" anchor="ctr" anchorCtr="1">
              <a:no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15"/>
        <c:spPr>
          <a:solidFill>
            <a:schemeClr val="accent1"/>
          </a:solidFill>
          <a:ln>
            <a:noFill/>
          </a:ln>
          <a:effectLst/>
        </c:spPr>
      </c:pivotFmt>
      <c:pivotFmt>
        <c:idx val="316"/>
        <c:spPr>
          <a:solidFill>
            <a:schemeClr val="accent1"/>
          </a:solidFill>
          <a:ln>
            <a:noFill/>
          </a:ln>
          <a:effectLst/>
        </c:spPr>
      </c:pivotFmt>
      <c:pivotFmt>
        <c:idx val="317"/>
        <c:spPr>
          <a:solidFill>
            <a:schemeClr val="accent1"/>
          </a:solidFill>
          <a:ln>
            <a:noFill/>
          </a:ln>
          <a:effectLst/>
        </c:spPr>
      </c:pivotFmt>
      <c:pivotFmt>
        <c:idx val="318"/>
        <c:spPr>
          <a:solidFill>
            <a:schemeClr val="accent1"/>
          </a:solidFill>
          <a:ln>
            <a:noFill/>
          </a:ln>
          <a:effectLst/>
        </c:spPr>
      </c:pivotFmt>
      <c:pivotFmt>
        <c:idx val="319"/>
        <c:spPr>
          <a:solidFill>
            <a:schemeClr val="accent1"/>
          </a:solidFill>
          <a:ln>
            <a:noFill/>
          </a:ln>
          <a:effectLst/>
        </c:spPr>
      </c:pivotFmt>
      <c:pivotFmt>
        <c:idx val="320"/>
        <c:spPr>
          <a:solidFill>
            <a:schemeClr val="accent1"/>
          </a:solidFill>
          <a:ln>
            <a:noFill/>
          </a:ln>
          <a:effectLst/>
        </c:spPr>
      </c:pivotFmt>
      <c:pivotFmt>
        <c:idx val="321"/>
        <c:spPr>
          <a:solidFill>
            <a:schemeClr val="accent1"/>
          </a:solidFill>
          <a:ln>
            <a:noFill/>
          </a:ln>
          <a:effectLst/>
        </c:spPr>
      </c:pivotFmt>
      <c:pivotFmt>
        <c:idx val="322"/>
        <c:spPr>
          <a:solidFill>
            <a:schemeClr val="accent1"/>
          </a:solidFill>
          <a:ln>
            <a:noFill/>
          </a:ln>
          <a:effectLst/>
        </c:spPr>
      </c:pivotFmt>
      <c:pivotFmt>
        <c:idx val="323"/>
        <c:spPr>
          <a:solidFill>
            <a:schemeClr val="accent1"/>
          </a:solidFill>
          <a:ln>
            <a:noFill/>
          </a:ln>
          <a:effectLst/>
        </c:spPr>
      </c:pivotFmt>
      <c:pivotFmt>
        <c:idx val="324"/>
        <c:spPr>
          <a:solidFill>
            <a:schemeClr val="accent1"/>
          </a:solidFill>
          <a:ln>
            <a:noFill/>
          </a:ln>
          <a:effectLst/>
        </c:spPr>
      </c:pivotFmt>
      <c:pivotFmt>
        <c:idx val="325"/>
        <c:spPr>
          <a:solidFill>
            <a:schemeClr val="accent1"/>
          </a:solidFill>
          <a:ln>
            <a:noFill/>
          </a:ln>
          <a:effectLst/>
        </c:spPr>
      </c:pivotFmt>
      <c:pivotFmt>
        <c:idx val="326"/>
        <c:spPr>
          <a:solidFill>
            <a:schemeClr val="accent1"/>
          </a:solidFill>
          <a:ln>
            <a:noFill/>
          </a:ln>
          <a:effectLst/>
        </c:spPr>
      </c:pivotFmt>
      <c:pivotFmt>
        <c:idx val="327"/>
        <c:spPr>
          <a:solidFill>
            <a:schemeClr val="accent1"/>
          </a:solidFill>
          <a:ln>
            <a:noFill/>
          </a:ln>
          <a:effectLst/>
        </c:spPr>
      </c:pivotFmt>
      <c:pivotFmt>
        <c:idx val="328"/>
        <c:spPr>
          <a:solidFill>
            <a:schemeClr val="accent1"/>
          </a:solidFill>
          <a:ln>
            <a:noFill/>
          </a:ln>
          <a:effectLst/>
        </c:spPr>
      </c:pivotFmt>
      <c:pivotFmt>
        <c:idx val="329"/>
        <c:spPr>
          <a:solidFill>
            <a:schemeClr val="accent1"/>
          </a:solidFill>
          <a:ln>
            <a:noFill/>
          </a:ln>
          <a:effectLst/>
        </c:spPr>
      </c:pivotFmt>
      <c:pivotFmt>
        <c:idx val="33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
        <c:idx val="33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showLegendKey val="1"/>
          <c:showVal val="1"/>
          <c:showCatName val="1"/>
          <c:showSerName val="1"/>
          <c:showPercent val="1"/>
          <c:showBubbleSize val="1"/>
          <c:extLst>
            <c:ext xmlns:c15="http://schemas.microsoft.com/office/drawing/2012/chart" uri="{CE6537A1-D6FC-4f65-9D91-7224C49458BB}"/>
          </c:extLst>
        </c:dLbl>
      </c:pivotFmt>
    </c:pivotFmts>
    <c:plotArea>
      <c:layout/>
      <c:barChart>
        <c:barDir val="bar"/>
        <c:grouping val="stacked"/>
        <c:varyColors val="0"/>
        <c:ser>
          <c:idx val="0"/>
          <c:order val="0"/>
          <c:spPr>
            <a:solidFill>
              <a:schemeClr val="accent1"/>
            </a:solidFill>
            <a:ln>
              <a:noFill/>
            </a:ln>
            <a:effectLst/>
          </c:spPr>
          <c:invertIfNegative val="0"/>
          <c:dLbls>
            <c:numFmt formatCode="#,##0_);[Red]\(#,##0\)" sourceLinked="0"/>
            <c:spPr>
              <a:noFill/>
              <a:ln>
                <a:no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ko-KR"/>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'가계부 요약'!$L$33:$L$42</c:f>
              <c:strCache>
                <c:ptCount val="10"/>
                <c:pt idx="0">
                  <c:v>250802 증명서 수수료</c:v>
                </c:pt>
                <c:pt idx="1">
                  <c:v>250805 두잇</c:v>
                </c:pt>
                <c:pt idx="2">
                  <c:v>250807 쿱스캣</c:v>
                </c:pt>
                <c:pt idx="3">
                  <c:v>250801 구글플레이</c:v>
                </c:pt>
                <c:pt idx="4">
                  <c:v>250802 서기남헤어클리닉</c:v>
                </c:pt>
                <c:pt idx="5">
                  <c:v>250803 더현대서울</c:v>
                </c:pt>
                <c:pt idx="6">
                  <c:v>250802 마이크로소프트</c:v>
                </c:pt>
                <c:pt idx="7">
                  <c:v>250805 이마트에브리데이</c:v>
                </c:pt>
                <c:pt idx="8">
                  <c:v>250805 교통비 출금</c:v>
                </c:pt>
                <c:pt idx="9">
                  <c:v>계 </c:v>
                </c:pt>
              </c:strCache>
            </c:strRef>
          </c:cat>
          <c:val>
            <c:numRef>
              <c:f>'가계부 요약'!$M$33:$M$42</c:f>
              <c:numCache>
                <c:formatCode>General</c:formatCode>
                <c:ptCount val="10"/>
                <c:pt idx="0">
                  <c:v>1000</c:v>
                </c:pt>
                <c:pt idx="1">
                  <c:v>2900</c:v>
                </c:pt>
                <c:pt idx="2">
                  <c:v>3200</c:v>
                </c:pt>
                <c:pt idx="3">
                  <c:v>6600</c:v>
                </c:pt>
                <c:pt idx="4">
                  <c:v>15000</c:v>
                </c:pt>
                <c:pt idx="5">
                  <c:v>16400</c:v>
                </c:pt>
                <c:pt idx="6">
                  <c:v>30693</c:v>
                </c:pt>
                <c:pt idx="7">
                  <c:v>34100</c:v>
                </c:pt>
                <c:pt idx="8">
                  <c:v>50327</c:v>
                </c:pt>
                <c:pt idx="9">
                  <c:v>160220</c:v>
                </c:pt>
              </c:numCache>
            </c:numRef>
          </c:val>
          <c:extLst>
            <c:ext xmlns:c16="http://schemas.microsoft.com/office/drawing/2014/chart" uri="{C3380CC4-5D6E-409C-BE32-E72D297353CC}">
              <c16:uniqueId val="{00000000-7E2D-4ECB-BA7F-9F8B909FFD7E}"/>
            </c:ext>
          </c:extLst>
        </c:ser>
        <c:dLbls>
          <c:dLblPos val="ctr"/>
          <c:showLegendKey val="0"/>
          <c:showVal val="1"/>
          <c:showCatName val="0"/>
          <c:showSerName val="0"/>
          <c:showPercent val="0"/>
          <c:showBubbleSize val="0"/>
        </c:dLbls>
        <c:gapWidth val="50"/>
        <c:overlap val="100"/>
        <c:axId val="1366700880"/>
        <c:axId val="1366698384"/>
      </c:barChart>
      <c:catAx>
        <c:axId val="13667008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698384"/>
        <c:crosses val="autoZero"/>
        <c:auto val="1"/>
        <c:lblAlgn val="ctr"/>
        <c:lblOffset val="100"/>
        <c:noMultiLvlLbl val="0"/>
      </c:catAx>
      <c:valAx>
        <c:axId val="136669838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ko-KR"/>
          </a:p>
        </c:txPr>
        <c:crossAx val="1366700880"/>
        <c:crosses val="autoZero"/>
        <c:crossBetween val="between"/>
      </c:valAx>
      <c:spPr>
        <a:noFill/>
        <a:ln>
          <a:noFill/>
        </a:ln>
        <a:effectLst/>
      </c:spPr>
    </c:plotArea>
    <c:plotVisOnly val="1"/>
    <c:dispBlanksAs val="gap"/>
    <c:showDLblsOverMax val="0"/>
    <c:extLst/>
  </c:chart>
  <c:spPr>
    <a:gradFill flip="none" rotWithShape="1">
      <a:gsLst>
        <a:gs pos="14000">
          <a:schemeClr val="tx1">
            <a:lumMod val="65000"/>
            <a:lumOff val="35000"/>
          </a:schemeClr>
        </a:gs>
        <a:gs pos="74000">
          <a:schemeClr val="tx1">
            <a:lumMod val="85000"/>
            <a:lumOff val="15000"/>
          </a:schemeClr>
        </a:gs>
        <a:gs pos="97000">
          <a:schemeClr val="tx1"/>
        </a:gs>
      </a:gsLst>
      <a:path path="rect">
        <a:fillToRect r="100000" b="100000"/>
      </a:path>
      <a:tileRect l="-100000" t="-100000"/>
    </a:gradFill>
    <a:ln w="9525" cap="flat" cmpd="sng" algn="ctr">
      <a:noFill/>
      <a:round/>
    </a:ln>
    <a:effectLst/>
  </c:spPr>
  <c:txPr>
    <a:bodyPr/>
    <a:lstStyle/>
    <a:p>
      <a:pPr>
        <a:defRPr>
          <a:solidFill>
            <a:schemeClr val="bg1"/>
          </a:solidFill>
        </a:defRPr>
      </a:pPr>
      <a:endParaRPr lang="ko-KR"/>
    </a:p>
  </c:txPr>
  <c:printSettings>
    <c:headerFooter/>
    <c:pageMargins b="0.75" l="0.7" r="0.7" t="0.75" header="0.3" footer="0.3"/>
    <c:pageSetup/>
  </c:printSettings>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304">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8</xdr:col>
      <xdr:colOff>418344</xdr:colOff>
      <xdr:row>0</xdr:row>
      <xdr:rowOff>95250</xdr:rowOff>
    </xdr:from>
    <xdr:to>
      <xdr:col>18</xdr:col>
      <xdr:colOff>627894</xdr:colOff>
      <xdr:row>4</xdr:row>
      <xdr:rowOff>59001</xdr:rowOff>
    </xdr:to>
    <xdr:grpSp>
      <xdr:nvGrpSpPr>
        <xdr:cNvPr id="13" name="그룹 12">
          <a:extLst>
            <a:ext uri="{FF2B5EF4-FFF2-40B4-BE49-F238E27FC236}">
              <a16:creationId xmlns:a16="http://schemas.microsoft.com/office/drawing/2014/main" id="{00000000-0008-0000-0000-00000D000000}"/>
            </a:ext>
          </a:extLst>
        </xdr:cNvPr>
        <xdr:cNvGrpSpPr/>
      </xdr:nvGrpSpPr>
      <xdr:grpSpPr>
        <a:xfrm>
          <a:off x="5288794" y="95250"/>
          <a:ext cx="6191250" cy="827351"/>
          <a:chOff x="5191124" y="95250"/>
          <a:chExt cx="6296025" cy="801951"/>
        </a:xfrm>
      </xdr:grpSpPr>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5191124" y="95250"/>
            <a:ext cx="6296025" cy="8019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ko-KR" altLang="en-US" sz="3200" b="1">
                <a:solidFill>
                  <a:schemeClr val="bg1"/>
                </a:solidFill>
                <a:latin typeface="나눔스퀘어 ExtraBold" panose="020B0600000101010101" pitchFamily="50" charset="-127"/>
                <a:ea typeface="나눔스퀘어 ExtraBold" panose="020B0600000101010101" pitchFamily="50" charset="-127"/>
              </a:rPr>
              <a:t>가계부 요약 </a:t>
            </a:r>
            <a:r>
              <a:rPr lang="en-US" altLang="ko-KR" sz="3200" b="1">
                <a:solidFill>
                  <a:schemeClr val="bg1"/>
                </a:solidFill>
                <a:latin typeface="나눔스퀘어 ExtraBold" panose="020B0600000101010101" pitchFamily="50" charset="-127"/>
                <a:ea typeface="나눔스퀘어 ExtraBold" panose="020B0600000101010101" pitchFamily="50" charset="-127"/>
              </a:rPr>
              <a:t>DASHBOARD</a:t>
            </a:r>
            <a:endParaRPr lang="ko-KR" altLang="en-US" sz="3200" b="1">
              <a:solidFill>
                <a:schemeClr val="bg1"/>
              </a:solidFill>
              <a:latin typeface="나눔스퀘어 ExtraBold" panose="020B0600000101010101" pitchFamily="50" charset="-127"/>
              <a:ea typeface="나눔스퀘어 ExtraBold" panose="020B0600000101010101" pitchFamily="50" charset="-127"/>
            </a:endParaRPr>
          </a:p>
        </xdr:txBody>
      </xdr:sp>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5362574" y="781050"/>
            <a:ext cx="5915025" cy="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116010</xdr:colOff>
      <xdr:row>22</xdr:row>
      <xdr:rowOff>57150</xdr:rowOff>
    </xdr:from>
    <xdr:to>
      <xdr:col>25</xdr:col>
      <xdr:colOff>0</xdr:colOff>
      <xdr:row>28</xdr:row>
      <xdr:rowOff>85726</xdr:rowOff>
    </xdr:to>
    <xdr:graphicFrame macro="">
      <xdr:nvGraphicFramePr>
        <xdr:cNvPr id="12" name="차트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xdr:colOff>
      <xdr:row>28</xdr:row>
      <xdr:rowOff>200486</xdr:rowOff>
    </xdr:from>
    <xdr:to>
      <xdr:col>18</xdr:col>
      <xdr:colOff>137585</xdr:colOff>
      <xdr:row>34</xdr:row>
      <xdr:rowOff>5302</xdr:rowOff>
    </xdr:to>
    <mc:AlternateContent xmlns:mc="http://schemas.openxmlformats.org/markup-compatibility/2006" xmlns:a14="http://schemas.microsoft.com/office/drawing/2010/main">
      <mc:Choice Requires="a14">
        <xdr:graphicFrame macro="">
          <xdr:nvGraphicFramePr>
            <xdr:cNvPr id="5" name="연">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microsoft.com/office/drawing/2010/slicer">
              <sle:slicer xmlns:sle="http://schemas.microsoft.com/office/drawing/2010/slicer" name="연"/>
            </a:graphicData>
          </a:graphic>
        </xdr:graphicFrame>
      </mc:Choice>
      <mc:Fallback xmlns="">
        <xdr:sp macro="" textlink="">
          <xdr:nvSpPr>
            <xdr:cNvPr id="0" name=""/>
            <xdr:cNvSpPr>
              <a:spLocks noTextEdit="1"/>
            </xdr:cNvSpPr>
          </xdr:nvSpPr>
          <xdr:spPr>
            <a:xfrm>
              <a:off x="8059616" y="6257409"/>
              <a:ext cx="2964556"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editAs="oneCell">
    <xdr:from>
      <xdr:col>18</xdr:col>
      <xdr:colOff>257258</xdr:colOff>
      <xdr:row>28</xdr:row>
      <xdr:rowOff>201491</xdr:rowOff>
    </xdr:from>
    <xdr:to>
      <xdr:col>25</xdr:col>
      <xdr:colOff>5293</xdr:colOff>
      <xdr:row>34</xdr:row>
      <xdr:rowOff>6307</xdr:rowOff>
    </xdr:to>
    <mc:AlternateContent xmlns:mc="http://schemas.openxmlformats.org/markup-compatibility/2006" xmlns:a14="http://schemas.microsoft.com/office/drawing/2010/main">
      <mc:Choice Requires="a14">
        <xdr:graphicFrame macro="">
          <xdr:nvGraphicFramePr>
            <xdr:cNvPr id="8" name="월">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microsoft.com/office/drawing/2010/slicer">
              <sle:slicer xmlns:sle="http://schemas.microsoft.com/office/drawing/2010/slicer" name="월"/>
            </a:graphicData>
          </a:graphic>
        </xdr:graphicFrame>
      </mc:Choice>
      <mc:Fallback xmlns="">
        <xdr:sp macro="" textlink="">
          <xdr:nvSpPr>
            <xdr:cNvPr id="0" name=""/>
            <xdr:cNvSpPr>
              <a:spLocks noTextEdit="1"/>
            </xdr:cNvSpPr>
          </xdr:nvSpPr>
          <xdr:spPr>
            <a:xfrm>
              <a:off x="11143845" y="6258414"/>
              <a:ext cx="5536304" cy="1080000"/>
            </a:xfrm>
            <a:prstGeom prst="rect">
              <a:avLst/>
            </a:prstGeom>
            <a:solidFill>
              <a:prstClr val="white"/>
            </a:solidFill>
            <a:ln w="1">
              <a:solidFill>
                <a:prstClr val="green"/>
              </a:solidFill>
            </a:ln>
          </xdr:spPr>
          <xdr:txBody>
            <a:bodyPr vertOverflow="clip" horzOverflow="clip"/>
            <a:lstStyle/>
            <a:p>
              <a:r>
                <a:rPr lang="ko-KR" altLang="en-US" sz="1100"/>
                <a:t>이 도형은 슬라이서를 나타냅니다. 슬라이서는 Excel 2010 이상에서 지원됩니다.
이 도형이 이전 버전의 Excel에서 수정되었거나 통합 문서가 Excel 2003 또는 이전 버전에서 저장된 경우 슬라이서를 사용할 수 없습니다.</a:t>
              </a:r>
            </a:p>
          </xdr:txBody>
        </xdr:sp>
      </mc:Fallback>
    </mc:AlternateContent>
    <xdr:clientData/>
  </xdr:twoCellAnchor>
  <xdr:twoCellAnchor>
    <xdr:from>
      <xdr:col>0</xdr:col>
      <xdr:colOff>119604</xdr:colOff>
      <xdr:row>5</xdr:row>
      <xdr:rowOff>0</xdr:rowOff>
    </xdr:from>
    <xdr:to>
      <xdr:col>13</xdr:col>
      <xdr:colOff>0</xdr:colOff>
      <xdr:row>26</xdr:row>
      <xdr:rowOff>185057</xdr:rowOff>
    </xdr:to>
    <xdr:graphicFrame macro="">
      <xdr:nvGraphicFramePr>
        <xdr:cNvPr id="9" name="차트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2934</xdr:colOff>
      <xdr:row>26</xdr:row>
      <xdr:rowOff>183173</xdr:rowOff>
    </xdr:from>
    <xdr:to>
      <xdr:col>12</xdr:col>
      <xdr:colOff>609765</xdr:colOff>
      <xdr:row>34</xdr:row>
      <xdr:rowOff>20272</xdr:rowOff>
    </xdr:to>
    <mc:AlternateContent xmlns:mc="http://schemas.openxmlformats.org/markup-compatibility/2006" xmlns:tsle="http://schemas.microsoft.com/office/drawing/2012/timeslicer">
      <mc:Choice Requires="tsle">
        <xdr:graphicFrame macro="">
          <xdr:nvGraphicFramePr>
            <xdr:cNvPr id="10" name="날짜">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2/timeslicer">
              <tsle:timeslicer name="날짜"/>
            </a:graphicData>
          </a:graphic>
        </xdr:graphicFrame>
      </mc:Choice>
      <mc:Fallback xmlns="">
        <xdr:sp macro="" textlink="">
          <xdr:nvSpPr>
            <xdr:cNvPr id="0" name=""/>
            <xdr:cNvSpPr>
              <a:spLocks noTextEdit="1"/>
            </xdr:cNvSpPr>
          </xdr:nvSpPr>
          <xdr:spPr>
            <a:xfrm>
              <a:off x="125049" y="5812692"/>
              <a:ext cx="7811639" cy="1546715"/>
            </a:xfrm>
            <a:prstGeom prst="rect">
              <a:avLst/>
            </a:prstGeom>
            <a:solidFill>
              <a:prstClr val="white"/>
            </a:solidFill>
            <a:ln w="1">
              <a:solidFill>
                <a:prstClr val="green"/>
              </a:solidFill>
            </a:ln>
          </xdr:spPr>
          <xdr:txBody>
            <a:bodyPr vertOverflow="clip" horzOverflow="clip"/>
            <a:lstStyle/>
            <a:p>
              <a:r>
                <a:rPr lang="ko-KR" altLang="en-US" sz="1100"/>
                <a:t>시간 표시 막대: Excel 2013 이상에서 작동합니다. 이동하거나 크기를 조정하지 마세요.</a:t>
              </a:r>
            </a:p>
          </xdr:txBody>
        </xdr:sp>
      </mc:Fallback>
    </mc:AlternateContent>
    <xdr:clientData/>
  </xdr:twoCellAnchor>
  <xdr:twoCellAnchor>
    <xdr:from>
      <xdr:col>0</xdr:col>
      <xdr:colOff>120613</xdr:colOff>
      <xdr:row>36</xdr:row>
      <xdr:rowOff>213226</xdr:rowOff>
    </xdr:from>
    <xdr:to>
      <xdr:col>7</xdr:col>
      <xdr:colOff>457526</xdr:colOff>
      <xdr:row>66</xdr:row>
      <xdr:rowOff>125926</xdr:rowOff>
    </xdr:to>
    <xdr:graphicFrame macro="">
      <xdr:nvGraphicFramePr>
        <xdr:cNvPr id="3" name="차트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903653</xdr:colOff>
      <xdr:row>37</xdr:row>
      <xdr:rowOff>2021</xdr:rowOff>
    </xdr:from>
    <xdr:to>
      <xdr:col>24</xdr:col>
      <xdr:colOff>580047</xdr:colOff>
      <xdr:row>66</xdr:row>
      <xdr:rowOff>129865</xdr:rowOff>
    </xdr:to>
    <xdr:graphicFrame macro="">
      <xdr:nvGraphicFramePr>
        <xdr:cNvPr id="6" name="차트 5">
          <a:extLst>
            <a:ext uri="{FF2B5EF4-FFF2-40B4-BE49-F238E27FC236}">
              <a16:creationId xmlns:a16="http://schemas.microsoft.com/office/drawing/2014/main" id="{00000000-0008-0000-00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97694</xdr:colOff>
      <xdr:row>37</xdr:row>
      <xdr:rowOff>0</xdr:rowOff>
    </xdr:from>
    <xdr:to>
      <xdr:col>15</xdr:col>
      <xdr:colOff>630640</xdr:colOff>
      <xdr:row>66</xdr:row>
      <xdr:rowOff>127844</xdr:rowOff>
    </xdr:to>
    <xdr:graphicFrame macro="">
      <xdr:nvGraphicFramePr>
        <xdr:cNvPr id="7" name="차트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201489</xdr:colOff>
      <xdr:row>34</xdr:row>
      <xdr:rowOff>85481</xdr:rowOff>
    </xdr:from>
    <xdr:to>
      <xdr:col>14</xdr:col>
      <xdr:colOff>154220</xdr:colOff>
      <xdr:row>36</xdr:row>
      <xdr:rowOff>152645</xdr:rowOff>
    </xdr:to>
    <xdr:grpSp>
      <xdr:nvGrpSpPr>
        <xdr:cNvPr id="20" name="그룹 19">
          <a:extLst>
            <a:ext uri="{FF2B5EF4-FFF2-40B4-BE49-F238E27FC236}">
              <a16:creationId xmlns:a16="http://schemas.microsoft.com/office/drawing/2014/main" id="{00000000-0008-0000-0000-000014000000}"/>
            </a:ext>
          </a:extLst>
        </xdr:cNvPr>
        <xdr:cNvGrpSpPr/>
      </xdr:nvGrpSpPr>
      <xdr:grpSpPr>
        <a:xfrm>
          <a:off x="6900739" y="7495931"/>
          <a:ext cx="1292581" cy="498964"/>
          <a:chOff x="6917835" y="7424616"/>
          <a:chExt cx="1296000" cy="494567"/>
        </a:xfrm>
      </xdr:grpSpPr>
      <xdr:sp macro="[0]!대시보드하단이동" textlink="">
        <xdr:nvSpPr>
          <xdr:cNvPr id="11" name="사각형: 둥근 모서리 10">
            <a:extLst>
              <a:ext uri="{FF2B5EF4-FFF2-40B4-BE49-F238E27FC236}">
                <a16:creationId xmlns:a16="http://schemas.microsoft.com/office/drawing/2014/main" id="{00000000-0008-0000-0000-00000B000000}"/>
              </a:ext>
            </a:extLst>
          </xdr:cNvPr>
          <xdr:cNvSpPr/>
        </xdr:nvSpPr>
        <xdr:spPr>
          <a:xfrm>
            <a:off x="6917835" y="7424616"/>
            <a:ext cx="1296000" cy="494567"/>
          </a:xfrm>
          <a:prstGeom prst="roundRect">
            <a:avLst/>
          </a:prstGeom>
          <a:solidFill>
            <a:schemeClr val="bg1">
              <a:lumMod val="85000"/>
            </a:schemeClr>
          </a:solidFill>
          <a:ln>
            <a:noFill/>
          </a:ln>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t"/>
          <a:lstStyle/>
          <a:p>
            <a:pPr algn="l"/>
            <a:endParaRPr lang="ko-KR" altLang="en-US" sz="1100"/>
          </a:p>
        </xdr:txBody>
      </xdr:sp>
      <xdr:sp macro="[0]!대시보드하단이동" textlink="">
        <xdr:nvSpPr>
          <xdr:cNvPr id="16" name="화살표: 아래쪽 15">
            <a:extLst>
              <a:ext uri="{FF2B5EF4-FFF2-40B4-BE49-F238E27FC236}">
                <a16:creationId xmlns:a16="http://schemas.microsoft.com/office/drawing/2014/main" id="{00000000-0008-0000-0000-000010000000}"/>
              </a:ext>
            </a:extLst>
          </xdr:cNvPr>
          <xdr:cNvSpPr/>
        </xdr:nvSpPr>
        <xdr:spPr>
          <a:xfrm>
            <a:off x="7381873" y="7479566"/>
            <a:ext cx="378558" cy="384664"/>
          </a:xfrm>
          <a:prstGeom prst="downArrow">
            <a:avLst/>
          </a:prstGeom>
          <a:solidFill>
            <a:schemeClr val="bg2">
              <a:lumMod val="25000"/>
            </a:schemeClr>
          </a:solidFill>
          <a:ln>
            <a:noFill/>
          </a:ln>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t"/>
          <a:lstStyle/>
          <a:p>
            <a:pPr algn="l"/>
            <a:endParaRPr lang="ko-KR" altLang="en-US" sz="1100"/>
          </a:p>
        </xdr:txBody>
      </xdr:sp>
    </xdr:grpSp>
    <xdr:clientData/>
  </xdr:twoCellAnchor>
  <xdr:twoCellAnchor>
    <xdr:from>
      <xdr:col>14</xdr:col>
      <xdr:colOff>500429</xdr:colOff>
      <xdr:row>34</xdr:row>
      <xdr:rowOff>85236</xdr:rowOff>
    </xdr:from>
    <xdr:to>
      <xdr:col>15</xdr:col>
      <xdr:colOff>891442</xdr:colOff>
      <xdr:row>36</xdr:row>
      <xdr:rowOff>152400</xdr:rowOff>
    </xdr:to>
    <xdr:grpSp>
      <xdr:nvGrpSpPr>
        <xdr:cNvPr id="21" name="그룹 20">
          <a:extLst>
            <a:ext uri="{FF2B5EF4-FFF2-40B4-BE49-F238E27FC236}">
              <a16:creationId xmlns:a16="http://schemas.microsoft.com/office/drawing/2014/main" id="{00000000-0008-0000-0000-000015000000}"/>
            </a:ext>
          </a:extLst>
        </xdr:cNvPr>
        <xdr:cNvGrpSpPr/>
      </xdr:nvGrpSpPr>
      <xdr:grpSpPr>
        <a:xfrm>
          <a:off x="8539529" y="7495686"/>
          <a:ext cx="1292713" cy="498964"/>
          <a:chOff x="8560044" y="7424371"/>
          <a:chExt cx="1294667" cy="494567"/>
        </a:xfrm>
      </xdr:grpSpPr>
      <xdr:sp macro="[0]!대시보드상단이동" textlink="">
        <xdr:nvSpPr>
          <xdr:cNvPr id="14" name="사각형: 둥근 모서리 13">
            <a:extLst>
              <a:ext uri="{FF2B5EF4-FFF2-40B4-BE49-F238E27FC236}">
                <a16:creationId xmlns:a16="http://schemas.microsoft.com/office/drawing/2014/main" id="{00000000-0008-0000-0000-00000E000000}"/>
              </a:ext>
            </a:extLst>
          </xdr:cNvPr>
          <xdr:cNvSpPr/>
        </xdr:nvSpPr>
        <xdr:spPr>
          <a:xfrm>
            <a:off x="8560044" y="7424371"/>
            <a:ext cx="1294667" cy="494567"/>
          </a:xfrm>
          <a:prstGeom prst="roundRect">
            <a:avLst/>
          </a:prstGeom>
          <a:solidFill>
            <a:schemeClr val="bg1">
              <a:lumMod val="8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대시보드상단이동" textlink="">
        <xdr:nvSpPr>
          <xdr:cNvPr id="17" name="화살표: 아래쪽 16">
            <a:extLst>
              <a:ext uri="{FF2B5EF4-FFF2-40B4-BE49-F238E27FC236}">
                <a16:creationId xmlns:a16="http://schemas.microsoft.com/office/drawing/2014/main" id="{00000000-0008-0000-0000-000011000000}"/>
              </a:ext>
            </a:extLst>
          </xdr:cNvPr>
          <xdr:cNvSpPr/>
        </xdr:nvSpPr>
        <xdr:spPr>
          <a:xfrm rot="10800000">
            <a:off x="9017974" y="7473216"/>
            <a:ext cx="378558" cy="384664"/>
          </a:xfrm>
          <a:prstGeom prst="downArrow">
            <a:avLst/>
          </a:prstGeom>
          <a:solidFill>
            <a:schemeClr val="bg2">
              <a:lumMod val="2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323850</xdr:colOff>
          <xdr:row>0</xdr:row>
          <xdr:rowOff>19050</xdr:rowOff>
        </xdr:from>
        <xdr:to>
          <xdr:col>11</xdr:col>
          <xdr:colOff>622300</xdr:colOff>
          <xdr:row>1</xdr:row>
          <xdr:rowOff>374650</xdr:rowOff>
        </xdr:to>
        <xdr:sp macro="" textlink="">
          <xdr:nvSpPr>
            <xdr:cNvPr id="3074" name="SpinButton1"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133350</xdr:colOff>
          <xdr:row>0</xdr:row>
          <xdr:rowOff>0</xdr:rowOff>
        </xdr:from>
        <xdr:to>
          <xdr:col>15</xdr:col>
          <xdr:colOff>400050</xdr:colOff>
          <xdr:row>0</xdr:row>
          <xdr:rowOff>336550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200-00000808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ko-KR" altLang="en-US" sz="1100" b="0" i="0" u="none" strike="noStrike" baseline="0">
                  <a:solidFill>
                    <a:srgbClr val="000000"/>
                  </a:solidFill>
                  <a:latin typeface="맑은 고딕"/>
                  <a:ea typeface="맑은 고딕"/>
                </a:rPr>
                <a:t>모두 새로고침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260350</xdr:colOff>
          <xdr:row>0</xdr:row>
          <xdr:rowOff>0</xdr:rowOff>
        </xdr:from>
        <xdr:to>
          <xdr:col>12</xdr:col>
          <xdr:colOff>1174750</xdr:colOff>
          <xdr:row>1</xdr:row>
          <xdr:rowOff>19050</xdr:rowOff>
        </xdr:to>
        <xdr:sp macro="" textlink="">
          <xdr:nvSpPr>
            <xdr:cNvPr id="2060" name="폼열기"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5</xdr:col>
      <xdr:colOff>84709</xdr:colOff>
      <xdr:row>0</xdr:row>
      <xdr:rowOff>0</xdr:rowOff>
    </xdr:from>
    <xdr:to>
      <xdr:col>5</xdr:col>
      <xdr:colOff>408709</xdr:colOff>
      <xdr:row>0</xdr:row>
      <xdr:rowOff>328970</xdr:rowOff>
    </xdr:to>
    <xdr:grpSp>
      <xdr:nvGrpSpPr>
        <xdr:cNvPr id="6" name="그룹 5">
          <a:extLst>
            <a:ext uri="{FF2B5EF4-FFF2-40B4-BE49-F238E27FC236}">
              <a16:creationId xmlns:a16="http://schemas.microsoft.com/office/drawing/2014/main" id="{00000000-0008-0000-0200-000006000000}"/>
            </a:ext>
          </a:extLst>
        </xdr:cNvPr>
        <xdr:cNvGrpSpPr/>
      </xdr:nvGrpSpPr>
      <xdr:grpSpPr>
        <a:xfrm>
          <a:off x="2299341" y="0"/>
          <a:ext cx="324000" cy="332145"/>
          <a:chOff x="2330704" y="75754395"/>
          <a:chExt cx="324000" cy="328970"/>
        </a:xfrm>
      </xdr:grpSpPr>
      <xdr:sp macro="[0]!맨아래로" textlink="">
        <xdr:nvSpPr>
          <xdr:cNvPr id="3" name="직사각형 2">
            <a:extLst>
              <a:ext uri="{FF2B5EF4-FFF2-40B4-BE49-F238E27FC236}">
                <a16:creationId xmlns:a16="http://schemas.microsoft.com/office/drawing/2014/main" id="{00000000-0008-0000-0200-000003000000}"/>
              </a:ext>
            </a:extLst>
          </xdr:cNvPr>
          <xdr:cNvSpPr/>
        </xdr:nvSpPr>
        <xdr:spPr>
          <a:xfrm>
            <a:off x="2330704" y="75754395"/>
            <a:ext cx="324000" cy="328970"/>
          </a:xfrm>
          <a:prstGeom prst="rect">
            <a:avLst/>
          </a:prstGeom>
          <a:solidFill>
            <a:srgbClr val="0070C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0]!맨아래로" textlink="">
        <xdr:nvSpPr>
          <xdr:cNvPr id="4" name="화살표: 아래쪽 3">
            <a:extLst>
              <a:ext uri="{FF2B5EF4-FFF2-40B4-BE49-F238E27FC236}">
                <a16:creationId xmlns:a16="http://schemas.microsoft.com/office/drawing/2014/main" id="{00000000-0008-0000-0200-000004000000}"/>
              </a:ext>
            </a:extLst>
          </xdr:cNvPr>
          <xdr:cNvSpPr/>
        </xdr:nvSpPr>
        <xdr:spPr>
          <a:xfrm>
            <a:off x="2357704" y="75774880"/>
            <a:ext cx="270000" cy="288000"/>
          </a:xfrm>
          <a:prstGeom prst="downArrow">
            <a:avLst>
              <a:gd name="adj1" fmla="val 50000"/>
              <a:gd name="adj2" fmla="val 51176"/>
            </a:avLst>
          </a:prstGeom>
          <a:solidFill>
            <a:sysClr val="window" lastClr="FFFFFF"/>
          </a:solidFill>
          <a:ln w="19050">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twoCellAnchor editAs="oneCell">
    <xdr:from>
      <xdr:col>12</xdr:col>
      <xdr:colOff>2528347</xdr:colOff>
      <xdr:row>0</xdr:row>
      <xdr:rowOff>34956</xdr:rowOff>
    </xdr:from>
    <xdr:to>
      <xdr:col>12</xdr:col>
      <xdr:colOff>3188781</xdr:colOff>
      <xdr:row>0</xdr:row>
      <xdr:rowOff>333421</xdr:rowOff>
    </xdr:to>
    <xdr:pic macro="[0]!필터해제">
      <xdr:nvPicPr>
        <xdr:cNvPr id="2" name="그림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3195182" y="34956"/>
          <a:ext cx="666784" cy="298465"/>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김 호진" id="{9E3D3C59-609F-4120-BEDC-29F79F333EFA}" userId="4c534996e8a30b21"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김호진" refreshedDate="45878.598561458333" createdVersion="8" refreshedVersion="8" minRefreshableVersion="3" recordCount="2227" xr:uid="{819BC0CC-C0D2-4048-BB2F-773FEAED0EB1}">
  <cacheSource type="worksheet">
    <worksheetSource ref="A1:M1048576" sheet="가계부"/>
  </cacheSource>
  <cacheFields count="15">
    <cacheField name="순번" numFmtId="0">
      <sharedItems containsBlank="1" count="2370">
        <s v="2022070101"/>
        <s v="2022070102"/>
        <s v="2022070103"/>
        <s v="2022070104"/>
        <s v="2022070105"/>
        <s v="2022070106"/>
        <s v="2022070107"/>
        <s v="2022070108"/>
        <s v="2022070109"/>
        <s v="2022070110"/>
        <s v="2022070201"/>
        <s v="2022070301"/>
        <s v="2022070302"/>
        <s v="2022070501"/>
        <s v="2022070601"/>
        <s v="2022070602"/>
        <s v="2022070701"/>
        <s v="2022070702"/>
        <s v="2022070703"/>
        <s v="2022070704"/>
        <s v="2022070705"/>
        <s v="2022070706"/>
        <s v="2022070801"/>
        <s v="2022070802"/>
        <s v="2022071001"/>
        <s v="2022071101"/>
        <s v="2022071102"/>
        <s v="2022071103"/>
        <s v="2022071104"/>
        <s v="2022071105"/>
        <s v="2022071106"/>
        <s v="2022071201"/>
        <s v="2022071202"/>
        <s v="2022071203"/>
        <s v="2022071301"/>
        <s v="2022071302"/>
        <s v="2022071303"/>
        <s v="2022071401"/>
        <s v="2022071402"/>
        <s v="2022071501"/>
        <s v="2022071502"/>
        <s v="2022071503"/>
        <s v="2022071601"/>
        <s v="2022071602"/>
        <s v="2022071801"/>
        <s v="2022071802"/>
        <s v="2022071901"/>
        <s v="2022071902"/>
        <s v="2022071903"/>
        <s v="2022072001"/>
        <s v="2022072002"/>
        <s v="2022072003"/>
        <s v="2022072101"/>
        <s v="2022072102"/>
        <s v="2022072103"/>
        <s v="2022072104"/>
        <s v="2022072201"/>
        <s v="2022072202"/>
        <s v="2022072301"/>
        <s v="2022072401"/>
        <s v="2022072402"/>
        <s v="2022072403"/>
        <s v="2022072404"/>
        <s v="2022072405"/>
        <s v="2022072501"/>
        <s v="2022072601"/>
        <s v="2022072701"/>
        <s v="2022072801"/>
        <s v="2022072802"/>
        <s v="2022072803"/>
        <s v="2022072901"/>
        <s v="2022073001"/>
        <s v="2022073101"/>
        <s v="2022073102"/>
        <s v="2022073103"/>
        <s v="2022073104"/>
        <s v="2022080101"/>
        <s v="2022080102"/>
        <s v="2022080201"/>
        <s v="2022080301"/>
        <s v="2022080302"/>
        <s v="2022080401"/>
        <s v="2022080402"/>
        <s v="2022080403"/>
        <s v="2022080501"/>
        <s v="2022080601"/>
        <s v="2022080701"/>
        <s v="2022080801"/>
        <s v="2022081001"/>
        <s v="2022081101"/>
        <s v="2022081102"/>
        <s v="2022081103"/>
        <s v="2022081104"/>
        <s v="2022081105"/>
        <s v="2022081106"/>
        <s v="2022081107"/>
        <s v="2022081108"/>
        <s v="2022081109"/>
        <s v="2022081110"/>
        <s v="2022081201"/>
        <s v="2022081202"/>
        <s v="2022081203"/>
        <s v="2022081204"/>
        <s v="2022081205"/>
        <s v="2022081301"/>
        <s v="2022081302"/>
        <s v="2022081601"/>
        <s v="2022081602"/>
        <s v="2022081801"/>
        <s v="2022081802"/>
        <s v="2022081803"/>
        <s v="2022081901"/>
        <s v="2022082001"/>
        <s v="2022082101"/>
        <s v="2022082102"/>
        <s v="2022082401"/>
        <s v="2022082501"/>
        <s v="2022082502"/>
        <s v="2022082503"/>
        <s v="2022082701"/>
        <s v="2022082702"/>
        <s v="2022082801"/>
        <s v="2022082901"/>
        <s v="2022082902"/>
        <s v="2022082903"/>
        <s v="2022082904"/>
        <s v="2022082905"/>
        <s v="2022083001"/>
        <s v="2022083101"/>
        <s v="2022083102"/>
        <s v="2022083103"/>
        <s v="2022090101"/>
        <s v="2022090102"/>
        <s v="2022090103"/>
        <s v="2022090201"/>
        <s v="2022090301"/>
        <s v="2022090302"/>
        <s v="2022090303"/>
        <s v="2022090501"/>
        <s v="2022090701"/>
        <s v="2022090702"/>
        <s v="2022090703"/>
        <s v="2022090704"/>
        <s v="2022090705"/>
        <s v="2022090801"/>
        <s v="2022090802"/>
        <s v="2022090803"/>
        <s v="2022090804"/>
        <s v="2022090805"/>
        <s v="2022090806"/>
        <s v="2022091101"/>
        <s v="2022091301"/>
        <s v="2022091302"/>
        <s v="2022091303"/>
        <s v="2022091304"/>
        <s v="2022091305"/>
        <s v="2022091306"/>
        <s v="2022091307"/>
        <s v="2022091308"/>
        <s v="2022091401"/>
        <s v="2022091402"/>
        <s v="2022091403"/>
        <s v="2022091404"/>
        <s v="2022091405"/>
        <s v="2022091406"/>
        <s v="2022091501"/>
        <s v="2022091502"/>
        <s v="2022091601"/>
        <s v="2022091701"/>
        <s v="2022091702"/>
        <s v="2022091703"/>
        <s v="2022091704"/>
        <s v="2022091705"/>
        <s v="2022091801"/>
        <s v="2022091802"/>
        <s v="2022091901"/>
        <s v="2022091902"/>
        <s v="2022091903"/>
        <s v="2022091904"/>
        <s v="2022092001"/>
        <s v="2022092002"/>
        <s v="2022092101"/>
        <s v="2022092102"/>
        <s v="2022092201"/>
        <s v="2022092202"/>
        <s v="2022092301"/>
        <s v="2022092302"/>
        <s v="2022092401"/>
        <s v="2022092402"/>
        <s v="2022092501"/>
        <s v="2022092601"/>
        <s v="2022092602"/>
        <s v="2022092701"/>
        <s v="2022092702"/>
        <s v="2022092703"/>
        <s v="2022092704"/>
        <s v="2022092705"/>
        <s v="2022092706"/>
        <s v="2022092801"/>
        <s v="2022092802"/>
        <s v="2022093001"/>
        <s v="2022093002"/>
        <s v="2022100201"/>
        <s v="2022100401"/>
        <s v="2022100402"/>
        <s v="2022100403"/>
        <s v="2022100404"/>
        <s v="2022100405"/>
        <s v="2022100501"/>
        <s v="2022100502"/>
        <s v="2022100503"/>
        <s v="2022100601"/>
        <s v="2022100701"/>
        <s v="2022100702"/>
        <s v="2022100901"/>
        <s v="2022101101"/>
        <s v="2022101102"/>
        <s v="2022101103"/>
        <s v="2022101104"/>
        <s v="2022101105"/>
        <s v="2022101106"/>
        <s v="2022101107"/>
        <s v="2022101108"/>
        <s v="2022101201"/>
        <s v="2022101202"/>
        <s v="2022101501"/>
        <s v="2022101502"/>
        <s v="2022101601"/>
        <s v="2022101602"/>
        <s v="2022101603"/>
        <s v="2022101604"/>
        <s v="2022101901"/>
        <s v="2022101902"/>
        <s v="2022101903"/>
        <s v="2022101904"/>
        <s v="2022101905"/>
        <s v="2022102101"/>
        <s v="2022102102"/>
        <s v="2022102401"/>
        <s v="2022102801"/>
        <s v="2022102802"/>
        <s v="2022102901"/>
        <s v="2022103101"/>
        <s v="2022110201"/>
        <s v="2022110301"/>
        <s v="2022110302"/>
        <s v="2022110303"/>
        <s v="2022110304"/>
        <s v="2022110501"/>
        <s v="2022110502"/>
        <s v="2022110601"/>
        <s v="2022110701"/>
        <s v="2022110702"/>
        <s v="2022110703"/>
        <s v="2022110704"/>
        <s v="2022110901"/>
        <s v="2022110902"/>
        <s v="2022110903"/>
        <s v="2022111001"/>
        <s v="2022111002"/>
        <s v="2022111003"/>
        <s v="2022111004"/>
        <s v="2022111101"/>
        <s v="2022111102"/>
        <s v="2022111103"/>
        <s v="2022111104"/>
        <s v="2022111105"/>
        <s v="2022111201"/>
        <s v="2022111202"/>
        <s v="2022111203"/>
        <s v="2022111204"/>
        <s v="2022111205"/>
        <s v="2022111401"/>
        <s v="2022111402"/>
        <s v="2022111403"/>
        <s v="2022111601"/>
        <s v="2022111602"/>
        <s v="2022111603"/>
        <s v="2022111604"/>
        <s v="2022111605"/>
        <s v="2022111606"/>
        <s v="2022111607"/>
        <s v="2022111608"/>
        <s v="2022111609"/>
        <s v="2022111610"/>
        <s v="2022111611"/>
        <s v="2022111612"/>
        <s v="2022111613"/>
        <s v="2022111701"/>
        <s v="2022111801"/>
        <s v="2022111802"/>
        <s v="2022111901"/>
        <s v="2022111902"/>
        <s v="2022112101"/>
        <s v="2022112102"/>
        <s v="2022112103"/>
        <s v="2022112104"/>
        <s v="2022112105"/>
        <s v="2022112201"/>
        <s v="2022112701"/>
        <s v="2022113001"/>
        <s v="2022120101"/>
        <s v="2022120102"/>
        <s v="2022120301"/>
        <s v="2022120501"/>
        <s v="2022120601"/>
        <s v="2022120602"/>
        <s v="2022120701"/>
        <s v="2022120702"/>
        <s v="2022120703"/>
        <s v="2022120801"/>
        <s v="2022120802"/>
        <s v="2022120901"/>
        <s v="2022121001"/>
        <s v="2022121002"/>
        <s v="2022121101"/>
        <s v="2022121201"/>
        <s v="2022121202"/>
        <s v="2022121301"/>
        <s v="2022121302"/>
        <s v="2022121401"/>
        <s v="2022121402"/>
        <s v="2022121403"/>
        <s v="2022121501"/>
        <s v="2022121502"/>
        <s v="2022121601"/>
        <s v="2022121602"/>
        <s v="2022121603"/>
        <s v="2022121604"/>
        <s v="2022121701"/>
        <s v="2022121702"/>
        <s v="2022121801"/>
        <s v="2022121901"/>
        <s v="2022121902"/>
        <s v="2022121903"/>
        <s v="2022122001"/>
        <s v="2022122002"/>
        <s v="2022122003"/>
        <s v="2022122101"/>
        <s v="2022122201"/>
        <s v="2022122202"/>
        <s v="2022122301"/>
        <s v="2022122302"/>
        <s v="2022122303"/>
        <s v="2022122304"/>
        <s v="2022122305"/>
        <s v="2022122306"/>
        <s v="2022122307"/>
        <s v="2022122308"/>
        <s v="2022122401"/>
        <s v="2022122402"/>
        <s v="2022122501"/>
        <s v="2022122601"/>
        <s v="2022122701"/>
        <s v="2022122702"/>
        <s v="2022122703"/>
        <s v="2022122801"/>
        <s v="2022122901"/>
        <s v="2022122902"/>
        <s v="2022123001"/>
        <s v="2022123002"/>
        <s v="2022123003"/>
        <s v="2022123004"/>
        <s v="2022123005"/>
        <s v="2022123006"/>
        <s v="2023010201"/>
        <s v="2023010301"/>
        <s v="2023010401"/>
        <s v="2023010402"/>
        <s v="2023010403"/>
        <s v="2023010404"/>
        <s v="2023010405"/>
        <s v="2023010501"/>
        <s v="2023010502"/>
        <s v="2023010601"/>
        <s v="2023010602"/>
        <s v="2023010603"/>
        <s v="2023010901"/>
        <s v="2023011001"/>
        <s v="2023011002"/>
        <s v="2023011003"/>
        <s v="2023011101"/>
        <s v="2023011102"/>
        <s v="2023011201"/>
        <s v="2023011202"/>
        <s v="2023011203"/>
        <s v="2023011204"/>
        <s v="2023011205"/>
        <s v="2023011301"/>
        <s v="2023011302"/>
        <s v="2023011303"/>
        <s v="2023011601"/>
        <s v="2023011602"/>
        <s v="2023011701"/>
        <s v="2023011702"/>
        <s v="2023011703"/>
        <s v="2023011704"/>
        <s v="2023012001"/>
        <s v="2023012002"/>
        <s v="2023012003"/>
        <s v="2023012101"/>
        <s v="2023012301"/>
        <s v="2023012302"/>
        <s v="2023012303"/>
        <s v="2023012304"/>
        <s v="2023012305"/>
        <s v="2023012401"/>
        <s v="2023012402"/>
        <s v="2023012501"/>
        <s v="2023012502"/>
        <s v="2023012701"/>
        <s v="2023012702"/>
        <s v="2023012703"/>
        <s v="2023013101"/>
        <s v="2023013102"/>
        <s v="2023020101"/>
        <s v="2023020301"/>
        <s v="2023020302"/>
        <s v="2023020303"/>
        <s v="2023020401"/>
        <s v="2023020402"/>
        <s v="2023020403"/>
        <s v="2023020404"/>
        <s v="2023020405"/>
        <s v="2023020701"/>
        <s v="2023020702"/>
        <s v="2023020703"/>
        <s v="2023020704"/>
        <s v="2023020705"/>
        <s v="2023020706"/>
        <s v="2023020901"/>
        <s v="2023020902"/>
        <s v="2023021101"/>
        <s v="2023021201"/>
        <s v="2023021301"/>
        <s v="2023021401"/>
        <s v="2023021601"/>
        <s v="2023021701"/>
        <s v="2023021702"/>
        <s v="2023021801"/>
        <s v="2023021802"/>
        <s v="2023021803"/>
        <s v="2023021804"/>
        <s v="2023021805"/>
        <s v="2023022001"/>
        <s v="2023022002"/>
        <s v="2023022101"/>
        <s v="2023022102"/>
        <s v="2023022103"/>
        <s v="2023022104"/>
        <s v="2023022201"/>
        <s v="2023022301"/>
        <s v="2023022302"/>
        <s v="2023022401"/>
        <s v="2023022402"/>
        <s v="2023022403"/>
        <s v="2023022501"/>
        <s v="2023022502"/>
        <s v="2023022503"/>
        <s v="2023022801"/>
        <s v="2023030101"/>
        <s v="2023030102"/>
        <s v="2023030103"/>
        <s v="2023030201"/>
        <s v="2023030202"/>
        <s v="2023030203"/>
        <s v="2023030204"/>
        <s v="2023030205"/>
        <s v="2023030301"/>
        <s v="2023030601"/>
        <s v="2023030602"/>
        <s v="2023030603"/>
        <s v="2023030701"/>
        <s v="2023030901"/>
        <s v="2023031001"/>
        <s v="2023031301"/>
        <s v="2023031302"/>
        <s v="2023031401"/>
        <s v="2023031402"/>
        <s v="2023031403"/>
        <s v="2023031601"/>
        <s v="2023031701"/>
        <s v="2023031702"/>
        <s v="2023031703"/>
        <s v="2023031704"/>
        <s v="2023031705"/>
        <s v="2023031706"/>
        <s v="2023031707"/>
        <s v="2023031708"/>
        <s v="2023031709"/>
        <s v="2023031901"/>
        <s v="2023031902"/>
        <s v="2023032001"/>
        <s v="2023032002"/>
        <s v="2023032003"/>
        <s v="2023032004"/>
        <s v="2023032005"/>
        <s v="2023032006"/>
        <s v="2023032007"/>
        <s v="2023032101"/>
        <s v="2023032201"/>
        <s v="2023032202"/>
        <s v="2023032301"/>
        <s v="2023032302"/>
        <s v="2023032401"/>
        <s v="2023032402"/>
        <s v="2023032501"/>
        <s v="2023032502"/>
        <s v="2023032503"/>
        <s v="2023032504"/>
        <s v="2023032701"/>
        <s v="2023032702"/>
        <s v="2023032703"/>
        <s v="2023032801"/>
        <s v="2023032802"/>
        <s v="2023032901"/>
        <s v="2023033001"/>
        <s v="2023033002"/>
        <s v="2023033003"/>
        <s v="2023033101"/>
        <s v="2023033102"/>
        <s v="2023033103"/>
        <s v="2023033104"/>
        <s v="2023033105"/>
        <s v="2023040101"/>
        <s v="2023040201"/>
        <s v="2023040301"/>
        <s v="2023040302"/>
        <s v="2023040401"/>
        <s v="2023040402"/>
        <s v="2023040501"/>
        <s v="2023040502"/>
        <s v="2023040503"/>
        <s v="2023040601"/>
        <s v="2023040701"/>
        <s v="2023041001"/>
        <s v="2023041002"/>
        <s v="2023041101"/>
        <s v="2023041201"/>
        <s v="2023041301"/>
        <s v="2023041302"/>
        <s v="2023041303"/>
        <s v="2023041304"/>
        <s v="2023041305"/>
        <s v="2023041401"/>
        <s v="2023041402"/>
        <s v="2023041701"/>
        <s v="2023041702"/>
        <s v="2023041703"/>
        <s v="2023041801"/>
        <s v="2023041901"/>
        <s v="2023042001"/>
        <s v="2023042002"/>
        <s v="2023042101"/>
        <s v="2023042102"/>
        <s v="2023042401"/>
        <s v="2023042402"/>
        <s v="2023042403"/>
        <s v="2023042501"/>
        <s v="2023042502"/>
        <s v="2023042503"/>
        <s v="2023042701"/>
        <s v="2023042702"/>
        <s v="2023042801"/>
        <s v="2023042802"/>
        <s v="2023042803"/>
        <s v="2023042901"/>
        <s v="2023042902"/>
        <s v="2023042903"/>
        <s v="2023043001"/>
        <s v="2023050101"/>
        <s v="2023050102"/>
        <s v="2023050201"/>
        <s v="2023050202"/>
        <s v="2023050203"/>
        <s v="2023050204"/>
        <s v="2023050205"/>
        <s v="2023050206"/>
        <s v="2023050301"/>
        <s v="2023050302"/>
        <s v="2023050303"/>
        <s v="2023050304"/>
        <s v="2023050305"/>
        <s v="2023050401"/>
        <s v="2023050402"/>
        <s v="2023050403"/>
        <s v="2023050501"/>
        <s v="2023050502"/>
        <s v="2023050601"/>
        <s v="2023050801"/>
        <s v="2023050802"/>
        <s v="2023050803"/>
        <s v="2023050804"/>
        <s v="2023050805"/>
        <s v="2023050901"/>
        <s v="2023050902"/>
        <s v="2023051001"/>
        <s v="2023051002"/>
        <s v="2023051003"/>
        <s v="2023051004"/>
        <s v="2023051005"/>
        <s v="2023051101"/>
        <s v="2023051102"/>
        <s v="2023051201"/>
        <s v="2023051202"/>
        <s v="2023051203"/>
        <s v="2023051501"/>
        <s v="2023051502"/>
        <s v="2023051601"/>
        <s v="2023051602"/>
        <s v="2023051603"/>
        <s v="2023051701"/>
        <s v="2023051801"/>
        <s v="2023051802"/>
        <s v="2023051803"/>
        <s v="2023051901"/>
        <s v="2023051902"/>
        <s v="2023051903"/>
        <s v="2023051904"/>
        <s v="2023052101"/>
        <s v="2023052102"/>
        <s v="2023052103"/>
        <s v="2023052201"/>
        <s v="2023052202"/>
        <s v="2023052203"/>
        <s v="2023052204"/>
        <s v="2023052205"/>
        <s v="2023052301"/>
        <s v="2023052302"/>
        <s v="2023052401"/>
        <s v="2023052402"/>
        <s v="2023052501"/>
        <s v="2023052502"/>
        <s v="2023052503"/>
        <s v="2023052504"/>
        <s v="2023052601"/>
        <s v="2023052602"/>
        <s v="2023052603"/>
        <s v="2023052701"/>
        <s v="2023052801"/>
        <s v="2023053001"/>
        <s v="2023053002"/>
        <s v="2023053003"/>
        <s v="2023053004"/>
        <s v="2023053005"/>
        <s v="2023053101"/>
        <s v="2023053102"/>
        <s v="2023060101"/>
        <s v="2023060102"/>
        <s v="2023060103"/>
        <s v="2023060201"/>
        <s v="2023060202"/>
        <s v="2023060203"/>
        <s v="2023060204"/>
        <s v="2023060301"/>
        <s v="2023060302"/>
        <s v="2023060501"/>
        <s v="2023060502"/>
        <s v="2023060503"/>
        <s v="2023060504"/>
        <s v="2023060505"/>
        <s v="2023060601"/>
        <s v="2023060602"/>
        <s v="2023060701"/>
        <s v="2023060702"/>
        <s v="2023060703"/>
        <s v="2023060704"/>
        <s v="2023060801"/>
        <s v="2023060802"/>
        <s v="2023060803"/>
        <s v="2023060901"/>
        <s v="2023061201"/>
        <s v="2023061202"/>
        <s v="2023061203"/>
        <s v="2023061301"/>
        <s v="2023061302"/>
        <s v="2023061303"/>
        <s v="2023061401"/>
        <s v="2023061402"/>
        <s v="2023061403"/>
        <s v="2023061501"/>
        <s v="2023061502"/>
        <s v="2023061503"/>
        <s v="2023061601"/>
        <s v="2023061701"/>
        <s v="2023061702"/>
        <s v="2023061703"/>
        <s v="2023061704"/>
        <s v="2023062001"/>
        <s v="2023062002"/>
        <s v="2023062201"/>
        <s v="2023062401"/>
        <s v="2023062402"/>
        <s v="2023062801"/>
        <s v="2023062802"/>
        <s v="2023062901"/>
        <s v="2023063001"/>
        <s v="2023063002"/>
        <s v="2023063003"/>
        <s v="2023070201"/>
        <s v="2023070202"/>
        <s v="2023070203"/>
        <s v="2023070301"/>
        <s v="2023070302"/>
        <s v="2023070303"/>
        <s v="2023070401"/>
        <s v="2023070501"/>
        <s v="2023070502"/>
        <s v="2023070601"/>
        <s v="2023070602"/>
        <s v="2023070701"/>
        <s v="2023070702"/>
        <s v="2023070703"/>
        <s v="2023070704"/>
        <s v="2023070801"/>
        <s v="2023070802"/>
        <s v="2023070803"/>
        <s v="2023070804"/>
        <s v="2023071201"/>
        <s v="2023071202"/>
        <s v="2023071301"/>
        <s v="2023071401"/>
        <s v="2023071501"/>
        <s v="2023071502"/>
        <s v="2023071503"/>
        <s v="2023071504"/>
        <s v="2023071601"/>
        <s v="2023071701"/>
        <s v="2023071702"/>
        <s v="2023071801"/>
        <s v="2023071802"/>
        <s v="2023071901"/>
        <s v="2023072001"/>
        <s v="2023072002"/>
        <s v="2023072003"/>
        <s v="2023072201"/>
        <s v="2023072202"/>
        <s v="2023072203"/>
        <s v="2023072204"/>
        <s v="2023072401"/>
        <s v="2023072601"/>
        <s v="2023072602"/>
        <s v="2023072801"/>
        <s v="2023072802"/>
        <s v="2023072803"/>
        <s v="2023072901"/>
        <s v="2023072902"/>
        <s v="2023072903"/>
        <s v="2023073001"/>
        <s v="2023073101"/>
        <s v="2023073102"/>
        <s v="2023073103"/>
        <s v="2023080101"/>
        <s v="2023080102"/>
        <s v="2023080103"/>
        <s v="2023080104"/>
        <s v="2023080105"/>
        <s v="2023080106"/>
        <s v="2023080201"/>
        <s v="2023080202"/>
        <s v="2023080301"/>
        <s v="2023080302"/>
        <s v="2023080401"/>
        <s v="2023080402"/>
        <s v="2023080403"/>
        <s v="2023080404"/>
        <s v="2023080501"/>
        <s v="2023080502"/>
        <s v="2023080701"/>
        <s v="2023080702"/>
        <s v="2023080703"/>
        <s v="2023080801"/>
        <s v="2023080802"/>
        <s v="2023080803"/>
        <s v="2023080804"/>
        <s v="2023080901"/>
        <s v="2023080902"/>
        <s v="2023080903"/>
        <s v="2023080904"/>
        <s v="2023080905"/>
        <s v="2023080906"/>
        <s v="2023080907"/>
        <s v="2023080908"/>
        <s v="2023081101"/>
        <s v="2023081102"/>
        <s v="2023081103"/>
        <s v="2023081104"/>
        <s v="2023081105"/>
        <s v="2023081401"/>
        <s v="2023081402"/>
        <s v="2023081403"/>
        <s v="2023081404"/>
        <s v="2023081405"/>
        <s v="2023081406"/>
        <s v="2023081407"/>
        <s v="2023081501"/>
        <s v="2023081601"/>
        <s v="2023081602"/>
        <s v="2023081603"/>
        <s v="2023081604"/>
        <s v="2023081701"/>
        <s v="2023081702"/>
        <s v="2023081801"/>
        <s v="2023081802"/>
        <s v="2023081901"/>
        <s v="2023081902"/>
        <s v="2023081903"/>
        <s v="2023081904"/>
        <s v="2023082001"/>
        <s v="2023082002"/>
        <s v="2023082101"/>
        <s v="2023082102"/>
        <s v="2023082103"/>
        <s v="2023082201"/>
        <s v="2023082202"/>
        <s v="2023082203"/>
        <s v="2023082204"/>
        <s v="2023082205"/>
        <s v="2023082206"/>
        <s v="2023082301"/>
        <s v="2023082302"/>
        <s v="2023083001"/>
        <s v="2023083101"/>
        <s v="2023083102"/>
        <s v="2023083103"/>
        <s v="2023083104"/>
        <s v="2023090101"/>
        <s v="2023090102"/>
        <s v="2023090103"/>
        <s v="2023090104"/>
        <s v="2023090105"/>
        <s v="2023090201"/>
        <s v="2023090202"/>
        <s v="2023090401"/>
        <s v="2023090402"/>
        <s v="2023090403"/>
        <s v="2023090404"/>
        <s v="2023090501"/>
        <s v="2023090502"/>
        <s v="2023090601"/>
        <s v="2023090602"/>
        <s v="2023090603"/>
        <s v="2023090701"/>
        <s v="2023090702"/>
        <s v="2023090703"/>
        <s v="2023090704"/>
        <s v="2023090801"/>
        <s v="2023090802"/>
        <s v="2023090803"/>
        <s v="2023090901"/>
        <s v="2023091101"/>
        <s v="2023091102"/>
        <s v="2023091103"/>
        <s v="2023091201"/>
        <s v="2023091202"/>
        <s v="2023091301"/>
        <s v="2023091302"/>
        <s v="2023091303"/>
        <s v="2023091401"/>
        <s v="2023091402"/>
        <s v="2023091403"/>
        <s v="2023091404"/>
        <s v="2023091501"/>
        <s v="2023091502"/>
        <s v="2023091701"/>
        <s v="2023091702"/>
        <s v="2023091801"/>
        <s v="2023091802"/>
        <s v="2023091901"/>
        <s v="2023091902"/>
        <s v="2023091903"/>
        <s v="2023091904"/>
        <s v="2023091905"/>
        <s v="2023092001"/>
        <s v="2023092002"/>
        <s v="2023092003"/>
        <s v="2023092004"/>
        <s v="2023092005"/>
        <s v="2023092006"/>
        <s v="2023092101"/>
        <s v="2023092102"/>
        <s v="2023092103"/>
        <s v="2023092201"/>
        <s v="2023092202"/>
        <s v="2023092203"/>
        <s v="2023092204"/>
        <s v="2023092301"/>
        <s v="2023092302"/>
        <s v="2023092303"/>
        <s v="2023092304"/>
        <s v="2023092305"/>
        <s v="2023092306"/>
        <s v="2023092307"/>
        <s v="2023092308"/>
        <s v="2023092309"/>
        <s v="2023092501"/>
        <s v="2023092601"/>
        <s v="2023092602"/>
        <s v="2023092603"/>
        <s v="2023092701"/>
        <s v="2023092702"/>
        <s v="2023092703"/>
        <s v="2023092801"/>
        <s v="2023092802"/>
        <s v="2023092901"/>
        <s v="2023092902"/>
        <s v="2023093001"/>
        <s v="2023100101"/>
        <s v="2023100201"/>
        <s v="2023100202"/>
        <s v="2023100203"/>
        <s v="2023100301"/>
        <s v="2023100302"/>
        <s v="2023100303"/>
        <s v="2023100401"/>
        <s v="2023100402"/>
        <s v="2023100501"/>
        <s v="2023100502"/>
        <s v="2023100503"/>
        <s v="2023100601"/>
        <s v="2023100602"/>
        <s v="2023100603"/>
        <s v="2023100604"/>
        <s v="2023100605"/>
        <s v="2023100606"/>
        <s v="2023100701"/>
        <s v="2023100702"/>
        <s v="2023100801"/>
        <s v="2023100901"/>
        <s v="2023101001"/>
        <s v="2023101002"/>
        <s v="2023101003"/>
        <s v="2023101004"/>
        <s v="2023101005"/>
        <s v="2023101006"/>
        <s v="2023101101"/>
        <s v="2023101102"/>
        <s v="2023101103"/>
        <s v="2023101201"/>
        <s v="2023101202"/>
        <s v="2023101203"/>
        <s v="2023101204"/>
        <s v="2023101301"/>
        <s v="2023101302"/>
        <s v="2023101303"/>
        <s v="2023101401"/>
        <s v="2023101402"/>
        <s v="2023101601"/>
        <s v="2023101602"/>
        <s v="2023101603"/>
        <s v="2023101701"/>
        <s v="2023101702"/>
        <s v="2023101703"/>
        <s v="2023101704"/>
        <s v="2023101801"/>
        <s v="2023101802"/>
        <s v="2023101803"/>
        <s v="2023101901"/>
        <s v="2023101902"/>
        <s v="2023101903"/>
        <s v="2023102001"/>
        <s v="2023102002"/>
        <s v="2023102101"/>
        <s v="2023102102"/>
        <s v="2023102103"/>
        <s v="2023102104"/>
        <s v="2023102201"/>
        <s v="2023102202"/>
        <s v="2023102301"/>
        <s v="2023102302"/>
        <s v="2023102303"/>
        <s v="2023102401"/>
        <s v="2023102402"/>
        <s v="2023102403"/>
        <s v="2023102501"/>
        <s v="2023102502"/>
        <s v="2023102601"/>
        <s v="2023102602"/>
        <s v="2023102701"/>
        <s v="2023102801"/>
        <s v="2023102802"/>
        <s v="2023102803"/>
        <s v="2023102804"/>
        <s v="2023102805"/>
        <s v="2023102806"/>
        <s v="2023103001"/>
        <s v="2023103002"/>
        <s v="2023103003"/>
        <s v="2023103004"/>
        <s v="2023103005"/>
        <s v="2023103006"/>
        <s v="2023103101"/>
        <s v="2023103102"/>
        <s v="2023103103"/>
        <s v="2023103104"/>
        <s v="2023103105"/>
        <s v="2023103106"/>
        <s v="2023110101"/>
        <s v="2023110102"/>
        <s v="2023110103"/>
        <s v="2023110201"/>
        <s v="2023110301"/>
        <s v="2023110302"/>
        <s v="2023110303"/>
        <s v="2023110601"/>
        <s v="2023110602"/>
        <s v="2023110701"/>
        <s v="2023110702"/>
        <s v="2023110703"/>
        <s v="2023110801"/>
        <s v="2023110802"/>
        <s v="2023110803"/>
        <s v="2023110804"/>
        <s v="2023110901"/>
        <s v="2023110902"/>
        <s v="2023110903"/>
        <s v="2023111001"/>
        <s v="2023111002"/>
        <s v="2023111003"/>
        <s v="2023111101"/>
        <s v="2023111102"/>
        <s v="2023111103"/>
        <s v="2023111301"/>
        <s v="2023111302"/>
        <s v="2023111303"/>
        <s v="2023111401"/>
        <s v="2023111402"/>
        <s v="2023111501"/>
        <s v="2023111502"/>
        <s v="2023111601"/>
        <s v="2023111602"/>
        <s v="2023111603"/>
        <s v="2023111604"/>
        <s v="2023111701"/>
        <s v="2023111702"/>
        <s v="2023111801"/>
        <s v="2023111802"/>
        <s v="2023111803"/>
        <s v="2023112001"/>
        <s v="2023112002"/>
        <s v="2023112003"/>
        <s v="2023112101"/>
        <s v="2023112102"/>
        <s v="2023112201"/>
        <s v="2023112202"/>
        <s v="2023112203"/>
        <s v="2023112204"/>
        <s v="2023112301"/>
        <s v="2023112302"/>
        <s v="2023112303"/>
        <s v="2023112401"/>
        <s v="2023112402"/>
        <s v="2023112403"/>
        <s v="2023112501"/>
        <s v="2023112502"/>
        <s v="2023112701"/>
        <s v="2023112702"/>
        <s v="2023112801"/>
        <s v="2023112802"/>
        <s v="2023112901"/>
        <s v="2023112902"/>
        <s v="2023113001"/>
        <s v="2023113002"/>
        <s v="2023113003"/>
        <s v="2023120101"/>
        <s v="2023120102"/>
        <s v="2023120103"/>
        <s v="2023120104"/>
        <s v="2023120201"/>
        <s v="2023120202"/>
        <s v="2023120401"/>
        <s v="2023120402"/>
        <s v="2023120403"/>
        <s v="2023120501"/>
        <s v="2023120502"/>
        <s v="2023120503"/>
        <s v="2023120504"/>
        <s v="2023120505"/>
        <s v="2023120506"/>
        <s v="2023120601"/>
        <s v="2023120602"/>
        <s v="2023120603"/>
        <s v="2023120701"/>
        <s v="2023120702"/>
        <s v="2023120703"/>
        <s v="2023120801"/>
        <s v="2023120802"/>
        <s v="2023120901"/>
        <s v="2023121001"/>
        <s v="2023121101"/>
        <s v="2023121201"/>
        <s v="2023121202"/>
        <s v="2023121203"/>
        <s v="2023121204"/>
        <s v="2023121301"/>
        <s v="2023121302"/>
        <s v="2023121401"/>
        <s v="2023121402"/>
        <s v="2023121501"/>
        <s v="2023121502"/>
        <s v="2023121601"/>
        <s v="2023121602"/>
        <s v="2023121603"/>
        <s v="2023121604"/>
        <s v="2023121605"/>
        <s v="2023121801"/>
        <s v="2023121901"/>
        <s v="2023121902"/>
        <s v="2023122101"/>
        <s v="2023122102"/>
        <s v="2023122103"/>
        <s v="2023122104"/>
        <s v="2023122201"/>
        <s v="2023122202"/>
        <s v="2023122203"/>
        <s v="2023122204"/>
        <s v="2023122205"/>
        <s v="2023122206"/>
        <s v="2023122207"/>
        <s v="2023122208"/>
        <s v="2023122601"/>
        <s v="2023122701"/>
        <s v="2023122702"/>
        <s v="2023122901"/>
        <s v="2023123001"/>
        <s v="2023123002"/>
        <s v="2024010201"/>
        <s v="2024010301"/>
        <s v="2024010302"/>
        <s v="2024010303"/>
        <s v="2024010401"/>
        <s v="2024010402"/>
        <s v="2024010501"/>
        <s v="2024010502"/>
        <s v="2024010503"/>
        <s v="2024010504"/>
        <s v="2024010505"/>
        <s v="2024010506"/>
        <s v="2024010601"/>
        <s v="2024010602"/>
        <s v="2024010603"/>
        <s v="2024010604"/>
        <s v="2024010605"/>
        <s v="2024010801"/>
        <s v="2024010802"/>
        <s v="2024010803"/>
        <s v="2024010804"/>
        <s v="2024010805"/>
        <s v="2024010806"/>
        <s v="2024010901"/>
        <s v="2024010902"/>
        <s v="2024010903"/>
        <s v="2024011001"/>
        <s v="2024011002"/>
        <s v="2024011101"/>
        <s v="2024011301"/>
        <s v="2024011302"/>
        <s v="2024011303"/>
        <s v="2024011401"/>
        <s v="2024011501"/>
        <s v="2024011601"/>
        <s v="2024011602"/>
        <s v="2024011603"/>
        <s v="2024011701"/>
        <s v="2024011702"/>
        <s v="2024011801"/>
        <s v="2024011802"/>
        <s v="2024012001"/>
        <s v="2024012002"/>
        <s v="2024012003"/>
        <s v="2024012004"/>
        <s v="2024012005"/>
        <s v="2024012101"/>
        <s v="2024012201"/>
        <s v="2024012301"/>
        <s v="2024012302"/>
        <s v="2024012303"/>
        <s v="2024012501"/>
        <s v="2024012502"/>
        <s v="2024012503"/>
        <s v="2024012504"/>
        <s v="2024012505"/>
        <s v="2024012601"/>
        <s v="2024012701"/>
        <s v="2024012702"/>
        <s v="2024012703"/>
        <s v="2024012704"/>
        <s v="2024012801"/>
        <s v="2024012802"/>
        <s v="2024012803"/>
        <s v="2024012804"/>
        <s v="2024012901"/>
        <s v="2024012902"/>
        <s v="2024013001"/>
        <s v="2024013101"/>
        <s v="2024013102"/>
        <s v="2024013103"/>
        <s v="2024013104"/>
        <s v="2024020101"/>
        <s v="2024020102"/>
        <s v="2024020103"/>
        <s v="2024020104"/>
        <s v="2024020201"/>
        <s v="2024020301"/>
        <s v="2024020501"/>
        <s v="2024020502"/>
        <s v="2024020601"/>
        <s v="2024020701"/>
        <s v="2024020801"/>
        <s v="2024020802"/>
        <s v="2024020803"/>
        <s v="2024021001"/>
        <s v="2024021002"/>
        <s v="2024021003"/>
        <s v="2024021101"/>
        <s v="2024021201"/>
        <s v="2024021202"/>
        <s v="2024021301"/>
        <s v="2024021302"/>
        <s v="2024021303"/>
        <s v="2024021304"/>
        <s v="2024021401"/>
        <s v="2024021402"/>
        <s v="2024021403"/>
        <s v="2024021404"/>
        <s v="2024021405"/>
        <s v="2024021406"/>
        <s v="2024021501"/>
        <s v="2024021502"/>
        <s v="2024021503"/>
        <s v="2024021601"/>
        <s v="2024021602"/>
        <s v="2024022001"/>
        <s v="2024022101"/>
        <s v="2024022102"/>
        <s v="2024022103"/>
        <s v="2024022201"/>
        <s v="2024022202"/>
        <s v="2024022701"/>
        <s v="2024022801"/>
        <s v="2024022802"/>
        <s v="2024022803"/>
        <s v="2024022901"/>
        <s v="2024030101"/>
        <s v="2024030102"/>
        <s v="2024030103"/>
        <s v="2024030201"/>
        <s v="2024030301"/>
        <s v="2024030302"/>
        <s v="2024030303"/>
        <s v="2024030304"/>
        <s v="2024030305"/>
        <s v="2024030306"/>
        <s v="2024030401"/>
        <s v="2024030402"/>
        <s v="2024030501"/>
        <s v="2024030502"/>
        <s v="2024030503"/>
        <s v="2024030504"/>
        <s v="2024030601"/>
        <s v="2024030602"/>
        <s v="2024030603"/>
        <s v="2024030604"/>
        <s v="2024030701"/>
        <s v="2024030702"/>
        <s v="2024030801"/>
        <s v="2024030901"/>
        <s v="2024031101"/>
        <s v="2024031102"/>
        <s v="2024031201"/>
        <s v="2024031202"/>
        <s v="2024031203"/>
        <s v="2024031301"/>
        <s v="2024031302"/>
        <s v="2024031303"/>
        <s v="2024031401"/>
        <s v="2024031402"/>
        <s v="2024031501"/>
        <s v="2024031502"/>
        <s v="2024031503"/>
        <s v="2024031601"/>
        <s v="2024031602"/>
        <s v="2024031701"/>
        <s v="2024031702"/>
        <s v="2024031703"/>
        <s v="2024031801"/>
        <s v="2024031802"/>
        <s v="2024031803"/>
        <s v="2024031901"/>
        <s v="2024031902"/>
        <s v="2024032001"/>
        <s v="2024032002"/>
        <s v="2024032003"/>
        <s v="2024032004"/>
        <s v="2024032005"/>
        <s v="2024032006"/>
        <s v="2024032101"/>
        <s v="2024032102"/>
        <s v="2024032201"/>
        <s v="2024032202"/>
        <s v="2024032203"/>
        <s v="2024032204"/>
        <s v="2024032501"/>
        <s v="2024032502"/>
        <s v="2024032601"/>
        <s v="2024032602"/>
        <s v="2024032603"/>
        <s v="2024032701"/>
        <s v="2024032702"/>
        <s v="2024032801"/>
        <s v="2024032802"/>
        <s v="2024032901"/>
        <s v="2024032902"/>
        <s v="2024032903"/>
        <s v="2024033001"/>
        <s v="2024040101"/>
        <s v="2024040102"/>
        <s v="2024040103"/>
        <s v="2024040104"/>
        <s v="2024040201"/>
        <s v="2024040202"/>
        <s v="2024040203"/>
        <s v="2024040301"/>
        <s v="2024040302"/>
        <s v="2024040303"/>
        <s v="2024040401"/>
        <s v="2024040402"/>
        <s v="2024040403"/>
        <s v="2024040404"/>
        <s v="2024040501"/>
        <s v="2024040502"/>
        <s v="2024040503"/>
        <s v="2024040504"/>
        <s v="2024040601"/>
        <s v="2024040602"/>
        <s v="2024040701"/>
        <s v="2024040702"/>
        <s v="2024040801"/>
        <s v="2024040802"/>
        <s v="2024040803"/>
        <s v="2024040901"/>
        <s v="2024041001"/>
        <s v="2024041002"/>
        <s v="2024041101"/>
        <s v="2024041102"/>
        <s v="2024041201"/>
        <s v="2024041202"/>
        <s v="2024041301"/>
        <s v="2024041302"/>
        <s v="2024041401"/>
        <s v="2024041402"/>
        <s v="2024041501"/>
        <s v="2024041601"/>
        <s v="2024041602"/>
        <s v="2024041603"/>
        <s v="2024041701"/>
        <s v="2024041702"/>
        <s v="2024041703"/>
        <s v="2024041801"/>
        <s v="2024041901"/>
        <s v="2024041902"/>
        <s v="2024042001"/>
        <s v="2024042101"/>
        <s v="2024042201"/>
        <s v="2024042202"/>
        <s v="2024042203"/>
        <s v="2024042204"/>
        <s v="2024042205"/>
        <s v="2024042206"/>
        <s v="2024042301"/>
        <s v="2024042302"/>
        <s v="2024042401"/>
        <s v="2024042402"/>
        <s v="2024042403"/>
        <s v="2024042501"/>
        <s v="2024042502"/>
        <s v="2024042601"/>
        <s v="2024042602"/>
        <s v="2024042701"/>
        <s v="2024042702"/>
        <s v="2024042801"/>
        <s v="2024042901"/>
        <s v="2024042902"/>
        <s v="2024042903"/>
        <s v="2024042904"/>
        <s v="2024042905"/>
        <s v="2024042906"/>
        <s v="2024043001"/>
        <s v="2024043002"/>
        <s v="2024043003"/>
        <s v="2024050101"/>
        <s v="2024050102"/>
        <s v="2024050103"/>
        <s v="2024050104"/>
        <s v="2024050201"/>
        <s v="2024050202"/>
        <s v="2024050203"/>
        <s v="2024050301"/>
        <s v="2024050302"/>
        <s v="2024050401"/>
        <s v="2024050501"/>
        <s v="2024050502"/>
        <s v="2024050601"/>
        <s v="2024050602"/>
        <s v="2024050701"/>
        <s v="2024050702"/>
        <s v="2024050703"/>
        <s v="2024050801"/>
        <s v="2024050802"/>
        <s v="2024050803"/>
        <s v="2024050804"/>
        <s v="2024050805"/>
        <s v="2024050901"/>
        <s v="2024050902"/>
        <s v="2024050903"/>
        <s v="2024051001"/>
        <s v="2024051002"/>
        <s v="2024051003"/>
        <s v="2024051101"/>
        <s v="2024051102"/>
        <s v="2024051201"/>
        <s v="2024051301"/>
        <s v="2024051302"/>
        <s v="2024051401"/>
        <s v="2024051501"/>
        <s v="2024051502"/>
        <s v="2024051601"/>
        <s v="2024051602"/>
        <s v="2024051603"/>
        <s v="2024051701"/>
        <s v="2024051702"/>
        <s v="2024051703"/>
        <s v="2024051801"/>
        <s v="2024051802"/>
        <s v="2024051803"/>
        <s v="2024051804"/>
        <s v="2024051901"/>
        <s v="2024052001"/>
        <s v="2024052002"/>
        <s v="2024052101"/>
        <s v="2024052102"/>
        <s v="2024052201"/>
        <s v="2024052202"/>
        <s v="2024052203"/>
        <s v="2024052204"/>
        <s v="2024052301"/>
        <s v="2024052302"/>
        <s v="2024052303"/>
        <s v="2024052401"/>
        <s v="2024052402"/>
        <s v="2024052501"/>
        <s v="2024052502"/>
        <s v="2024052701"/>
        <s v="2024052702"/>
        <s v="2024052703"/>
        <s v="2024052704"/>
        <s v="2024052801"/>
        <s v="2024052802"/>
        <s v="2024052901"/>
        <s v="2024052902"/>
        <s v="2024052903"/>
        <s v="2024052904"/>
        <s v="2024053001"/>
        <s v="2024053002"/>
        <s v="2024053003"/>
        <s v="2024053004"/>
        <s v="2024053101"/>
        <s v="2024053102"/>
        <s v="2024053103"/>
        <s v="2024060101"/>
        <s v="2024060102"/>
        <s v="2024060301"/>
        <s v="2024060302"/>
        <s v="2024060303"/>
        <s v="2024060401"/>
        <s v="2024060402"/>
        <s v="2024060403"/>
        <s v="2024060501"/>
        <s v="2024060502"/>
        <s v="2024060503"/>
        <s v="2024060601"/>
        <s v="2024060602"/>
        <s v="2024060701"/>
        <s v="2024060702"/>
        <s v="2024060703"/>
        <s v="2024060801"/>
        <s v="2024060802"/>
        <s v="2024060901"/>
        <s v="2024060902"/>
        <s v="2024061001"/>
        <s v="2024061002"/>
        <s v="2024061003"/>
        <s v="2024061004"/>
        <s v="2024061005"/>
        <s v="2024061006"/>
        <s v="2024061007"/>
        <s v="2024061101"/>
        <s v="2024061102"/>
        <s v="2024061103"/>
        <s v="2024061104"/>
        <s v="2024061105"/>
        <s v="2024061201"/>
        <s v="2024061301"/>
        <s v="2024061302"/>
        <s v="2024061303"/>
        <s v="2024061304"/>
        <s v="2024061401"/>
        <s v="2024061402"/>
        <s v="2024061403"/>
        <s v="2024061404"/>
        <s v="2024061405"/>
        <s v="2024061406"/>
        <s v="2024061501"/>
        <s v="2024061502"/>
        <s v="2024061901"/>
        <s v="2024061902"/>
        <s v="2024061903"/>
        <s v="2024061904"/>
        <s v="2024062001"/>
        <s v="2024062002"/>
        <s v="2024062101"/>
        <s v="2024062401"/>
        <s v="2024062601"/>
        <s v="2024062602"/>
        <s v="2024062603"/>
        <s v="2024062701"/>
        <s v="2024062702"/>
        <s v="2024062801"/>
        <s v="2024062802"/>
        <s v="2024062901"/>
        <s v="2024062902"/>
        <s v="2024063001"/>
        <s v="2024063002"/>
        <s v="2024063003"/>
        <s v="2024070101"/>
        <s v="2024070301"/>
        <s v="2024070401"/>
        <s v="2024070402"/>
        <s v="2024070403"/>
        <s v="2024070404"/>
        <s v="2024070405"/>
        <s v="2024070406"/>
        <s v="2024070407"/>
        <s v="2024070501"/>
        <s v="2024070601"/>
        <s v="2024070602"/>
        <s v="2024070603"/>
        <s v="2024070801"/>
        <s v="2024070901"/>
        <s v="2024070902"/>
        <s v="2024070903"/>
        <s v="2024070904"/>
        <s v="2024071001"/>
        <s v="2024071002"/>
        <s v="2024071003"/>
        <s v="2024071101"/>
        <s v="2024071201"/>
        <s v="2024071202"/>
        <s v="2024071203"/>
        <s v="2024071401"/>
        <s v="2024071402"/>
        <s v="2024071403"/>
        <s v="2024071501"/>
        <s v="2024071502"/>
        <s v="2024071503"/>
        <s v="2024071504"/>
        <s v="2024071505"/>
        <s v="2024071601"/>
        <s v="2024071801"/>
        <s v="2024071901"/>
        <s v="2024071902"/>
        <s v="2024072001"/>
        <s v="2024072002"/>
        <s v="2024072003"/>
        <s v="2024072101"/>
        <s v="2024072102"/>
        <s v="2024072201"/>
        <s v="2024072103"/>
        <s v="2024072301"/>
        <s v="2024072801"/>
        <s v="2024072802"/>
        <s v="2024072901"/>
        <s v="2024073001"/>
        <s v="2024073002"/>
        <s v="2024073003"/>
        <s v="2024073004"/>
        <s v="2024073005"/>
        <s v="2024073101"/>
        <s v="2024073102"/>
        <s v="2024073103"/>
        <s v="2024073104"/>
        <s v="2024073105"/>
        <s v="2024073106"/>
        <s v="2024080101"/>
        <s v="2024080102"/>
        <s v="2024080103"/>
        <s v="2024080201"/>
        <s v="2024080202"/>
        <s v="2024080203"/>
        <s v="2024080204"/>
        <s v="2024080301"/>
        <s v="2024080302"/>
        <s v="2024080401"/>
        <s v="2024080402"/>
        <s v="2024080501"/>
        <s v="2024080601"/>
        <s v="2024080602"/>
        <s v="2024080603"/>
        <s v="2024080701"/>
        <s v="2024080702"/>
        <s v="2024080801"/>
        <s v="2024080802"/>
        <s v="2024080803"/>
        <s v="2024080901"/>
        <s v="2024080902"/>
        <s v="2024080903"/>
        <s v="2024080904"/>
        <s v="2024081001"/>
        <s v="2024081002"/>
        <s v="2024081301"/>
        <s v="2024081401"/>
        <s v="2024081402"/>
        <s v="2024081701"/>
        <s v="2024082001"/>
        <s v="2024082002"/>
        <s v="2024082003"/>
        <s v="2024082101"/>
        <s v="2024082102"/>
        <s v="2024082103"/>
        <s v="2024082104"/>
        <s v="2024082105"/>
        <s v="2024082106"/>
        <s v="2024082201"/>
        <s v="2024082202"/>
        <s v="2024082203"/>
        <s v="2024082301"/>
        <s v="2024082302"/>
        <s v="2024082303"/>
        <s v="2024082304"/>
        <s v="2024082401"/>
        <s v="2024082402"/>
        <s v="2024082501"/>
        <s v="2024082502"/>
        <s v="2024082701"/>
        <s v="2024082702"/>
        <s v="2024082703"/>
        <s v="2024082801"/>
        <s v="2024082802"/>
        <s v="2024082803"/>
        <s v="2024082804"/>
        <s v="2024083001"/>
        <s v="2024083101"/>
        <s v="2024083102"/>
        <s v="2024083103"/>
        <s v="2024083104"/>
        <s v="2024090101"/>
        <s v="2024090201"/>
        <s v="2024090202"/>
        <s v="2024090203"/>
        <s v="2024090301"/>
        <s v="2024090401"/>
        <s v="2024090402"/>
        <s v="2024090403"/>
        <s v="2024090404"/>
        <s v="2024090601"/>
        <s v="2024090701"/>
        <s v="2024090702"/>
        <s v="2024090901"/>
        <s v="2024090902"/>
        <s v="2024091001"/>
        <s v="2024091002"/>
        <s v="2024091101"/>
        <s v="2024091102"/>
        <s v="2024091103"/>
        <s v="2024091201"/>
        <s v="2024091501"/>
        <s v="2024091502"/>
        <s v="2024091601"/>
        <s v="2024091701"/>
        <s v="2024091702"/>
        <s v="2024091801"/>
        <s v="2024091802"/>
        <s v="2024091901"/>
        <s v="2024092001"/>
        <s v="2024092101"/>
        <s v="2024092102"/>
        <s v="2024092401"/>
        <s v="2024092402"/>
        <s v="2024092403"/>
        <s v="2024092501"/>
        <s v="2024092801"/>
        <s v="2024092802"/>
        <s v="2024093001"/>
        <s v="2024093002"/>
        <s v="2024100101"/>
        <s v="2024100102"/>
        <s v="2024100103"/>
        <s v="2024100201"/>
        <s v="2024100301"/>
        <s v="2024100501"/>
        <s v="2024100502"/>
        <s v="2024100503"/>
        <s v="2024100504"/>
        <s v="2024100701"/>
        <s v="2024100702"/>
        <s v="2024100801"/>
        <s v="2024100802"/>
        <s v="2024100803"/>
        <s v="2024100804"/>
        <s v="2024101001"/>
        <s v="2024101002"/>
        <s v="2024101101"/>
        <s v="2024101102"/>
        <s v="2024101501"/>
        <s v="2024101502"/>
        <s v="2024101503"/>
        <s v="2024101601"/>
        <s v="2024101602"/>
        <s v="2024101603"/>
        <s v="2024101701"/>
        <s v="2024101801"/>
        <s v="2024101802"/>
        <s v="2024101803"/>
        <s v="2024101804"/>
        <s v="2024101901"/>
        <s v="2024102001"/>
        <s v="2024102101"/>
        <s v="2024102102"/>
        <s v="2024102103"/>
        <s v="2024102104"/>
        <s v="2024102201"/>
        <s v="2024102301"/>
        <s v="2024102302"/>
        <s v="2024102303"/>
        <s v="2024102501"/>
        <s v="2024102502"/>
        <s v="2024102503"/>
        <s v="2024102504"/>
        <s v="2024102601"/>
        <s v="2024102602"/>
        <s v="2024102603"/>
        <s v="2024102604"/>
        <s v="2024102701"/>
        <s v="2024102702"/>
        <s v="2024102901"/>
        <s v="2024102902"/>
        <s v="2024103001"/>
        <s v="2024103002"/>
        <s v="2024103101"/>
        <s v="2024103102"/>
        <s v="2024103103"/>
        <s v="2024103104"/>
        <s v="2024110101"/>
        <s v="2024110102"/>
        <s v="2024110301"/>
        <s v="2024110302"/>
        <s v="2024110303"/>
        <s v="2024110401"/>
        <s v="2024110501"/>
        <s v="2024110502"/>
        <s v="2024110503"/>
        <s v="2024110504"/>
        <s v="2024110601"/>
        <s v="2024110602"/>
        <s v="2024110603"/>
        <s v="2024110701"/>
        <s v="2024110702"/>
        <s v="2024110801"/>
        <s v="2024110802"/>
        <s v="2024110901"/>
        <s v="2024110902"/>
        <s v="2024110903"/>
        <s v="2024110904"/>
        <s v="2024110905"/>
        <s v="2024110906"/>
        <s v="2024111001"/>
        <s v="2024111101"/>
        <s v="2024111102"/>
        <s v="2024111201"/>
        <s v="2024111202"/>
        <s v="2024111203"/>
        <s v="2024111204"/>
        <s v="2024111301"/>
        <s v="2024111302"/>
        <s v="2024111401"/>
        <s v="2024111501"/>
        <s v="2024111601"/>
        <s v="2024111602"/>
        <s v="2024111603"/>
        <s v="2024111801"/>
        <s v="2024111802"/>
        <s v="2024111901"/>
        <s v="2024111902"/>
        <s v="2024112001"/>
        <s v="2024112002"/>
        <s v="2024112101"/>
        <s v="2024112102"/>
        <s v="2024112103"/>
        <s v="2024112201"/>
        <s v="2024112202"/>
        <s v="2024112203"/>
        <s v="2024112301"/>
        <s v="2024112302"/>
        <s v="2024112601"/>
        <s v="2024112602"/>
        <s v="2024112701"/>
        <s v="2024112702"/>
        <s v="2024112703"/>
        <s v="2024112704"/>
        <s v="2024112801"/>
        <s v="2024112901"/>
        <s v="2024113001"/>
        <s v="2024113002"/>
        <s v="2024120101"/>
        <s v="2024120102"/>
        <s v="2024120201"/>
        <s v="2024120301"/>
        <s v="2024120302"/>
        <s v="2024120303"/>
        <s v="2024120401"/>
        <s v="2024120402"/>
        <s v="2024120403"/>
        <s v="2024120404"/>
        <s v="2024120501"/>
        <s v="2024120601"/>
        <s v="2024120602"/>
        <s v="2024120701"/>
        <s v="2024120901"/>
        <s v="2024120902"/>
        <s v="2024121001"/>
        <s v="2024121002"/>
        <s v="2024121101"/>
        <s v="2024121201"/>
        <s v="2024121202"/>
        <s v="2024121301"/>
        <s v="2024121302"/>
        <s v="2024121401"/>
        <s v="2024121402"/>
        <s v="2024121601"/>
        <s v="2024121602"/>
        <s v="2024121603"/>
        <s v="2024121604"/>
        <s v="2024121701"/>
        <s v="2024121702"/>
        <s v="2024121703"/>
        <s v="2024122001"/>
        <s v="2024122201"/>
        <s v="2024122202"/>
        <s v="2024122601"/>
        <s v="2024122602"/>
        <s v="2024122603"/>
        <s v="2024122701"/>
        <s v="2024122702"/>
        <s v="2024122703"/>
        <s v="2024122704"/>
        <s v="2024122705"/>
        <s v="2024122801"/>
        <s v="2024122901"/>
        <s v="2024123001"/>
        <s v="2024123101"/>
        <s v="2024123102"/>
        <s v="2025010101"/>
        <s v="2025010201"/>
        <s v="2025010202"/>
        <s v="2025010401"/>
        <s v="2025010501"/>
        <s v="2025010601"/>
        <s v="2025010602"/>
        <s v="2025010603"/>
        <s v="2025010701"/>
        <s v="2025010901"/>
        <s v="2025010902"/>
        <s v="2025010903"/>
        <s v="2025011001"/>
        <s v="2025011002"/>
        <s v="2025011101"/>
        <s v="2025011201"/>
        <s v="2025011202"/>
        <s v="2025011203"/>
        <s v="2025011401"/>
        <s v="2025011701"/>
        <s v="2025011901"/>
        <s v="2025011902"/>
        <s v="2025011903"/>
        <s v="2025012001"/>
        <s v="2025012002"/>
        <s v="2025012101"/>
        <s v="2025012102"/>
        <s v="2025012103"/>
        <s v="2025012104"/>
        <s v="2025012201"/>
        <s v="2025012202"/>
        <s v="2025012301"/>
        <s v="2025012302"/>
        <s v="2025012303"/>
        <s v="2025012304"/>
        <s v="2025012305"/>
        <s v="2025012501"/>
        <s v="2025012701"/>
        <s v="2025013001"/>
        <s v="2025013101"/>
        <s v="2025020101"/>
        <s v="2025020102"/>
        <s v="2025020201"/>
        <s v="2025020202"/>
        <s v="2025020301"/>
        <s v="2025020302"/>
        <s v="2025020303"/>
        <s v="2025020304"/>
        <s v="2025020401"/>
        <s v="2025020402"/>
        <s v="2025020403"/>
        <s v="2025020501"/>
        <s v="2025020502"/>
        <s v="2025020503"/>
        <s v="2025020601"/>
        <s v="2025020602"/>
        <s v="2025020603"/>
        <s v="2025020604"/>
        <s v="2025020701"/>
        <s v="2025020801"/>
        <s v="2025020802"/>
        <s v="2025021001"/>
        <s v="2025021002"/>
        <s v="2025021101"/>
        <s v="2025021102"/>
        <s v="2025021301"/>
        <s v="2025021302"/>
        <s v="2025021501"/>
        <s v="2025021502"/>
        <s v="2025021503"/>
        <s v="2025021601"/>
        <s v="2025021602"/>
        <s v="2025021603"/>
        <s v="2025021701"/>
        <s v="2025021702"/>
        <s v="2025021703"/>
        <s v="2025021801"/>
        <s v="2025021802"/>
        <s v="2025021803"/>
        <s v="2025021804"/>
        <s v="2025021805"/>
        <s v="2025021901"/>
        <s v="2025022001"/>
        <s v="2025022401"/>
        <s v="2025022402"/>
        <s v="2025022403"/>
        <s v="2025022501"/>
        <s v="2025022502"/>
        <s v="2025022503"/>
        <s v="2025022701"/>
        <s v="2025022702"/>
        <s v="2025022801"/>
        <s v="2025022802"/>
        <s v="2025022803"/>
        <s v="2025022804"/>
        <s v="2025022805"/>
        <s v="2025022806"/>
        <s v="2025030101"/>
        <s v="2025030102"/>
        <s v="2025030201"/>
        <s v="2025030401"/>
        <s v="2025030402"/>
        <s v="2025030403"/>
        <s v="2025030501"/>
        <s v="2025030502"/>
        <s v="2025030503"/>
        <s v="2025030504"/>
        <s v="2025030601"/>
        <s v="2025030602"/>
        <s v="2025030801"/>
        <s v="2025030901"/>
        <s v="2025030902"/>
        <s v="2025031101"/>
        <s v="2025031201"/>
        <s v="2025031202"/>
        <s v="2025031301"/>
        <s v="2025031401"/>
        <s v="2025031402"/>
        <s v="2025031403"/>
        <s v="2025031404"/>
        <s v="2025031501"/>
        <s v="2025031502"/>
        <s v="2025031503"/>
        <s v="2025031601"/>
        <s v="2025031701"/>
        <s v="2025031702"/>
        <s v="2025031703"/>
        <s v="2025031704"/>
        <s v="2025031901"/>
        <s v="2025032001"/>
        <s v="2025032101"/>
        <s v="2025032102"/>
        <s v="2025032201"/>
        <s v="2025032202"/>
        <s v="2025032301"/>
        <s v="2025032302"/>
        <s v="2025032501"/>
        <s v="2025032502"/>
        <s v="2025032503"/>
        <s v="2025032701"/>
        <s v="2025032801"/>
        <s v="2025032901"/>
        <s v="2025033101"/>
        <s v="2025040101"/>
        <s v="2025040102"/>
        <s v="2025040301"/>
        <s v="2025040302"/>
        <s v="2025040401"/>
        <s v="2025040501"/>
        <s v="2025040502"/>
        <s v="2025040601"/>
        <s v="2025040701"/>
        <s v="2025040901"/>
        <s v="2025040902"/>
        <s v="2025040903"/>
        <s v="2025041201"/>
        <s v="2025041202"/>
        <s v="2025041203"/>
        <s v="2025041204"/>
        <s v="2025041601"/>
        <s v="2025041701"/>
        <s v="2025041801"/>
        <s v="2025041802"/>
        <s v="2025041901"/>
        <s v="2025042101"/>
        <s v="2025042102"/>
        <s v="2025042301"/>
        <s v="2025042401"/>
        <s v="2025042402"/>
        <s v="2025042403"/>
        <s v="2025042404"/>
        <s v="2025042405"/>
        <s v="2025042501"/>
        <s v="2025042502"/>
        <s v="2025042601"/>
        <s v="2025042701"/>
        <s v="2025042702"/>
        <s v="2025042703"/>
        <s v="2025042901"/>
        <s v="2025043001"/>
        <s v="2025050101"/>
        <s v="2025050102"/>
        <s v="2025050103"/>
        <s v="2025050201"/>
        <s v="2025050202"/>
        <s v="2025050501"/>
        <s v="2025050502"/>
        <s v="2025050601"/>
        <s v="2025050602"/>
        <s v="2025050801"/>
        <s v="2025050802"/>
        <s v="2025050803"/>
        <s v="2025050901"/>
        <s v="2025050902"/>
        <s v="2025050903"/>
        <s v="2025051301"/>
        <s v="2025051302"/>
        <s v="2025051303"/>
        <s v="2025051401"/>
        <s v="2025051501"/>
        <s v="2025051601"/>
        <s v="2025051602"/>
        <s v="2025051701"/>
        <s v="2025051702"/>
        <s v="2025051703"/>
        <s v="2025051704"/>
        <s v="2025051705"/>
        <s v="2025051801"/>
        <s v="2025051802"/>
        <s v="2025052001"/>
        <s v="2025052002"/>
        <s v="2025052101"/>
        <s v="2025052102"/>
        <s v="2025052103"/>
        <s v="2025052201"/>
        <s v="2025052202"/>
        <s v="2025052301"/>
        <s v="2025052302"/>
        <s v="2025052401"/>
        <s v="2025052402"/>
        <s v="2025052403"/>
        <s v="2025052501"/>
        <s v="2025052502"/>
        <s v="2025052601"/>
        <s v="2025052701"/>
        <s v="2025052801"/>
        <s v="2025052802"/>
        <s v="2025052901"/>
        <s v="2025053001"/>
        <s v="2025053002"/>
        <s v="2025053003"/>
        <s v="2025053101"/>
        <s v="2025053102"/>
        <s v="2025053103"/>
        <s v="2025053104"/>
        <s v="2025053105"/>
        <s v="2025060101"/>
        <s v="2025060102"/>
        <s v="2025060103"/>
        <s v="2025060201"/>
        <s v="2025060202"/>
        <s v="2025060203"/>
        <s v="2025060301"/>
        <s v="2025060401"/>
        <s v="2025060501"/>
        <s v="2025060502"/>
        <s v="2025060503"/>
        <s v="2025060504"/>
        <s v="2025060601"/>
        <s v="2025060602"/>
        <s v="2025060603"/>
        <s v="2025060801"/>
        <s v="2025060802"/>
        <s v="2025060803"/>
        <s v="2025060804"/>
        <s v="2025060805"/>
        <s v="2025060806"/>
        <s v="2025060901"/>
        <s v="2025060902"/>
        <s v="2025060903"/>
        <s v="2025060904"/>
        <s v="2025061001"/>
        <s v="2025061002"/>
        <s v="2025061003"/>
        <s v="2025061101"/>
        <s v="2025061102"/>
        <s v="2025061201"/>
        <s v="2025061202"/>
        <s v="2025061203"/>
        <s v="2025061301"/>
        <s v="2025061401"/>
        <s v="2025061501"/>
        <s v="2025061601"/>
        <s v="2025061701"/>
        <s v="2025061702"/>
        <s v="2025061703"/>
        <s v="2025061704"/>
        <s v="2025061705"/>
        <s v="2025061901"/>
        <s v="2025061902"/>
        <s v="2025061903"/>
        <s v="2025062001"/>
        <s v="2025062002"/>
        <s v="2025062101"/>
        <s v="2025062201"/>
        <s v="2025062301"/>
        <s v="2025062302"/>
        <s v="2025062303"/>
        <s v="2025062401"/>
        <s v="2025062601"/>
        <s v="2025062602"/>
        <s v="2025062701"/>
        <s v="2025062901"/>
        <s v="2025063001"/>
        <s v="2025063002"/>
        <s v="2025063003"/>
        <s v="2025070101"/>
        <s v="2025070201"/>
        <s v="2025070202"/>
        <s v="2025070301"/>
        <s v="2025070302"/>
        <s v="2025070401"/>
        <s v="2025070501"/>
        <s v="2025070502"/>
        <s v="2025070503"/>
        <s v="2025070504"/>
        <s v="2025070505"/>
        <s v="2025070701"/>
        <s v="2025070702"/>
        <s v="2025070703"/>
        <s v="2025070801"/>
        <s v="2025070802"/>
        <s v="2025070803"/>
        <s v="2025070804"/>
        <s v="2025070901"/>
        <s v="2025071001"/>
        <s v="2025071101"/>
        <s v="2025071102"/>
        <s v="2025071201"/>
        <s v="2025071401"/>
        <s v="2025071501"/>
        <s v="2025071601"/>
        <s v="2025071602"/>
        <s v="2025071801"/>
        <s v="2025071901"/>
        <s v="2025071902"/>
        <s v="2025071903"/>
        <s v="2025071904"/>
        <s v="2025072001"/>
        <s v="2025072002"/>
        <s v="2025072003"/>
        <s v="2025072004"/>
        <s v="2025072101"/>
        <s v="2025072102"/>
        <s v="2025072103"/>
        <s v="2025072104"/>
        <s v="2025072301"/>
        <s v="2025072302"/>
        <s v="2025072401"/>
        <s v="2025072601"/>
        <s v="2025072602"/>
        <s v="2025072603"/>
        <s v="2025072701"/>
        <s v="2025072702"/>
        <s v="2025072703"/>
        <s v="2025072704"/>
        <s v="2025072801"/>
        <s v="2025073001"/>
        <s v="2025073002"/>
        <s v="2025073101"/>
        <s v="2025073102"/>
        <s v="2025080101"/>
        <s v="2025080102"/>
        <s v="2025080201"/>
        <s v="2025080202"/>
        <s v="2025080203"/>
        <s v="2025080301"/>
        <s v="2025080501"/>
        <s v="2025080502"/>
        <s v="2025080503"/>
        <s v="2025080504"/>
        <s v="2025080505"/>
        <s v="2025080506"/>
        <s v="2025080701"/>
        <s v="2025080901"/>
        <m/>
        <s v="2025070704" u="1"/>
        <s v="2025060905" u="1"/>
        <s v="2025060402" u="1"/>
        <s v="2025060505" u="1"/>
        <s v="2025042602" u="1"/>
        <s v="2025050104" u="1"/>
        <s v="2025050105" u="1"/>
        <s v="2025040402" u="1"/>
        <s v="2025032802" u="1"/>
        <s v="2025031405" u="1"/>
        <s v="2025040103" u="1"/>
        <s v="2025040104" u="1"/>
        <s v="2025030505" u="1"/>
        <s v="2025031705" u="1"/>
        <s v="2025020103" u="1"/>
        <s v="2025011801" u="1"/>
        <s v="2025010102" u="1"/>
        <s v="2025010904" u="1"/>
        <s v="2024120502" u="1"/>
        <s v="2024113003" u="1"/>
        <s v="2024120103" u="1"/>
        <s v="2024112104" u="1"/>
        <s v="2024112204" u="1"/>
        <s v="2024111604" u="1"/>
        <s v="2024093003" u="1"/>
        <s v="2024091104" u="1"/>
        <s v="2024091105" u="1"/>
        <s v="2024091106" u="1"/>
        <s v="2024080403" u="1"/>
        <s v="2024080404" u="1"/>
        <s v="2024073107" u="1"/>
        <s v="2024073108" u="1"/>
        <s v="2024073006" u="1"/>
        <s v="2024073007" u="1"/>
        <s v="2024071404" u="1"/>
        <s v="2024071405" u="1"/>
        <s v="2024070201" u="1"/>
        <s v="2024070202" u="1"/>
        <s v="2024060504" u="1"/>
        <s v="2024061905" u="1"/>
        <s v="2024061906" u="1"/>
        <s v="2024060505" u="1"/>
        <s v="2024060103" u="1"/>
        <s v="2024050105" u="1"/>
        <s v="2024043004" u="1"/>
        <s v="2024040204" u="1"/>
        <s v="2024041502" u="1"/>
        <s v="2024040205" u="1"/>
        <s v="2024040603" u="1"/>
        <s v="2024031903" u="1"/>
        <s v="2024031904" u="1"/>
        <s v="2024031905" u="1"/>
        <s v="2024031906" u="1"/>
        <s v="2024030104" u="1"/>
        <s v="2024022002" u="1"/>
        <s v="2024030307" u="1"/>
        <s v="2024030202" u="1"/>
        <s v="2024030203" u="1"/>
        <s v="2024030204" u="1"/>
        <s v="2024030205" u="1"/>
        <s v="2024030206" u="1"/>
        <s v="2024030207" u="1"/>
        <s v="2024030208" u="1"/>
        <s v="2024020702" u="1"/>
        <s v="2024020703" u="1"/>
        <s v="2024021305" u="1"/>
        <s v="2024020105" u="1"/>
        <s v="2024010507" u="1"/>
        <s v="2024010508" u="1"/>
        <s v="2023122001" u="1"/>
        <s v="2024010202" u="1"/>
        <s v="2023123101" u="1"/>
        <s v="2023122002" u="1"/>
        <s v="2023122703" u="1"/>
        <s v="2023120704" u="1"/>
        <s v="2023120705" u="1"/>
        <s v="2023120203" u="1"/>
        <s v="2023112103" u="1"/>
        <s v="2023112703" u="1"/>
        <s v="2023103007" u="1"/>
        <s v="2023110304" u="1"/>
        <s v="2023110305" u="1"/>
        <s v="2023110104" u="1"/>
        <s v="2023102003" u="1"/>
        <s v="2023102004" u="1"/>
        <s v="2023102005" u="1"/>
        <s v="2023101007" u="1"/>
        <s v="2023042904" u="1"/>
        <s v="2023042905" u="1"/>
        <s v="2023042906" u="1"/>
        <s v="2023101008" u="1"/>
        <s v="2023101501" u="1"/>
        <s v="2023100102" u="1"/>
        <s v="2023100607" u="1"/>
        <s v="2023100103" u="1"/>
        <s v="2023100104" u="1"/>
        <s v="2023091304" u="1"/>
        <s v="2023091305" u="1"/>
        <s v="2023090203" u="1"/>
        <s v="2023090106" u="1"/>
        <s v="2023090107" u="1"/>
        <s v="2023090108" u="1"/>
        <s v="2023050904" u="1"/>
        <s v="2023031801" u="1"/>
        <s v="2023050903" u="1"/>
        <s v="2023060205" u="1"/>
        <s v="2023021103" u="1"/>
        <s v="2023041102" u="1"/>
        <s v="2023021102" u="1"/>
        <s v="2023062202" u="1"/>
        <s v="2023040202" u="1"/>
        <s v="2023040303" u="1"/>
        <s v="2023020407" u="1"/>
        <s v="2023020406" u="1"/>
        <s v="2022122403" u="1"/>
        <s v="2023053007" u="1"/>
        <s v="2023080909" u="1"/>
        <s v="2023080805" u="1"/>
        <s v="2023053006" u="1"/>
        <s v="2023081804" u="1"/>
        <s v="2023081803" u="1"/>
        <s v="2023011004" u="1"/>
        <s v="2022122802" u="1"/>
        <s v="2023052001" u="1"/>
        <s v="2023050207" u="1"/>
        <s v="2023072206" u="1"/>
        <s v="2023072205" u="1"/>
        <s v="2023072101" u="1"/>
        <s v="2023030206" u="1"/>
        <s v="2023070204" u="1"/>
        <s v="2023051204" u="1"/>
        <s v="2023071203" u="1"/>
        <s v="2023010202" u="1"/>
        <s v="2023031303" u="1"/>
        <s v="2022092709" u="1"/>
        <s v="2022092708" u="1"/>
        <s v="2022092707" u="1"/>
        <s v="2023051503" u="1"/>
        <s v="2022092710" u="1"/>
        <s v="2023012704" u="1"/>
        <s v="2023080107" u="1"/>
        <s v="2023051804" u="1"/>
        <s v="2023050905" u="1"/>
      </sharedItems>
    </cacheField>
    <cacheField name="날짜" numFmtId="181">
      <sharedItems containsNonDate="0" containsDate="1" containsString="0" containsBlank="1" minDate="2022-07-01T00:00:00" maxDate="2025-08-10T00:00:00" count="878">
        <d v="2022-07-01T00:00:00"/>
        <d v="2022-07-02T00:00:00"/>
        <d v="2022-07-03T00:00:00"/>
        <d v="2022-07-05T00:00:00"/>
        <d v="2022-07-06T00:00:00"/>
        <d v="2022-07-07T00:00:00"/>
        <d v="2022-07-08T00:00:00"/>
        <d v="2022-07-10T00:00:00"/>
        <d v="2022-07-11T00:00:00"/>
        <d v="2022-07-12T00:00:00"/>
        <d v="2022-07-13T00:00:00"/>
        <d v="2022-07-14T00:00:00"/>
        <d v="2022-07-15T00:00:00"/>
        <d v="2022-07-16T00:00:00"/>
        <d v="2022-07-18T00:00:00"/>
        <d v="2022-07-19T00:00:00"/>
        <d v="2022-07-20T00:00:00"/>
        <d v="2022-07-21T00:00:00"/>
        <d v="2022-07-22T00:00:00"/>
        <d v="2022-07-23T00:00:00"/>
        <d v="2022-07-24T00:00:00"/>
        <d v="2022-07-25T00:00:00"/>
        <d v="2022-07-26T00:00:00"/>
        <d v="2022-07-27T00:00:00"/>
        <d v="2022-07-28T00:00:00"/>
        <d v="2022-07-29T00:00:00"/>
        <d v="2022-07-30T00:00:00"/>
        <d v="2022-07-31T00:00:00"/>
        <d v="2022-08-01T00:00:00"/>
        <d v="2022-08-02T00:00:00"/>
        <d v="2022-08-03T00:00:00"/>
        <d v="2022-08-04T00:00:00"/>
        <d v="2022-08-05T00:00:00"/>
        <d v="2022-08-06T00:00:00"/>
        <d v="2022-08-07T00:00:00"/>
        <d v="2022-08-08T00:00:00"/>
        <d v="2022-08-10T00:00:00"/>
        <d v="2022-08-11T00:00:00"/>
        <d v="2022-08-12T00:00:00"/>
        <d v="2022-08-13T00:00:00"/>
        <d v="2022-08-16T00:00:00"/>
        <d v="2022-08-18T00:00:00"/>
        <d v="2022-08-19T00:00:00"/>
        <d v="2022-08-20T00:00:00"/>
        <d v="2022-08-21T00:00:00"/>
        <d v="2022-08-24T00:00:00"/>
        <d v="2022-08-25T00:00:00"/>
        <d v="2022-08-27T00:00:00"/>
        <d v="2022-08-28T00:00:00"/>
        <d v="2022-08-29T00:00:00"/>
        <d v="2022-08-30T00:00:00"/>
        <d v="2022-08-31T00:00:00"/>
        <d v="2022-09-01T00:00:00"/>
        <d v="2022-09-02T00:00:00"/>
        <d v="2022-09-03T00:00:00"/>
        <d v="2022-09-05T00:00:00"/>
        <d v="2022-09-07T00:00:00"/>
        <d v="2022-09-08T00:00:00"/>
        <d v="2022-09-11T00:00:00"/>
        <d v="2022-09-13T00:00:00"/>
        <d v="2022-09-14T00:00:00"/>
        <d v="2022-09-15T00:00:00"/>
        <d v="2022-09-16T00:00:00"/>
        <d v="2022-09-17T00:00:00"/>
        <d v="2022-09-18T00:00:00"/>
        <d v="2022-09-19T00:00:00"/>
        <d v="2022-09-20T00:00:00"/>
        <d v="2022-09-21T00:00:00"/>
        <d v="2022-09-22T00:00:00"/>
        <d v="2022-09-23T00:00:00"/>
        <d v="2022-09-24T00:00:00"/>
        <d v="2022-09-25T00:00:00"/>
        <d v="2022-09-26T00:00:00"/>
        <d v="2022-09-27T00:00:00"/>
        <d v="2022-09-28T00:00:00"/>
        <d v="2022-09-30T00:00:00"/>
        <d v="2022-10-02T00:00:00"/>
        <d v="2022-10-04T00:00:00"/>
        <d v="2022-10-05T00:00:00"/>
        <d v="2022-10-06T00:00:00"/>
        <d v="2022-10-07T00:00:00"/>
        <d v="2022-10-09T00:00:00"/>
        <d v="2022-10-11T00:00:00"/>
        <d v="2022-10-12T00:00:00"/>
        <d v="2022-10-15T00:00:00"/>
        <d v="2022-10-16T00:00:00"/>
        <d v="2022-10-19T00:00:00"/>
        <d v="2022-10-21T00:00:00"/>
        <d v="2022-10-24T00:00:00"/>
        <d v="2022-10-28T00:00:00"/>
        <d v="2022-10-29T00:00:00"/>
        <d v="2022-10-31T00:00:00"/>
        <d v="2022-11-02T00:00:00"/>
        <d v="2022-11-03T00:00:00"/>
        <d v="2022-11-05T00:00:00"/>
        <d v="2022-11-06T00:00:00"/>
        <d v="2022-11-07T00:00:00"/>
        <d v="2022-11-09T00:00:00"/>
        <d v="2022-11-10T00:00:00"/>
        <d v="2022-11-11T00:00:00"/>
        <d v="2022-11-12T00:00:00"/>
        <d v="2022-11-14T00:00:00"/>
        <d v="2022-11-16T00:00:00"/>
        <d v="2022-11-17T00:00:00"/>
        <d v="2022-11-18T00:00:00"/>
        <d v="2022-11-19T00:00:00"/>
        <d v="2022-11-21T00:00:00"/>
        <d v="2022-11-22T00:00:00"/>
        <d v="2022-11-27T00:00:00"/>
        <d v="2022-11-30T00:00:00"/>
        <d v="2022-12-01T00:00:00"/>
        <d v="2022-12-03T00:00:00"/>
        <d v="2022-12-05T00:00:00"/>
        <d v="2022-12-06T00:00:00"/>
        <d v="2022-12-07T00:00:00"/>
        <d v="2022-12-08T00:00:00"/>
        <d v="2022-12-09T00:00:00"/>
        <d v="2022-12-10T00:00:00"/>
        <d v="2022-12-11T00:00:00"/>
        <d v="2022-12-12T00:00:00"/>
        <d v="2022-12-13T00:00:00"/>
        <d v="2022-12-14T00:00:00"/>
        <d v="2022-12-15T00:00:00"/>
        <d v="2022-12-16T00:00:00"/>
        <d v="2022-12-17T00:00:00"/>
        <d v="2022-12-18T00:00:00"/>
        <d v="2022-12-19T00:00:00"/>
        <d v="2022-12-20T00:00:00"/>
        <d v="2022-12-21T00:00:00"/>
        <d v="2022-12-22T00:00:00"/>
        <d v="2022-12-23T00:00:00"/>
        <d v="2022-12-24T00:00:00"/>
        <d v="2022-12-25T00:00:00"/>
        <d v="2022-12-26T00:00:00"/>
        <d v="2022-12-27T00:00:00"/>
        <d v="2022-12-28T00:00:00"/>
        <d v="2022-12-29T00:00:00"/>
        <d v="2022-12-30T00:00:00"/>
        <d v="2023-01-02T00:00:00"/>
        <d v="2023-01-03T00:00:00"/>
        <d v="2023-01-04T00:00:00"/>
        <d v="2023-01-05T00:00:00"/>
        <d v="2023-01-06T00:00:00"/>
        <d v="2023-01-09T00:00:00"/>
        <d v="2023-01-10T00:00:00"/>
        <d v="2023-01-11T00:00:00"/>
        <d v="2023-01-12T00:00:00"/>
        <d v="2023-01-13T00:00:00"/>
        <d v="2023-01-16T00:00:00"/>
        <d v="2023-01-17T00:00:00"/>
        <d v="2023-01-20T00:00:00"/>
        <d v="2023-01-21T00:00:00"/>
        <d v="2023-01-23T00:00:00"/>
        <d v="2023-01-24T00:00:00"/>
        <d v="2023-01-25T00:00:00"/>
        <d v="2023-01-27T00:00:00"/>
        <d v="2023-01-31T00:00:00"/>
        <d v="2023-02-01T00:00:00"/>
        <d v="2023-02-03T00:00:00"/>
        <d v="2023-02-04T00:00:00"/>
        <d v="2023-02-07T00:00:00"/>
        <d v="2023-02-09T00:00:00"/>
        <d v="2023-02-11T00:00:00"/>
        <d v="2023-02-12T00:00:00"/>
        <d v="2023-02-13T00:00:00"/>
        <d v="2023-02-14T00:00:00"/>
        <d v="2023-02-16T00:00:00"/>
        <d v="2023-02-17T00:00:00"/>
        <d v="2023-02-18T00:00:00"/>
        <d v="2023-02-20T00:00:00"/>
        <d v="2023-02-21T00:00:00"/>
        <d v="2023-02-22T00:00:00"/>
        <d v="2023-02-23T00:00:00"/>
        <d v="2023-02-24T00:00:00"/>
        <d v="2023-02-25T00:00:00"/>
        <d v="2023-02-28T00:00:00"/>
        <d v="2023-03-01T00:00:00"/>
        <d v="2023-03-02T00:00:00"/>
        <d v="2023-03-03T00:00:00"/>
        <d v="2023-03-06T00:00:00"/>
        <d v="2023-03-07T00:00:00"/>
        <d v="2023-03-09T00:00:00"/>
        <d v="2023-03-10T00:00:00"/>
        <d v="2023-03-13T00:00:00"/>
        <d v="2023-03-14T00:00:00"/>
        <d v="2023-03-16T00:00:00"/>
        <d v="2023-03-17T00:00:00"/>
        <d v="2023-03-19T00:00:00"/>
        <d v="2023-03-20T00:00:00"/>
        <d v="2023-03-21T00:00:00"/>
        <d v="2023-03-22T00:00:00"/>
        <d v="2023-03-23T00:00:00"/>
        <d v="2023-03-24T00:00:00"/>
        <d v="2023-03-25T00:00:00"/>
        <d v="2023-03-27T00:00:00"/>
        <d v="2023-03-28T00:00:00"/>
        <d v="2023-03-29T00:00:00"/>
        <d v="2023-03-30T00:00:00"/>
        <d v="2023-03-31T00:00:00"/>
        <d v="2023-04-01T00:00:00"/>
        <d v="2023-04-02T00:00:00"/>
        <d v="2023-04-03T00:00:00"/>
        <d v="2023-04-04T00:00:00"/>
        <d v="2023-04-05T00:00:00"/>
        <d v="2023-04-06T00:00:00"/>
        <d v="2023-04-07T00:00:00"/>
        <d v="2023-04-10T00:00:00"/>
        <d v="2023-04-11T00:00:00"/>
        <d v="2023-04-12T00:00:00"/>
        <d v="2023-04-13T00:00:00"/>
        <d v="2023-04-14T00:00:00"/>
        <d v="2023-04-17T00:00:00"/>
        <d v="2023-04-18T00:00:00"/>
        <d v="2023-04-19T00:00:00"/>
        <d v="2023-04-20T00:00:00"/>
        <d v="2023-04-21T00:00:00"/>
        <d v="2023-04-24T00:00:00"/>
        <d v="2023-04-25T00:00:00"/>
        <d v="2023-04-27T00:00:00"/>
        <d v="2023-04-28T00:00:00"/>
        <d v="2023-04-29T00:00:00"/>
        <d v="2023-04-30T00:00:00"/>
        <d v="2023-05-01T00:00:00"/>
        <d v="2023-05-02T00:00:00"/>
        <d v="2023-05-03T00:00:00"/>
        <d v="2023-05-04T00:00:00"/>
        <d v="2023-05-05T00:00:00"/>
        <d v="2023-05-06T00:00:00"/>
        <d v="2023-05-08T00:00:00"/>
        <d v="2023-05-09T00:00:00"/>
        <d v="2023-05-10T00:00:00"/>
        <d v="2023-05-11T00:00:00"/>
        <d v="2023-05-12T00:00:00"/>
        <d v="2023-05-15T00:00:00"/>
        <d v="2023-05-16T00:00:00"/>
        <d v="2023-05-17T00:00:00"/>
        <d v="2023-05-18T00:00:00"/>
        <d v="2023-05-19T00:00:00"/>
        <d v="2023-05-21T00:00:00"/>
        <d v="2023-05-22T00:00:00"/>
        <d v="2023-05-23T00:00:00"/>
        <d v="2023-05-24T00:00:00"/>
        <d v="2023-05-25T00:00:00"/>
        <d v="2023-05-26T00:00:00"/>
        <d v="2023-05-27T00:00:00"/>
        <d v="2023-05-28T00:00:00"/>
        <d v="2023-05-30T00:00:00"/>
        <d v="2023-05-31T00:00:00"/>
        <d v="2023-06-01T00:00:00"/>
        <d v="2023-06-02T00:00:00"/>
        <d v="2023-06-03T00:00:00"/>
        <d v="2023-06-05T00:00:00"/>
        <d v="2023-06-06T00:00:00"/>
        <d v="2023-06-07T00:00:00"/>
        <d v="2023-06-08T00:00:00"/>
        <d v="2023-06-09T00:00:00"/>
        <d v="2023-06-12T00:00:00"/>
        <d v="2023-06-13T00:00:00"/>
        <d v="2023-06-14T00:00:00"/>
        <d v="2023-06-15T00:00:00"/>
        <d v="2023-06-16T00:00:00"/>
        <d v="2023-06-17T00:00:00"/>
        <d v="2023-06-20T00:00:00"/>
        <d v="2023-06-22T00:00:00"/>
        <d v="2023-06-24T00:00:00"/>
        <d v="2023-06-28T00:00:00"/>
        <d v="2023-06-29T00:00:00"/>
        <d v="2023-06-30T00:00:00"/>
        <d v="2023-07-02T00:00:00"/>
        <d v="2023-07-03T00:00:00"/>
        <d v="2023-07-04T00:00:00"/>
        <d v="2023-07-05T00:00:00"/>
        <d v="2023-07-06T00:00:00"/>
        <d v="2023-07-07T00:00:00"/>
        <d v="2023-07-08T00:00:00"/>
        <d v="2023-07-12T00:00:00"/>
        <d v="2023-07-13T00:00:00"/>
        <d v="2023-07-14T00:00:00"/>
        <d v="2023-07-15T00:00:00"/>
        <d v="2023-07-16T00:00:00"/>
        <d v="2023-07-17T00:00:00"/>
        <d v="2023-07-18T00:00:00"/>
        <d v="2023-07-19T00:00:00"/>
        <d v="2023-07-20T00:00:00"/>
        <d v="2023-07-22T00:00:00"/>
        <d v="2023-07-24T00:00:00"/>
        <d v="2023-07-26T00:00:00"/>
        <d v="2023-07-28T00:00:00"/>
        <d v="2023-07-29T00:00:00"/>
        <d v="2023-07-30T00:00:00"/>
        <d v="2023-07-31T00:00:00"/>
        <d v="2023-08-01T00:00:00"/>
        <d v="2023-08-02T00:00:00"/>
        <d v="2023-08-03T00:00:00"/>
        <d v="2023-08-04T00:00:00"/>
        <d v="2023-08-05T00:00:00"/>
        <d v="2023-08-07T00:00:00"/>
        <d v="2023-08-08T00:00:00"/>
        <d v="2023-08-09T00:00:00"/>
        <d v="2023-08-11T00:00:00"/>
        <d v="2023-08-14T00:00:00"/>
        <d v="2023-08-15T00:00:00"/>
        <d v="2023-08-16T00:00:00"/>
        <d v="2023-08-17T00:00:00"/>
        <d v="2023-08-18T00:00:00"/>
        <d v="2023-08-19T00:00:00"/>
        <d v="2023-08-20T00:00:00"/>
        <d v="2023-08-21T00:00:00"/>
        <d v="2023-08-22T00:00:00"/>
        <d v="2023-08-23T00:00:00"/>
        <d v="2023-08-30T00:00:00"/>
        <d v="2023-08-31T00:00:00"/>
        <d v="2023-09-01T00:00:00"/>
        <d v="2023-09-02T00:00:00"/>
        <d v="2023-09-04T00:00:00"/>
        <d v="2023-09-05T00:00:00"/>
        <d v="2023-09-06T00:00:00"/>
        <d v="2023-09-07T00:00:00"/>
        <d v="2023-09-08T00:00:00"/>
        <d v="2023-09-09T00:00:00"/>
        <d v="2023-09-11T00:00:00"/>
        <d v="2023-09-12T00:00:00"/>
        <d v="2023-09-13T00:00:00"/>
        <d v="2023-09-14T00:00:00"/>
        <d v="2023-09-15T00:00:00"/>
        <d v="2023-09-17T00:00:00"/>
        <d v="2023-09-18T00:00:00"/>
        <d v="2023-09-19T00:00:00"/>
        <d v="2023-09-20T00:00:00"/>
        <d v="2023-09-21T00:00:00"/>
        <d v="2023-09-22T00:00:00"/>
        <d v="2023-09-23T00:00:00"/>
        <d v="2023-09-25T00:00:00"/>
        <d v="2023-09-26T00:00:00"/>
        <d v="2023-09-27T00:00:00"/>
        <d v="2023-09-28T00:00:00"/>
        <d v="2023-09-29T00:00:00"/>
        <d v="2023-09-30T00:00:00"/>
        <d v="2023-10-01T00:00:00"/>
        <d v="2023-10-02T00:00:00"/>
        <d v="2023-10-03T00:00:00"/>
        <d v="2023-10-04T00:00:00"/>
        <d v="2023-10-05T00:00:00"/>
        <d v="2023-10-06T00:00:00"/>
        <d v="2023-10-07T00:00:00"/>
        <d v="2023-10-08T00:00:00"/>
        <d v="2023-10-09T00:00:00"/>
        <d v="2023-10-10T00:00:00"/>
        <d v="2023-10-11T00:00:00"/>
        <d v="2023-10-12T00:00:00"/>
        <d v="2023-10-13T00:00:00"/>
        <d v="2023-10-14T00:00:00"/>
        <d v="2023-10-16T00:00:00"/>
        <d v="2023-10-17T00:00:00"/>
        <d v="2023-10-18T00:00:00"/>
        <d v="2023-10-19T00:00:00"/>
        <d v="2023-10-20T00:00:00"/>
        <d v="2023-10-21T00:00:00"/>
        <d v="2023-10-22T00:00:00"/>
        <d v="2023-10-23T00:00:00"/>
        <d v="2023-10-24T00:00:00"/>
        <d v="2023-10-25T00:00:00"/>
        <d v="2023-10-26T00:00:00"/>
        <d v="2023-10-27T00:00:00"/>
        <d v="2023-10-28T00:00:00"/>
        <d v="2023-10-30T00:00:00"/>
        <d v="2023-10-31T00:00:00"/>
        <d v="2023-11-01T00:00:00"/>
        <d v="2023-11-02T00:00:00"/>
        <d v="2023-11-03T00:00:00"/>
        <d v="2023-11-06T00:00:00"/>
        <d v="2023-11-07T00:00:00"/>
        <d v="2023-11-08T00:00:00"/>
        <d v="2023-11-09T00:00:00"/>
        <d v="2023-11-10T00:00:00"/>
        <d v="2023-11-11T00:00:00"/>
        <d v="2023-11-13T00:00:00"/>
        <d v="2023-11-14T00:00:00"/>
        <d v="2023-11-15T00:00:00"/>
        <d v="2023-11-16T00:00:00"/>
        <d v="2023-11-17T00:00:00"/>
        <d v="2023-11-18T00:00:00"/>
        <d v="2023-11-20T00:00:00"/>
        <d v="2023-11-21T00:00:00"/>
        <d v="2023-11-22T00:00:00"/>
        <d v="2023-11-23T00:00:00"/>
        <d v="2023-11-24T00:00:00"/>
        <d v="2023-11-25T00:00:00"/>
        <d v="2023-11-27T00:00:00"/>
        <d v="2023-11-28T00:00:00"/>
        <d v="2023-11-29T00:00:00"/>
        <d v="2023-11-30T00:00:00"/>
        <d v="2023-12-01T00:00:00"/>
        <d v="2023-12-02T00:00:00"/>
        <d v="2023-12-04T00:00:00"/>
        <d v="2023-12-05T00:00:00"/>
        <d v="2023-12-06T00:00:00"/>
        <d v="2023-12-07T00:00:00"/>
        <d v="2023-12-08T00:00:00"/>
        <d v="2023-12-09T00:00:00"/>
        <d v="2023-12-10T00:00:00"/>
        <d v="2023-12-11T00:00:00"/>
        <d v="2023-12-12T00:00:00"/>
        <d v="2023-12-13T00:00:00"/>
        <d v="2023-12-14T00:00:00"/>
        <d v="2023-12-15T00:00:00"/>
        <d v="2023-12-16T00:00:00"/>
        <d v="2023-12-18T00:00:00"/>
        <d v="2023-12-19T00:00:00"/>
        <d v="2023-12-21T00:00:00"/>
        <d v="2023-12-22T00:00:00"/>
        <d v="2023-12-26T00:00:00"/>
        <d v="2023-12-27T00:00:00"/>
        <d v="2023-12-29T00:00:00"/>
        <d v="2023-12-30T00:00:00"/>
        <d v="2024-01-02T00:00:00"/>
        <d v="2024-01-03T00:00:00"/>
        <d v="2024-01-04T00:00:00"/>
        <d v="2024-01-05T00:00:00"/>
        <d v="2024-01-06T00:00:00"/>
        <d v="2024-01-08T00:00:00"/>
        <d v="2024-01-09T00:00:00"/>
        <d v="2024-01-10T00:00:00"/>
        <d v="2024-01-11T00:00:00"/>
        <d v="2024-01-13T00:00:00"/>
        <d v="2024-01-14T00:00:00"/>
        <d v="2024-01-15T00:00:00"/>
        <d v="2024-01-16T00:00:00"/>
        <d v="2024-01-17T00:00:00"/>
        <d v="2024-01-18T00:00:00"/>
        <d v="2024-01-20T00:00:00"/>
        <d v="2024-01-21T00:00:00"/>
        <d v="2024-01-22T00:00:00"/>
        <d v="2024-01-23T00:00:00"/>
        <d v="2024-01-25T00:00:00"/>
        <d v="2024-01-26T00:00:00"/>
        <d v="2024-01-27T00:00:00"/>
        <d v="2024-01-28T00:00:00"/>
        <d v="2024-01-29T00:00:00"/>
        <d v="2024-01-30T00:00:00"/>
        <d v="2024-01-31T00:00:00"/>
        <d v="2024-02-01T00:00:00"/>
        <d v="2024-02-02T00:00:00"/>
        <d v="2024-02-03T00:00:00"/>
        <d v="2024-02-05T00:00:00"/>
        <d v="2024-02-06T00:00:00"/>
        <d v="2024-02-07T00:00:00"/>
        <d v="2024-02-08T00:00:00"/>
        <d v="2024-02-10T00:00:00"/>
        <d v="2024-02-11T00:00:00"/>
        <d v="2024-02-12T00:00:00"/>
        <d v="2024-02-13T00:00:00"/>
        <d v="2024-02-14T00:00:00"/>
        <d v="2024-02-15T00:00:00"/>
        <d v="2024-02-16T00:00:00"/>
        <d v="2024-02-20T00:00:00"/>
        <d v="2024-02-21T00:00:00"/>
        <d v="2024-02-22T00:00:00"/>
        <d v="2024-02-27T00:00:00"/>
        <d v="2024-02-28T00:00:00"/>
        <d v="2024-02-29T00:00:00"/>
        <d v="2024-03-01T00:00:00"/>
        <d v="2024-03-02T00:00:00"/>
        <d v="2024-03-03T00:00:00"/>
        <d v="2024-03-04T00:00:00"/>
        <d v="2024-03-05T00:00:00"/>
        <d v="2024-03-06T00:00:00"/>
        <d v="2024-03-07T00:00:00"/>
        <d v="2024-03-08T00:00:00"/>
        <d v="2024-03-09T00:00:00"/>
        <d v="2024-03-11T00:00:00"/>
        <d v="2024-03-12T00:00:00"/>
        <d v="2024-03-13T00:00:00"/>
        <d v="2024-03-14T00:00:00"/>
        <d v="2024-03-15T00:00:00"/>
        <d v="2024-03-16T00:00:00"/>
        <d v="2024-03-17T00:00:00"/>
        <d v="2024-03-18T00:00:00"/>
        <d v="2024-03-19T00:00:00"/>
        <d v="2024-03-20T00:00:00"/>
        <d v="2024-03-21T00:00:00"/>
        <d v="2024-03-22T00:00:00"/>
        <d v="2024-03-25T00:00:00"/>
        <d v="2024-03-26T00:00:00"/>
        <d v="2024-03-27T00:00:00"/>
        <d v="2024-03-28T00:00:00"/>
        <d v="2024-03-29T00:00:00"/>
        <d v="2024-03-30T00:00:00"/>
        <d v="2024-04-01T00:00:00"/>
        <d v="2024-04-02T00:00:00"/>
        <d v="2024-04-03T00:00:00"/>
        <d v="2024-04-04T00:00:00"/>
        <d v="2024-04-05T00:00:00"/>
        <d v="2024-04-06T00:00:00"/>
        <d v="2024-04-07T00:00:00"/>
        <d v="2024-04-08T00:00:00"/>
        <d v="2024-04-09T00:00:00"/>
        <d v="2024-04-10T00:00:00"/>
        <d v="2024-04-11T00:00:00"/>
        <d v="2024-04-12T00:00:00"/>
        <d v="2024-04-13T00:00:00"/>
        <d v="2024-04-14T00:00:00"/>
        <d v="2024-04-15T00:00:00"/>
        <d v="2024-04-16T00:00:00"/>
        <d v="2024-04-17T00:00:00"/>
        <d v="2024-04-18T00:00:00"/>
        <d v="2024-04-19T00:00:00"/>
        <d v="2024-04-20T00:00:00"/>
        <d v="2024-04-21T00:00:00"/>
        <d v="2024-04-22T00:00:00"/>
        <d v="2024-04-23T00:00:00"/>
        <d v="2024-04-24T00:00:00"/>
        <d v="2024-04-25T00:00:00"/>
        <d v="2024-04-26T00:00:00"/>
        <d v="2024-04-27T00:00:00"/>
        <d v="2024-04-28T00:00:00"/>
        <d v="2024-04-29T00:00:00"/>
        <d v="2024-04-30T00:00:00"/>
        <d v="2024-05-01T00:00:00"/>
        <d v="2024-05-02T00:00:00"/>
        <d v="2024-05-03T00:00:00"/>
        <d v="2024-05-04T00:00:00"/>
        <d v="2024-05-05T00:00:00"/>
        <d v="2024-05-06T00:00:00"/>
        <d v="2024-05-07T00:00:00"/>
        <d v="2024-05-08T00:00:00"/>
        <d v="2024-05-09T00:00:00"/>
        <d v="2024-05-10T00:00:00"/>
        <d v="2024-05-11T00:00:00"/>
        <d v="2024-05-12T00:00:00"/>
        <d v="2024-05-13T00:00:00"/>
        <d v="2024-05-14T00:00:00"/>
        <d v="2024-05-15T00:00:00"/>
        <d v="2024-05-16T00:00:00"/>
        <d v="2024-05-17T00:00:00"/>
        <d v="2024-05-18T00:00:00"/>
        <d v="2024-05-19T00:00:00"/>
        <d v="2024-05-20T00:00:00"/>
        <d v="2024-05-21T00:00:00"/>
        <d v="2024-05-22T00:00:00"/>
        <d v="2024-05-23T00:00:00"/>
        <d v="2024-05-24T00:00:00"/>
        <d v="2024-05-25T00:00:00"/>
        <d v="2024-05-27T00:00:00"/>
        <d v="2024-05-28T00:00:00"/>
        <d v="2024-05-29T00:00:00"/>
        <d v="2024-05-30T00:00:00"/>
        <d v="2024-05-31T00:00:00"/>
        <d v="2024-06-01T00:00:00"/>
        <d v="2024-06-03T00:00:00"/>
        <d v="2024-06-04T00:00:00"/>
        <d v="2024-06-05T00:00:00"/>
        <d v="2024-06-06T00:00:00"/>
        <d v="2024-06-07T00:00:00"/>
        <d v="2024-06-08T00:00:00"/>
        <d v="2024-06-09T00:00:00"/>
        <d v="2024-06-10T00:00:00"/>
        <d v="2024-06-11T00:00:00"/>
        <d v="2024-06-12T00:00:00"/>
        <d v="2024-06-13T00:00:00"/>
        <d v="2024-06-14T00:00:00"/>
        <d v="2024-06-15T00:00:00"/>
        <d v="2024-06-19T00:00:00"/>
        <d v="2024-06-20T00:00:00"/>
        <d v="2024-06-21T00:00:00"/>
        <d v="2024-06-24T00:00:00"/>
        <d v="2024-06-26T00:00:00"/>
        <d v="2024-06-27T00:00:00"/>
        <d v="2024-06-28T00:00:00"/>
        <d v="2024-06-29T00:00:00"/>
        <d v="2024-06-30T00:00:00"/>
        <d v="2024-07-01T00:00:00"/>
        <d v="2024-07-03T00:00:00"/>
        <d v="2024-07-04T00:00:00"/>
        <d v="2024-07-05T00:00:00"/>
        <d v="2024-07-06T00:00:00"/>
        <d v="2024-07-08T00:00:00"/>
        <d v="2024-07-09T00:00:00"/>
        <d v="2024-07-10T00:00:00"/>
        <d v="2024-07-11T00:00:00"/>
        <d v="2024-07-12T00:00:00"/>
        <d v="2024-07-14T00:00:00"/>
        <d v="2024-07-15T00:00:00"/>
        <d v="2024-07-16T00:00:00"/>
        <d v="2024-07-18T00:00:00"/>
        <d v="2024-07-19T00:00:00"/>
        <d v="2024-07-20T00:00:00"/>
        <d v="2024-07-21T00:00:00"/>
        <d v="2024-07-22T00:00:00"/>
        <d v="2024-07-23T00:00:00"/>
        <d v="2024-07-28T00:00:00"/>
        <d v="2024-07-29T00:00:00"/>
        <d v="2024-07-30T00:00:00"/>
        <d v="2024-07-31T00:00:00"/>
        <d v="2024-08-01T00:00:00"/>
        <d v="2024-08-02T00:00:00"/>
        <d v="2024-08-03T00:00:00"/>
        <d v="2024-08-04T00:00:00"/>
        <d v="2024-08-05T00:00:00"/>
        <d v="2024-08-06T00:00:00"/>
        <d v="2024-08-07T00:00:00"/>
        <d v="2024-08-08T00:00:00"/>
        <d v="2024-08-09T00:00:00"/>
        <d v="2024-08-10T00:00:00"/>
        <d v="2024-08-13T00:00:00"/>
        <d v="2024-08-14T00:00:00"/>
        <d v="2024-08-17T00:00:00"/>
        <d v="2024-08-20T00:00:00"/>
        <d v="2024-08-21T00:00:00"/>
        <d v="2024-08-22T00:00:00"/>
        <d v="2024-08-23T00:00:00"/>
        <d v="2024-08-24T00:00:00"/>
        <d v="2024-08-25T00:00:00"/>
        <d v="2024-08-27T00:00:00"/>
        <d v="2024-08-28T00:00:00"/>
        <d v="2024-08-30T00:00:00"/>
        <d v="2024-08-31T00:00:00"/>
        <d v="2024-09-01T00:00:00"/>
        <d v="2024-09-02T00:00:00"/>
        <d v="2024-09-03T00:00:00"/>
        <d v="2024-09-04T00:00:00"/>
        <d v="2024-09-06T00:00:00"/>
        <d v="2024-09-07T00:00:00"/>
        <d v="2024-09-09T00:00:00"/>
        <d v="2024-09-10T00:00:00"/>
        <d v="2024-09-11T00:00:00"/>
        <d v="2024-09-12T00:00:00"/>
        <d v="2024-09-15T00:00:00"/>
        <d v="2024-09-16T00:00:00"/>
        <d v="2024-09-17T00:00:00"/>
        <d v="2024-09-18T00:00:00"/>
        <d v="2024-09-19T00:00:00"/>
        <d v="2024-09-20T00:00:00"/>
        <d v="2024-09-21T00:00:00"/>
        <d v="2024-09-24T00:00:00"/>
        <d v="2024-09-25T00:00:00"/>
        <d v="2024-09-28T00:00:00"/>
        <d v="2024-09-30T00:00:00"/>
        <d v="2024-10-01T00:00:00"/>
        <d v="2024-10-02T00:00:00"/>
        <d v="2024-10-03T00:00:00"/>
        <d v="2024-10-05T00:00:00"/>
        <d v="2024-10-07T00:00:00"/>
        <d v="2024-10-08T00:00:00"/>
        <d v="2024-10-10T00:00:00"/>
        <d v="2024-10-11T00:00:00"/>
        <d v="2024-10-15T00:00:00"/>
        <d v="2024-10-16T00:00:00"/>
        <d v="2024-10-17T00:00:00"/>
        <d v="2024-10-18T00:00:00"/>
        <d v="2024-10-19T00:00:00"/>
        <d v="2024-10-20T00:00:00"/>
        <d v="2024-10-21T00:00:00"/>
        <d v="2024-10-22T00:00:00"/>
        <d v="2024-10-23T00:00:00"/>
        <d v="2024-10-25T00:00:00"/>
        <d v="2024-10-26T00:00:00"/>
        <d v="2024-10-27T00:00:00"/>
        <d v="2024-10-29T00:00:00"/>
        <d v="2024-10-30T00:00:00"/>
        <d v="2024-10-31T00:00:00"/>
        <d v="2024-11-01T00:00:00"/>
        <d v="2024-11-03T00:00:00"/>
        <d v="2024-11-04T00:00:00"/>
        <d v="2024-11-05T00:00:00"/>
        <d v="2024-11-06T00:00:00"/>
        <d v="2024-11-07T00:00:00"/>
        <d v="2024-11-08T00:00:00"/>
        <d v="2024-11-09T00:00:00"/>
        <d v="2024-11-10T00:00:00"/>
        <d v="2024-11-11T00:00:00"/>
        <d v="2024-11-12T00:00:00"/>
        <d v="2024-11-13T00:00:00"/>
        <d v="2024-11-14T00:00:00"/>
        <d v="2024-11-15T00:00:00"/>
        <d v="2024-11-16T00:00:00"/>
        <d v="2024-11-18T00:00:00"/>
        <d v="2024-11-19T00:00:00"/>
        <d v="2024-11-20T00:00:00"/>
        <d v="2024-11-21T00:00:00"/>
        <d v="2024-11-22T00:00:00"/>
        <d v="2024-11-23T00:00:00"/>
        <d v="2024-11-26T00:00:00"/>
        <d v="2024-11-27T00:00:00"/>
        <d v="2024-11-28T00:00:00"/>
        <d v="2024-11-29T00:00:00"/>
        <d v="2024-11-30T00:00:00"/>
        <d v="2024-12-01T00:00:00"/>
        <d v="2024-12-02T00:00:00"/>
        <d v="2024-12-03T00:00:00"/>
        <d v="2024-12-04T00:00:00"/>
        <d v="2024-12-05T00:00:00"/>
        <d v="2024-12-06T00:00:00"/>
        <d v="2024-12-07T00:00:00"/>
        <d v="2024-12-09T00:00:00"/>
        <d v="2024-12-10T00:00:00"/>
        <d v="2024-12-11T00:00:00"/>
        <d v="2024-12-12T00:00:00"/>
        <d v="2024-12-13T00:00:00"/>
        <d v="2024-12-14T00:00:00"/>
        <d v="2024-12-16T00:00:00"/>
        <d v="2024-12-17T00:00:00"/>
        <d v="2024-12-20T00:00:00"/>
        <d v="2024-12-22T00:00:00"/>
        <d v="2024-12-26T00:00:00"/>
        <d v="2024-12-27T00:00:00"/>
        <d v="2024-12-28T00:00:00"/>
        <d v="2024-12-29T00:00:00"/>
        <d v="2024-12-30T00:00:00"/>
        <d v="2024-12-31T00:00:00"/>
        <d v="2025-01-01T00:00:00"/>
        <d v="2025-01-02T00:00:00"/>
        <d v="2025-01-04T00:00:00"/>
        <d v="2025-01-05T00:00:00"/>
        <d v="2025-01-06T00:00:00"/>
        <d v="2025-01-07T00:00:00"/>
        <d v="2025-01-09T00:00:00"/>
        <d v="2025-01-10T00:00:00"/>
        <d v="2025-01-11T00:00:00"/>
        <d v="2025-01-12T00:00:00"/>
        <d v="2025-01-14T00:00:00"/>
        <d v="2025-01-17T00:00:00"/>
        <d v="2025-01-19T00:00:00"/>
        <d v="2025-01-20T00:00:00"/>
        <d v="2025-01-21T00:00:00"/>
        <d v="2025-01-22T00:00:00"/>
        <d v="2025-01-23T00:00:00"/>
        <d v="2025-01-25T00:00:00"/>
        <d v="2025-01-27T00:00:00"/>
        <d v="2025-01-30T00:00:00"/>
        <d v="2025-01-31T00:00:00"/>
        <d v="2025-02-01T00:00:00"/>
        <d v="2025-02-02T00:00:00"/>
        <d v="2025-02-03T00:00:00"/>
        <d v="2025-02-04T00:00:00"/>
        <d v="2025-02-05T00:00:00"/>
        <d v="2025-02-06T00:00:00"/>
        <d v="2025-02-07T00:00:00"/>
        <d v="2025-02-08T00:00:00"/>
        <d v="2025-02-10T00:00:00"/>
        <d v="2025-02-11T00:00:00"/>
        <d v="2025-02-13T00:00:00"/>
        <d v="2025-02-15T00:00:00"/>
        <d v="2025-02-16T00:00:00"/>
        <d v="2025-02-17T00:00:00"/>
        <d v="2025-02-18T00:00:00"/>
        <d v="2025-02-19T00:00:00"/>
        <d v="2025-02-20T00:00:00"/>
        <d v="2025-02-24T00:00:00"/>
        <d v="2025-02-25T00:00:00"/>
        <d v="2025-02-27T00:00:00"/>
        <d v="2025-02-28T00:00:00"/>
        <d v="2025-03-01T00:00:00"/>
        <d v="2025-03-02T00:00:00"/>
        <d v="2025-03-04T00:00:00"/>
        <d v="2025-03-05T00:00:00"/>
        <d v="2025-03-06T00:00:00"/>
        <d v="2025-03-08T00:00:00"/>
        <d v="2025-03-09T00:00:00"/>
        <d v="2025-03-11T00:00:00"/>
        <d v="2025-03-12T00:00:00"/>
        <d v="2025-03-13T00:00:00"/>
        <d v="2025-03-14T00:00:00"/>
        <d v="2025-03-15T00:00:00"/>
        <d v="2025-03-16T00:00:00"/>
        <d v="2025-03-17T00:00:00"/>
        <d v="2025-03-19T00:00:00"/>
        <d v="2025-03-20T00:00:00"/>
        <d v="2025-03-21T00:00:00"/>
        <d v="2025-03-22T00:00:00"/>
        <d v="2025-03-23T00:00:00"/>
        <d v="2025-03-25T00:00:00"/>
        <d v="2025-03-27T00:00:00"/>
        <d v="2025-03-28T00:00:00"/>
        <d v="2025-03-29T00:00:00"/>
        <d v="2025-03-31T00:00:00"/>
        <d v="2025-04-01T00:00:00"/>
        <d v="2025-04-03T00:00:00"/>
        <d v="2025-04-04T00:00:00"/>
        <d v="2025-04-05T00:00:00"/>
        <d v="2025-04-06T00:00:00"/>
        <d v="2025-04-07T00:00:00"/>
        <d v="2025-04-09T00:00:00"/>
        <d v="2025-04-12T00:00:00"/>
        <d v="2025-04-16T00:00:00"/>
        <d v="2025-04-17T00:00:00"/>
        <d v="2025-04-18T00:00:00"/>
        <d v="2025-04-19T00:00:00"/>
        <d v="2025-04-21T00:00:00"/>
        <d v="2025-04-23T00:00:00"/>
        <d v="2025-04-24T00:00:00"/>
        <d v="2025-04-25T00:00:00"/>
        <d v="2025-04-26T00:00:00"/>
        <d v="2025-04-27T00:00:00"/>
        <d v="2025-04-29T00:00:00"/>
        <d v="2025-04-30T00:00:00"/>
        <d v="2025-05-01T00:00:00"/>
        <d v="2025-05-02T00:00:00"/>
        <d v="2025-05-05T00:00:00"/>
        <d v="2025-05-06T00:00:00"/>
        <d v="2025-05-08T00:00:00"/>
        <d v="2025-05-09T00:00:00"/>
        <d v="2025-05-13T00:00:00"/>
        <d v="2025-05-14T00:00:00"/>
        <d v="2025-05-15T00:00:00"/>
        <d v="2025-05-16T00:00:00"/>
        <d v="2025-05-17T00:00:00"/>
        <d v="2025-05-18T00:00:00"/>
        <d v="2025-05-20T00:00:00"/>
        <d v="2025-05-21T00:00:00"/>
        <d v="2025-05-22T00:00:00"/>
        <d v="2025-05-23T00:00:00"/>
        <d v="2025-05-24T00:00:00"/>
        <d v="2025-05-25T00:00:00"/>
        <d v="2025-05-26T00:00:00"/>
        <d v="2025-05-27T00:00:00"/>
        <d v="2025-05-28T00:00:00"/>
        <d v="2025-05-29T00:00:00"/>
        <d v="2025-05-30T00:00:00"/>
        <d v="2025-05-31T00:00:00"/>
        <d v="2025-06-01T00:00:00"/>
        <d v="2025-06-02T00:00:00"/>
        <d v="2025-06-03T00:00:00"/>
        <d v="2025-06-04T00:00:00"/>
        <d v="2025-06-05T00:00:00"/>
        <d v="2025-06-06T00:00:00"/>
        <d v="2025-06-08T00:00:00"/>
        <d v="2025-06-09T00:00:00"/>
        <d v="2025-06-10T00:00:00"/>
        <d v="2025-06-11T00:00:00"/>
        <d v="2025-06-12T00:00:00"/>
        <d v="2025-06-13T00:00:00"/>
        <d v="2025-06-14T00:00:00"/>
        <d v="2025-06-15T00:00:00"/>
        <d v="2025-06-16T00:00:00"/>
        <d v="2025-06-17T00:00:00"/>
        <d v="2025-06-19T00:00:00"/>
        <d v="2025-06-20T00:00:00"/>
        <d v="2025-06-21T00:00:00"/>
        <d v="2025-06-22T00:00:00"/>
        <d v="2025-06-23T00:00:00"/>
        <d v="2025-06-24T00:00:00"/>
        <d v="2025-06-26T00:00:00"/>
        <d v="2025-06-27T00:00:00"/>
        <d v="2025-06-29T00:00:00"/>
        <d v="2025-06-30T00:00:00"/>
        <d v="2025-07-01T00:00:00"/>
        <d v="2025-07-02T00:00:00"/>
        <d v="2025-07-03T00:00:00"/>
        <d v="2025-07-04T00:00:00"/>
        <d v="2025-07-05T00:00:00"/>
        <d v="2025-07-07T00:00:00"/>
        <d v="2025-07-08T00:00:00"/>
        <d v="2025-07-09T00:00:00"/>
        <d v="2025-07-10T00:00:00"/>
        <d v="2025-07-11T00:00:00"/>
        <d v="2025-07-12T00:00:00"/>
        <d v="2025-07-14T00:00:00"/>
        <d v="2025-07-15T00:00:00"/>
        <d v="2025-07-16T00:00:00"/>
        <d v="2025-07-18T00:00:00"/>
        <d v="2025-07-19T00:00:00"/>
        <d v="2025-07-20T00:00:00"/>
        <d v="2025-07-21T00:00:00"/>
        <d v="2025-07-23T00:00:00"/>
        <d v="2025-07-24T00:00:00"/>
        <d v="2025-07-26T00:00:00"/>
        <d v="2025-07-27T00:00:00"/>
        <d v="2025-07-28T00:00:00"/>
        <d v="2025-07-30T00:00:00"/>
        <d v="2025-07-31T00:00:00"/>
        <d v="2025-08-01T00:00:00"/>
        <d v="2025-08-02T00:00:00"/>
        <d v="2025-08-03T00:00:00"/>
        <d v="2025-08-05T00:00:00"/>
        <d v="2025-08-07T00:00:00"/>
        <d v="2025-08-09T00:00:00"/>
        <m/>
      </sharedItems>
      <fieldGroup par="13" base="1">
        <rangePr groupBy="months" startDate="2022-07-01T00:00:00" endDate="2025-08-10T00:00:00"/>
        <groupItems count="14">
          <s v="(비어 있음)"/>
          <s v="1월"/>
          <s v="2월"/>
          <s v="3월"/>
          <s v="4월"/>
          <s v="5월"/>
          <s v="6월"/>
          <s v="7월"/>
          <s v="8월"/>
          <s v="9월"/>
          <s v="10월"/>
          <s v="11월"/>
          <s v="12월"/>
          <s v="&gt;2025-08-10"/>
        </groupItems>
      </fieldGroup>
    </cacheField>
    <cacheField name="연" numFmtId="177">
      <sharedItems containsString="0" containsBlank="1" containsNumber="1" containsInteger="1" minValue="2022" maxValue="2025" count="5">
        <n v="2022"/>
        <n v="2023"/>
        <n v="2024"/>
        <n v="2025"/>
        <m/>
      </sharedItems>
    </cacheField>
    <cacheField name="월" numFmtId="179">
      <sharedItems containsString="0" containsBlank="1" containsNumber="1" containsInteger="1" minValue="1" maxValue="12" count="13">
        <n v="7"/>
        <n v="8"/>
        <n v="9"/>
        <n v="10"/>
        <n v="11"/>
        <n v="12"/>
        <n v="1"/>
        <n v="2"/>
        <n v="3"/>
        <n v="4"/>
        <n v="5"/>
        <n v="6"/>
        <m/>
      </sharedItems>
    </cacheField>
    <cacheField name="일" numFmtId="178">
      <sharedItems containsString="0" containsBlank="1" containsNumber="1" containsInteger="1" minValue="1" maxValue="31"/>
    </cacheField>
    <cacheField name="계좌" numFmtId="0">
      <sharedItems containsBlank="1" count="10">
        <s v="국민ONE"/>
        <s v="국민나라사랑"/>
        <s v="두드림통장"/>
        <s v="위비모바일통장"/>
        <s v="(exp)국민장병내일준비"/>
        <s v="(exp)우리장병내일준비"/>
        <s v="KB증권CMA계좌"/>
        <s v="기타자산"/>
        <s v="KB페이"/>
        <m/>
      </sharedItems>
    </cacheField>
    <cacheField name="유형" numFmtId="0">
      <sharedItems containsBlank="1" count="9">
        <s v="이체"/>
        <s v="유동지출"/>
        <s v="유동수입"/>
        <s v="반고정지출"/>
        <s v="고정지출"/>
        <s v="고정수입"/>
        <m/>
        <s v="이체(입금)" u="1"/>
        <s v="이체(출금)" u="1"/>
      </sharedItems>
    </cacheField>
    <cacheField name="대분류" numFmtId="0">
      <sharedItems containsBlank="1" count="20">
        <s v="이체분류"/>
        <s v="자동차"/>
        <s v="유동수입"/>
        <s v="식비"/>
        <s v="온라인쇼핑"/>
        <s v="카페_간식"/>
        <s v="생활"/>
        <s v="교통"/>
        <s v="뷰티_미용"/>
        <s v="고정수입"/>
        <s v="경조_선물"/>
        <s v="금융"/>
        <s v="문화_여가"/>
        <s v="술_유흥"/>
        <s v="패션_쇼핑"/>
        <s v="교육_학습"/>
        <s v="여행_숙박"/>
        <s v="의료_건강"/>
        <s v="주거_통신"/>
        <m/>
      </sharedItems>
    </cacheField>
    <cacheField name="소분류" numFmtId="0">
      <sharedItems containsBlank="1"/>
    </cacheField>
    <cacheField name="금액" numFmtId="180">
      <sharedItems containsString="0" containsBlank="1" containsNumber="1" containsInteger="1" minValue="-6000000" maxValue="6000000"/>
    </cacheField>
    <cacheField name="금액rev" numFmtId="176">
      <sharedItems containsString="0" containsBlank="1" containsNumber="1" containsInteger="1" minValue="-6000000" maxValue="6000000"/>
    </cacheField>
    <cacheField name="거래처" numFmtId="0">
      <sharedItems containsBlank="1" count="672">
        <s v="계좌등록"/>
        <s v="동탄호수공원"/>
        <s v="출장여비"/>
        <s v="홍대개미"/>
        <s v="웃는양복"/>
        <s v="박수진"/>
        <s v="엄마"/>
        <s v="수타신짬뽕"/>
        <s v="용돈"/>
        <s v="자판기"/>
        <s v="GS25"/>
        <s v="G쿠터"/>
        <s v="라온하루헤어"/>
        <s v="버거킹"/>
        <s v="빽다방대전역"/>
        <s v="엠브레인"/>
        <s v="국군재정단"/>
        <s v="카카오선물하기"/>
        <s v="용산편백집"/>
        <s v="국민적금이체"/>
        <s v="우리적금이체"/>
        <s v="육탄 점심"/>
        <s v="자동이체 수수료"/>
        <s v="분대활동비 이전"/>
        <s v="통신비 환급"/>
        <s v="추풍령휴게소 부산"/>
        <s v="서대전역 자판기"/>
        <s v="역전우동 대전역"/>
        <s v="작전비 입금"/>
        <s v="공차"/>
        <s v="굽네치킨"/>
        <s v="노트북 중고거래"/>
        <s v="육탄 점심, 저녁"/>
        <s v="교통비 출금"/>
        <s v="왕비성"/>
        <s v="추풍령휴게소 서울"/>
        <s v="결산이자"/>
        <s v="승무 소급"/>
        <s v="코바그릴"/>
        <s v="포토시그니쳐 은행점"/>
        <s v="국군복지단"/>
        <s v="조용민"/>
        <s v="구글플레이"/>
        <s v="광스웍스"/>
        <s v="오며가며무인카페"/>
        <s v="용산 순대국밥"/>
        <s v="킹베이퍼"/>
        <s v="프랭크버거"/>
        <s v="동행복권"/>
        <s v="지마켓"/>
        <s v="임실 is pizza"/>
        <s v="교촌치킨"/>
        <s v="KFC"/>
        <s v="상상짬뽕"/>
        <s v="이준혁"/>
        <s v="카페051 부산역점"/>
        <s v="철화 치킨"/>
        <s v="열린참치"/>
        <s v="권은희"/>
        <s v="쉐이빙밤"/>
        <s v="스토리웨이 신탄진"/>
        <s v="보스헤어"/>
        <s v="분대활동비 입금"/>
        <s v="에그박스"/>
        <s v="일이공생돈가스"/>
        <s v="김도현 전역복"/>
        <s v="스토리웨이 조치원"/>
        <s v="요녀석파스타"/>
        <s v="택시"/>
        <s v="광카롱"/>
        <s v="니코니코니"/>
        <s v="죠스떡볶이"/>
        <s v="한화생명"/>
        <s v="저스트텐동"/>
        <s v="헤밍웨이베이커리"/>
        <s v="한국철도공사"/>
        <s v="분대활동비 사용"/>
        <s v="던킨도너츠 대전역"/>
        <s v="CMA계좌출금"/>
        <s v="컴퓨터 부품"/>
        <s v="한강공원"/>
        <s v="곱도리식당"/>
        <s v="G마켓"/>
        <s v="맥도날드"/>
        <s v="유튜브 프리미엄"/>
        <s v="KB체크할인"/>
        <s v="중고거래"/>
        <s v="씽씽"/>
        <s v="엔제리너스"/>
        <s v="오늘의집"/>
        <s v="롤링파스타"/>
        <s v="병력 점심"/>
        <s v="빽다방대전은행"/>
        <s v="핀플레이"/>
        <s v="김명진"/>
        <s v="서기남헤어클리닉"/>
        <s v="에버랜드"/>
        <s v="룩핀"/>
        <s v="다이소"/>
        <s v="따릉이"/>
        <s v="류호영"/>
        <s v="모바일티머니"/>
        <s v="STEAM"/>
        <s v="윤동근"/>
        <s v="티앙팡"/>
        <s v="플로렌스안경"/>
        <s v="스타벅스"/>
        <s v="가천대학교"/>
        <s v="슬립워크아지트"/>
        <s v="여의도한강공원"/>
        <s v="한강 저녁"/>
        <s v="세븐일레븐 대전역"/>
        <s v="육첩반상 대전역"/>
        <s v="베스킨라빈스"/>
        <s v="닭갈비"/>
        <s v="스크린야구"/>
        <s v="성심당 대전역"/>
        <s v="카카오"/>
        <s v="용인휴게소"/>
        <s v="악쓰는하마"/>
        <s v="99무한삼겹"/>
        <s v="아빠 생신"/>
        <s v="레드버튼"/>
        <s v="서울뼈구이"/>
        <s v="본인인증"/>
        <s v="연극관람"/>
        <s v="이빠네마그릴"/>
        <s v="국고환급"/>
        <s v="롯데리아 대전역"/>
        <s v="내계좌이체"/>
        <s v="술"/>
        <s v="청년다방"/>
        <s v="김진규"/>
        <s v="돈돈정"/>
        <s v="현금인출"/>
        <s v="교동짬뽕 대전역"/>
        <s v="박종민"/>
        <s v="CMA계좌입금"/>
        <s v="돼지찜"/>
        <s v="만기이자"/>
        <s v="단원구세무과"/>
        <s v="롯데홈쇼핑"/>
        <s v="발행어음 가입"/>
        <s v="대한상공회의소"/>
        <s v="그랜드메르 제주"/>
        <s v="수렌트카"/>
        <s v="제주항공"/>
        <s v="마이동"/>
        <s v="카카오바이크"/>
        <s v="Inkodo"/>
        <s v="시외버스"/>
        <s v="쿠팡풀필먼트서비스"/>
        <s v="제주여행"/>
        <s v="김포공항푸드코드"/>
        <s v="WV프로젝트"/>
        <s v="G마트"/>
        <s v="1월 제주도"/>
        <s v="리베르테"/>
        <s v="매칭지원금"/>
        <s v="친척집"/>
        <s v="셋째이모"/>
        <s v="은행인증"/>
        <s v="아이스크림에 빠지다"/>
        <s v="발행어음이자"/>
        <s v="서귀포주정차"/>
        <s v="수원상공회의소"/>
        <s v="일렉샵"/>
        <s v="쿠팡"/>
        <s v="해동주차장"/>
        <s v="외숙모"/>
        <s v="가족"/>
        <s v="시마스시"/>
        <s v="아빠"/>
        <s v="이모"/>
        <s v="크린토피아"/>
        <s v="공항특산품점"/>
        <s v="노블PC"/>
        <s v="대전역선상주차장"/>
        <s v="쿠우쿠우"/>
        <s v="피아또"/>
        <s v="자미당"/>
        <s v="중앙동 술값"/>
        <s v="김용오"/>
        <s v="스위치 타이틀"/>
        <s v="동해여행"/>
        <s v="사플PC카페"/>
        <s v="현대오일뱅크"/>
        <s v="숭실대학교"/>
        <s v="오브제"/>
        <s v="CGV"/>
        <s v="대부도 여행"/>
        <s v="인터파크"/>
        <s v="이호준"/>
        <s v="숭실대학교소비자생협"/>
        <s v="도쿄라멘"/>
        <s v="이지민"/>
        <s v="숭실길약국"/>
        <s v="카페331"/>
        <s v="밀플랜비"/>
        <s v="돈통마늘보쌈"/>
        <s v="스토리PC"/>
        <s v="연래춘"/>
        <s v="이디야커피"/>
        <s v="호야치킨"/>
        <s v="유가네닭갈비"/>
        <s v="마이피오디"/>
        <s v="쿱스캣"/>
        <s v="멘동"/>
        <s v="넥슨"/>
        <s v="롯데시네마 부천"/>
        <s v="스시벅스"/>
        <s v="투썸플레이스"/>
        <s v="덮밥"/>
        <s v="저녁"/>
        <s v="설쌈냉면"/>
        <s v="써브웨이"/>
        <s v="공릉동멸치국수"/>
        <s v="봄봄"/>
        <s v="전정공MT"/>
        <s v="고렝"/>
        <s v="밀알분식"/>
        <s v="긴자료코"/>
        <s v="세븐일레븐"/>
        <s v="파라다이스"/>
        <s v="손칼국수"/>
        <s v="취향"/>
        <s v="한가족약국"/>
        <s v="백채김치찌개"/>
        <s v="왕돈왕냉"/>
        <s v="고추동제면소"/>
        <s v="더코네"/>
        <s v="롯데시네마"/>
        <s v="리얼후라이"/>
        <s v="우마이"/>
        <s v="볼원볼링장"/>
        <s v="포토그레이"/>
        <s v="아영이네"/>
        <s v="예비군 교통비"/>
        <s v="롯데시네마 산본"/>
        <s v="피자앤치킨"/>
        <s v="커피만"/>
        <s v="닌텐도e샵"/>
        <s v="대웅주유소"/>
        <s v="어버이날"/>
        <s v="스윙"/>
        <s v="신의주찹쌀순대"/>
        <s v="S오일"/>
        <s v="북경"/>
        <s v="파리바게트"/>
        <s v="마루스시"/>
        <s v="여의도 한강공원"/>
        <s v="홍약국"/>
        <s v="내가찜한닭"/>
        <s v="이모네"/>
        <s v="퍼민"/>
        <s v="곱도리+코노+인쌩"/>
        <s v="김각규"/>
        <s v="부리또집"/>
        <s v="SK오일"/>
        <s v="안산시공영주차장"/>
        <s v="흠뻑쇼"/>
        <s v="크라이치즈버거"/>
        <s v="경찰청"/>
        <s v="올리브영"/>
        <s v="슈퍼보드 보드게임"/>
        <s v="여기어때"/>
        <s v="육쌈냉면"/>
        <s v="성남문화센터"/>
        <s v="속초여행"/>
        <s v="삼진볼링타운"/>
        <s v="성남시공영주차장"/>
        <s v="디지털할인마트"/>
        <s v="배터지는집"/>
        <s v="설빙"/>
        <s v="숨맑은집"/>
        <s v="안양시공영주차장"/>
        <s v="후타가와"/>
        <s v="깐부치킨"/>
        <s v="솔리드웍스"/>
        <s v="제로백PC"/>
        <s v="노들섬주차장"/>
        <s v="쑝쑝돈까스"/>
        <s v="화환비"/>
        <s v="디저트39"/>
        <s v="옛찻집"/>
        <s v="오레노라멘"/>
        <s v="이층양옥"/>
        <s v="고잔동상가"/>
        <s v="짬뽕지존"/>
        <s v="편백집"/>
        <s v="백소정"/>
        <s v="어린이대공원 주차장"/>
        <s v="추억과김밥"/>
        <s v="사당역포차"/>
        <s v="영풍문고"/>
        <s v="덴치"/>
        <s v="파스타마마"/>
        <s v="인터파크티켓"/>
        <s v="고향메밀촌"/>
        <s v="만뽀 스키야키"/>
        <s v="메가커피"/>
        <s v="백미당"/>
        <s v="서울시공영주차장"/>
        <s v="서울역토스트"/>
        <s v="스토리웨이"/>
        <s v="재학증명서"/>
        <s v="엔씨송파점"/>
        <s v="숑숑돈까스"/>
        <s v="강릉초당짬뽕순두부"/>
        <s v="매머드커피"/>
        <s v="황궁"/>
        <s v="광명AK플라자"/>
        <s v="메가박스"/>
        <s v="이케아"/>
        <s v="던킨도너츠"/>
        <s v="주식계좌입금"/>
        <s v="두메 공연"/>
        <s v="여우골초밥"/>
        <s v="테라로사"/>
        <s v="홍마떡"/>
        <s v="메이빌"/>
        <s v="토스인증"/>
        <s v="에이플PC"/>
        <s v="에잇피스"/>
        <s v="CU"/>
        <s v="스파게티하우스"/>
        <s v="본죽"/>
        <s v="셀세모"/>
        <s v="주식수익"/>
        <s v="오레오트럭"/>
        <s v="진푸"/>
        <s v="타코야끼트럭"/>
        <s v="훈민스캔"/>
        <s v="청운"/>
        <s v="무인아이스크림"/>
        <s v="현선이네"/>
        <s v="왕가탕후루"/>
        <s v="이면"/>
        <s v="주식계좌출금"/>
        <s v="따뜻한밥상"/>
        <s v="카페잉"/>
        <s v="옥션"/>
        <s v="마초쉐프"/>
        <s v="와우PC"/>
        <s v="단원구주정차"/>
        <s v="카카오이모티콘"/>
        <s v="뚝배기스파게티"/>
        <s v="은화수식당"/>
        <s v="수암주유소"/>
        <s v="더진국"/>
        <s v="알뜰주유소"/>
        <s v="앤티앤스프레즐"/>
        <s v="퍼줄브런치카페"/>
        <s v="롯데월드"/>
        <s v="롯데월드주차장"/>
        <s v="더필름"/>
        <s v="오술차"/>
        <s v="해성노래방"/>
        <s v="김호진"/>
        <s v="고씨네"/>
        <s v="고려삼계탕"/>
        <s v="참베이커리"/>
        <s v="슈니퐁당"/>
        <s v="새로나스튜디오"/>
        <s v="여권발급수수료"/>
        <s v="미학당"/>
        <s v="고망고"/>
        <s v="동대문디자인플라자"/>
        <s v="샤오바오우육면"/>
        <s v="세븐틴코인노래방"/>
        <s v="아키나이제면"/>
        <s v="김도현"/>
        <s v="보르도세계주류"/>
        <s v="교보문고"/>
        <s v="범계 저녁"/>
        <s v="체크취소"/>
        <s v="금성전기조명"/>
        <s v="코인빨래방"/>
        <s v="로또"/>
        <s v="티몬"/>
        <s v="삼성의원"/>
        <s v="상도프라자약국"/>
        <s v="웰빙상도"/>
        <s v="홍대쌀국수"/>
        <s v="1월 일본 왕복 비행기"/>
        <s v="명륜진사갈비"/>
        <s v="에어비앤비"/>
        <s v="고수의운전면허"/>
        <s v="새날약국"/>
        <s v="도로교통공단"/>
        <s v="맘스키친"/>
        <s v="서울미술관"/>
        <s v="서촌샤브로21"/>
        <s v="침니펍"/>
        <s v="인쌩맥주"/>
        <s v="호선쌤 결혼식"/>
        <s v="관악식자재마트"/>
        <s v="숭실빨래방"/>
        <s v="황후탕후루"/>
        <s v="정원분식"/>
        <s v="부원프라자"/>
        <s v="설날 세뱃돈"/>
        <s v="차량조회365"/>
        <s v="CDKeys"/>
        <s v="서울가스공사"/>
        <s v="면식당"/>
        <s v="바른생각"/>
        <s v="이삭토스트"/>
        <s v="춘천집명가"/>
        <s v="배달의민족"/>
        <s v="하나로축산"/>
        <s v="우리들주차장"/>
        <s v="동원건어물"/>
        <s v="행운가득초당주유소"/>
        <s v="한전"/>
        <s v="비지티호두단팥빵"/>
        <s v="아트스트릿11"/>
        <s v="을지다락"/>
        <s v="케이블카매점"/>
        <s v="한국삭도공업"/>
        <s v="프레드피자"/>
        <s v="구글"/>
        <s v="손인서"/>
        <s v="논두렁"/>
        <s v="아웃닭"/>
        <s v="당근"/>
        <s v="미니빅"/>
        <s v="네이버쇼핑"/>
        <s v="그린카"/>
        <s v="명랑핫도그"/>
        <s v="스톤504"/>
        <s v="학생복지스토어"/>
        <s v="코코노포"/>
        <s v="BBQ"/>
        <s v="Mouse potato"/>
        <s v="정비뇨기과"/>
        <s v="노모어피자"/>
        <s v="다원맛칼국수"/>
        <s v="샹츠마라"/>
        <s v="컴포즈커피"/>
        <s v="쿠팡이츠"/>
        <s v="뚜레쥬르"/>
        <s v="플레르프랑"/>
        <s v="투루카"/>
        <s v="갤러리아포레"/>
        <s v="맥켄치킨"/>
        <s v="니키스(빨간트럭)"/>
        <s v="곰보냉면"/>
        <s v="제주공항특산품점"/>
        <s v="OST"/>
        <s v="국제도서전"/>
        <s v="유아왓유잇"/>
        <s v="편안"/>
        <s v="락휴코인노래방"/>
        <s v="주섬주섬"/>
        <s v="막불감동"/>
        <s v="SNS PC방"/>
        <s v="리코스타코인노래연습장"/>
        <s v="비어킹"/>
        <s v="티머니"/>
        <s v="카페프리헷"/>
        <s v="짱구분식"/>
        <s v="타코튜스데이"/>
        <s v="바이닐"/>
        <s v="벌툰"/>
        <s v="카카오택시"/>
        <s v="진에어"/>
        <s v="카카오손해보험"/>
        <s v="여행한그릇"/>
        <s v="USJ"/>
        <s v="7월 일본여행"/>
        <s v="경복궁면세점"/>
        <s v="강남77"/>
        <s v="3분밥상"/>
        <s v="코레일유통"/>
        <s v="수제대박분식"/>
        <s v="아이센스리그PC방"/>
        <s v="치킨플러스"/>
        <s v="블리자드"/>
        <s v="권순옥"/>
        <s v="더현대서울"/>
        <s v="수티"/>
        <s v="소몽"/>
        <s v="김현주"/>
        <s v="마이크로소프트"/>
        <s v="유튜브 멤버쉽"/>
        <s v="파동추야"/>
        <s v="스아게"/>
        <s v="고고핑"/>
        <s v="정인혜"/>
        <s v="아트박스"/>
        <s v="아이리스PC"/>
        <s v="카툰플러스"/>
        <s v="플레이타코"/>
        <s v="루이까또즈"/>
        <s v="용용선생"/>
        <s v="더맨타코"/>
        <s v="어더아사"/>
        <s v="본가손만두"/>
        <s v="청와정"/>
        <s v="DB다이렉트"/>
        <s v="이마트에브리데이"/>
        <s v="임혜원"/>
        <s v="으리으리"/>
        <s v="아모제푸드"/>
        <s v="알파문구"/>
        <s v="오란다볼링파크"/>
        <s v="지쿠터"/>
        <s v="아름다운가게"/>
        <s v="우체국"/>
        <s v="스팅"/>
        <s v="LiivM통신요금"/>
        <s v="로앤산부인과"/>
        <s v="순수카츠"/>
        <s v="메리엘스"/>
        <s v="아이스박스"/>
        <s v="GS마트"/>
        <s v="Claude 구독"/>
        <s v="피자스쿨"/>
        <s v="주식계좌 출금"/>
        <s v="미국여행"/>
        <s v="러쉬"/>
        <s v="249무한조개"/>
        <s v="맛닭꼬"/>
        <s v="송옥 방배점"/>
        <s v="인천공항공사"/>
        <s v="콘웰"/>
        <s v="희범쌤 결혼식"/>
        <s v="포토이즘"/>
        <s v="별빛파티룸"/>
        <s v="고당쫄면"/>
        <s v="타코야끼클라스"/>
        <s v="이장원 부친상"/>
        <s v="카카오주문하기"/>
        <s v="미꼬담"/>
        <s v="아이존팝"/>
        <s v="노원기차마을"/>
        <s v="xbox"/>
        <s v="김예빈"/>
        <s v="우마이식당"/>
        <s v="세뱃돈"/>
        <s v="변상민"/>
        <s v="KB페이 충전"/>
        <s v="송제윤"/>
        <s v="쎄시봉"/>
        <s v="매덕스피자"/>
        <s v="다독이네 숯불구이"/>
        <s v="코인노래방"/>
        <s v="수수하지만굉장해"/>
        <s v="몬스터코인노래방"/>
        <s v="테이블1629"/>
        <s v="SHAKE SHACK"/>
        <s v="무인양품"/>
        <s v="팔팔구"/>
        <s v="생일용돈"/>
        <s v="KB페이충전"/>
        <s v="슬기로운간식생활"/>
        <s v="더까까주까"/>
        <s v="손칼국수집"/>
        <s v="시도플레이스"/>
        <s v="평화연남"/>
        <s v="호랑이행님"/>
        <s v="보쌈나무"/>
        <s v="롯데리아"/>
        <s v="3층다락방"/>
        <s v="바나프레소"/>
        <s v="알라딘"/>
        <s v="박병선"/>
        <s v="육회바른연어"/>
        <s v="크레이저커피"/>
        <s v="스타동"/>
        <s v="안안"/>
        <s v="평화다방"/>
        <s v="ANTHROPIC"/>
        <s v="보영만두"/>
        <s v="율"/>
        <s v="스노우폭스플라워"/>
        <s v="낙원의소바"/>
        <s v="이마트24"/>
        <s v="두잇"/>
        <s v="케이티알파"/>
        <s v="이건빈"/>
        <s v="헤이티"/>
        <s v="짱구네떡볶이"/>
        <s v="야놀자"/>
        <s v="깡우동"/>
        <s v="이호영 조부상"/>
        <s v="박복순쭈꾸미"/>
        <s v="우지커피"/>
        <s v="옛날집"/>
        <s v="GITHUB"/>
        <s v="증명서 수수료"/>
        <s v="인프레쉬"/>
        <s v="샤브로21"/>
        <s v="떡도리탕"/>
        <s v="데이릿"/>
        <s v="태양의토마토라멘"/>
        <s v="베트남휴게소"/>
        <s v="아비오그란데"/>
        <s v="일월분식"/>
        <s v="팔도밀방"/>
        <s v="라쿤피자"/>
        <s v="큐넷"/>
        <s v="오픽시험"/>
        <s v="홍대돈부리"/>
        <s v="유독"/>
        <s v="8월 보험료"/>
        <s v="8월 통신비"/>
        <s v="8월 넷플"/>
        <m/>
        <s v="SAP Certi" u="1"/>
        <s v="6월 통신비" u="1"/>
        <s v="5월 통신" u="1"/>
        <s v="5월 보험료" u="1"/>
        <s v="손동호" u="1"/>
        <s v="4월 보험료" u="1"/>
        <s v="4월 통신비" u="1"/>
        <s v="3월 통신비" u="1"/>
        <s v="넷플릭스" u="1"/>
        <s v="1월 통신비" u="1"/>
        <s v="12월통신비" u="1"/>
        <s v="KIS정보통신" u="1"/>
        <s v="ESTA수수료" u="1"/>
        <s v="11월 통신비" u="1"/>
        <s v="9월 보험료" u="1"/>
        <s v="9월 통신비" u="1"/>
        <s v="고추동" u="1"/>
        <s v="7월 보험료" u="1"/>
        <s v="7월 통신비" u="1"/>
        <s v="면세점" u="1"/>
        <s v="6월 보험료" u="1"/>
        <s v="스팀" u="1"/>
        <s v="1월 관리비" u="1"/>
        <s v="2월 통신비" u="1"/>
        <s v="2월 보험료" u="1"/>
        <s v="f" u="1"/>
        <s v="g" u="1"/>
        <s v="1월 보험료" u="1"/>
        <s v="바바플" u="1"/>
        <s v="네이버페이" u="1"/>
        <s v="11월 보험료" u="1"/>
        <s v="설쌈냉명" u="1"/>
        <s v="10월통신비" u="1"/>
        <s v="10월보험료" u="1"/>
        <s v="임시" u="1"/>
        <s v="밀알식당" u="1"/>
        <s v="GS25진해" u="1"/>
        <s v="8월통신비" u="1"/>
        <s v="공차 용산아이파크몰" u="1"/>
        <s v="3월 보험료" u="1"/>
        <s v="윤시호" u="1"/>
        <s v="롤링파스타범계역점" u="1"/>
        <s v="버거킹 진해" u="1"/>
        <s v="통신비" u="1"/>
        <s v="8월보험료" u="1"/>
        <s v="test" u="1"/>
        <s v="카카오페이 충전" u="1"/>
        <s v="이자" u="1"/>
        <s v="버거킹서대전" u="1"/>
        <s v="점심" u="1"/>
        <s v="김치찌개" u="1"/>
        <s v="GS25 논산역점" u="1"/>
        <s v="공차 배달" u="1"/>
        <s v="맥도날드고잔DT" u="1"/>
        <s v="호송모 1등 상금" u="1"/>
        <s v="롤링파스타대전은행점" u="1"/>
        <s v="버거킹고잔" u="1"/>
        <s v="GS25보네르" u="1"/>
        <s v="비멘동" u="1"/>
        <s v="숭실대학교 소비자생협" u="1"/>
        <s v="레드버튼 신촌" u="1"/>
        <s v="GS25안산보네르" u="1"/>
      </sharedItems>
    </cacheField>
    <cacheField name="메모" numFmtId="0">
      <sharedItems containsBlank="1"/>
    </cacheField>
    <cacheField name="연2" numFmtId="0" databaseField="0">
      <fieldGroup base="1">
        <rangePr groupBy="years" startDate="2022-07-01T00:00:00" endDate="2025-08-10T00:00:00"/>
        <groupItems count="6">
          <s v="&lt;2022-07-01"/>
          <s v="2022년"/>
          <s v="2023년"/>
          <s v="2024년"/>
          <s v="2025년"/>
          <s v="&gt;2025-08-10"/>
        </groupItems>
      </fieldGroup>
    </cacheField>
    <cacheField name="총합계" numFmtId="0" formula="유형" databaseField="0"/>
  </cacheFields>
  <extLst>
    <ext xmlns:x14="http://schemas.microsoft.com/office/spreadsheetml/2009/9/main" uri="{725AE2AE-9491-48be-B2B4-4EB974FC3084}">
      <x14:pivotCacheDefinition pivotCacheId="174810123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227">
  <r>
    <x v="0"/>
    <x v="0"/>
    <x v="0"/>
    <x v="0"/>
    <n v="1"/>
    <x v="0"/>
    <x v="0"/>
    <x v="0"/>
    <s v="내계좌이체"/>
    <n v="-53097"/>
    <n v="53097"/>
    <x v="0"/>
    <m/>
  </r>
  <r>
    <x v="1"/>
    <x v="0"/>
    <x v="0"/>
    <x v="0"/>
    <n v="1"/>
    <x v="1"/>
    <x v="0"/>
    <x v="0"/>
    <s v="내계좌이체"/>
    <n v="-357530"/>
    <n v="357530"/>
    <x v="0"/>
    <m/>
  </r>
  <r>
    <x v="2"/>
    <x v="0"/>
    <x v="0"/>
    <x v="0"/>
    <n v="1"/>
    <x v="2"/>
    <x v="0"/>
    <x v="0"/>
    <s v="내계좌이체"/>
    <n v="-407121"/>
    <n v="407121"/>
    <x v="0"/>
    <m/>
  </r>
  <r>
    <x v="3"/>
    <x v="0"/>
    <x v="0"/>
    <x v="0"/>
    <n v="1"/>
    <x v="3"/>
    <x v="0"/>
    <x v="0"/>
    <s v="내계좌이체"/>
    <n v="-10"/>
    <n v="10"/>
    <x v="0"/>
    <m/>
  </r>
  <r>
    <x v="4"/>
    <x v="0"/>
    <x v="0"/>
    <x v="0"/>
    <n v="1"/>
    <x v="4"/>
    <x v="0"/>
    <x v="0"/>
    <s v="내계좌이체"/>
    <n v="-2200000"/>
    <n v="2200000"/>
    <x v="0"/>
    <m/>
  </r>
  <r>
    <x v="5"/>
    <x v="0"/>
    <x v="0"/>
    <x v="0"/>
    <n v="1"/>
    <x v="5"/>
    <x v="0"/>
    <x v="0"/>
    <s v="내계좌이체"/>
    <n v="-2200000"/>
    <n v="2200000"/>
    <x v="0"/>
    <m/>
  </r>
  <r>
    <x v="6"/>
    <x v="0"/>
    <x v="0"/>
    <x v="0"/>
    <n v="1"/>
    <x v="6"/>
    <x v="0"/>
    <x v="0"/>
    <s v="내계좌이체"/>
    <n v="-4010690"/>
    <n v="4010690"/>
    <x v="0"/>
    <m/>
  </r>
  <r>
    <x v="7"/>
    <x v="0"/>
    <x v="0"/>
    <x v="0"/>
    <n v="1"/>
    <x v="1"/>
    <x v="1"/>
    <x v="1"/>
    <s v="주차"/>
    <n v="500"/>
    <n v="-500"/>
    <x v="1"/>
    <m/>
  </r>
  <r>
    <x v="8"/>
    <x v="0"/>
    <x v="0"/>
    <x v="0"/>
    <n v="1"/>
    <x v="1"/>
    <x v="2"/>
    <x v="2"/>
    <s v="상여금"/>
    <n v="-83330"/>
    <n v="83330"/>
    <x v="2"/>
    <m/>
  </r>
  <r>
    <x v="9"/>
    <x v="0"/>
    <x v="0"/>
    <x v="0"/>
    <n v="1"/>
    <x v="1"/>
    <x v="3"/>
    <x v="3"/>
    <s v="외식"/>
    <n v="23400"/>
    <n v="-23400"/>
    <x v="3"/>
    <m/>
  </r>
  <r>
    <x v="10"/>
    <x v="1"/>
    <x v="0"/>
    <x v="0"/>
    <n v="2"/>
    <x v="1"/>
    <x v="2"/>
    <x v="2"/>
    <s v="기타수입"/>
    <n v="-1"/>
    <n v="1"/>
    <x v="4"/>
    <s v="카카오인증"/>
  </r>
  <r>
    <x v="11"/>
    <x v="2"/>
    <x v="0"/>
    <x v="0"/>
    <n v="3"/>
    <x v="1"/>
    <x v="4"/>
    <x v="4"/>
    <s v="서비스구독"/>
    <n v="7425"/>
    <n v="-7425"/>
    <x v="5"/>
    <s v="디플구독"/>
  </r>
  <r>
    <x v="12"/>
    <x v="2"/>
    <x v="0"/>
    <x v="0"/>
    <n v="3"/>
    <x v="1"/>
    <x v="2"/>
    <x v="2"/>
    <s v="용돈"/>
    <n v="-1743"/>
    <n v="1743"/>
    <x v="6"/>
    <s v="보험, 넷플 차액"/>
  </r>
  <r>
    <x v="13"/>
    <x v="3"/>
    <x v="0"/>
    <x v="0"/>
    <n v="5"/>
    <x v="1"/>
    <x v="3"/>
    <x v="3"/>
    <s v="포장"/>
    <n v="19000"/>
    <n v="-19000"/>
    <x v="7"/>
    <s v="양장피 포장"/>
  </r>
  <r>
    <x v="14"/>
    <x v="4"/>
    <x v="0"/>
    <x v="0"/>
    <n v="6"/>
    <x v="1"/>
    <x v="2"/>
    <x v="2"/>
    <s v="용돈"/>
    <n v="-150000"/>
    <n v="150000"/>
    <x v="8"/>
    <s v="큰아빠,할머니 용돈-기름값"/>
  </r>
  <r>
    <x v="15"/>
    <x v="4"/>
    <x v="0"/>
    <x v="0"/>
    <n v="6"/>
    <x v="1"/>
    <x v="1"/>
    <x v="5"/>
    <s v="커피_음료"/>
    <n v="4000"/>
    <n v="-4000"/>
    <x v="9"/>
    <s v="롯데시네마 음료수"/>
  </r>
  <r>
    <x v="16"/>
    <x v="5"/>
    <x v="0"/>
    <x v="0"/>
    <n v="7"/>
    <x v="1"/>
    <x v="1"/>
    <x v="6"/>
    <s v="편의점"/>
    <n v="11000"/>
    <n v="-11000"/>
    <x v="10"/>
    <s v="여명2개"/>
  </r>
  <r>
    <x v="17"/>
    <x v="5"/>
    <x v="0"/>
    <x v="0"/>
    <n v="7"/>
    <x v="1"/>
    <x v="1"/>
    <x v="7"/>
    <s v="전동킥보드"/>
    <n v="1610"/>
    <n v="-1610"/>
    <x v="11"/>
    <m/>
  </r>
  <r>
    <x v="18"/>
    <x v="5"/>
    <x v="0"/>
    <x v="0"/>
    <n v="7"/>
    <x v="1"/>
    <x v="3"/>
    <x v="8"/>
    <s v="헤어샵"/>
    <n v="11000"/>
    <n v="-11000"/>
    <x v="12"/>
    <m/>
  </r>
  <r>
    <x v="19"/>
    <x v="5"/>
    <x v="0"/>
    <x v="0"/>
    <n v="7"/>
    <x v="1"/>
    <x v="3"/>
    <x v="3"/>
    <s v="포장"/>
    <n v="5500"/>
    <n v="-5500"/>
    <x v="13"/>
    <s v="고잔점"/>
  </r>
  <r>
    <x v="20"/>
    <x v="5"/>
    <x v="0"/>
    <x v="0"/>
    <n v="7"/>
    <x v="1"/>
    <x v="1"/>
    <x v="5"/>
    <s v="커피_음료"/>
    <n v="26600"/>
    <n v="-26600"/>
    <x v="14"/>
    <s v="복귀기념"/>
  </r>
  <r>
    <x v="21"/>
    <x v="5"/>
    <x v="0"/>
    <x v="0"/>
    <n v="7"/>
    <x v="1"/>
    <x v="2"/>
    <x v="2"/>
    <s v="기타수입"/>
    <n v="-10000"/>
    <n v="10000"/>
    <x v="15"/>
    <s v="포인트 출금"/>
  </r>
  <r>
    <x v="22"/>
    <x v="6"/>
    <x v="0"/>
    <x v="0"/>
    <n v="8"/>
    <x v="1"/>
    <x v="5"/>
    <x v="9"/>
    <s v="정기급여"/>
    <n v="-766300"/>
    <n v="766300"/>
    <x v="16"/>
    <s v="7월 월급"/>
  </r>
  <r>
    <x v="23"/>
    <x v="6"/>
    <x v="0"/>
    <x v="0"/>
    <n v="8"/>
    <x v="1"/>
    <x v="1"/>
    <x v="10"/>
    <s v="선물"/>
    <n v="17000"/>
    <n v="-17000"/>
    <x v="17"/>
    <s v="베라"/>
  </r>
  <r>
    <x v="24"/>
    <x v="7"/>
    <x v="0"/>
    <x v="0"/>
    <n v="10"/>
    <x v="1"/>
    <x v="3"/>
    <x v="3"/>
    <s v="외식"/>
    <n v="17300"/>
    <n v="-17300"/>
    <x v="18"/>
    <s v="승무 저녁"/>
  </r>
  <r>
    <x v="25"/>
    <x v="8"/>
    <x v="0"/>
    <x v="0"/>
    <n v="11"/>
    <x v="1"/>
    <x v="0"/>
    <x v="0"/>
    <s v="저축"/>
    <n v="200000"/>
    <n v="-200000"/>
    <x v="19"/>
    <m/>
  </r>
  <r>
    <x v="26"/>
    <x v="8"/>
    <x v="0"/>
    <x v="0"/>
    <n v="11"/>
    <x v="4"/>
    <x v="0"/>
    <x v="0"/>
    <s v="저축"/>
    <n v="-200000"/>
    <n v="200000"/>
    <x v="19"/>
    <m/>
  </r>
  <r>
    <x v="27"/>
    <x v="8"/>
    <x v="0"/>
    <x v="0"/>
    <n v="11"/>
    <x v="1"/>
    <x v="0"/>
    <x v="0"/>
    <s v="저축"/>
    <n v="200000"/>
    <n v="-200000"/>
    <x v="20"/>
    <m/>
  </r>
  <r>
    <x v="28"/>
    <x v="8"/>
    <x v="0"/>
    <x v="0"/>
    <n v="11"/>
    <x v="5"/>
    <x v="0"/>
    <x v="0"/>
    <s v="저축"/>
    <n v="-200000"/>
    <n v="200000"/>
    <x v="20"/>
    <m/>
  </r>
  <r>
    <x v="29"/>
    <x v="8"/>
    <x v="0"/>
    <x v="0"/>
    <n v="11"/>
    <x v="1"/>
    <x v="3"/>
    <x v="3"/>
    <s v="외식"/>
    <n v="17000"/>
    <n v="-17000"/>
    <x v="21"/>
    <s v="민관홍 이체"/>
  </r>
  <r>
    <x v="30"/>
    <x v="8"/>
    <x v="0"/>
    <x v="0"/>
    <n v="11"/>
    <x v="1"/>
    <x v="4"/>
    <x v="11"/>
    <s v="이자_대출"/>
    <n v="300"/>
    <n v="-300"/>
    <x v="22"/>
    <m/>
  </r>
  <r>
    <x v="31"/>
    <x v="9"/>
    <x v="0"/>
    <x v="0"/>
    <n v="12"/>
    <x v="1"/>
    <x v="0"/>
    <x v="0"/>
    <s v="내계좌이체"/>
    <n v="28370"/>
    <n v="-28370"/>
    <x v="23"/>
    <m/>
  </r>
  <r>
    <x v="32"/>
    <x v="9"/>
    <x v="0"/>
    <x v="0"/>
    <n v="12"/>
    <x v="3"/>
    <x v="0"/>
    <x v="0"/>
    <s v="내계좌이체"/>
    <n v="-97520"/>
    <n v="97520"/>
    <x v="23"/>
    <m/>
  </r>
  <r>
    <x v="33"/>
    <x v="9"/>
    <x v="0"/>
    <x v="0"/>
    <n v="12"/>
    <x v="1"/>
    <x v="2"/>
    <x v="2"/>
    <s v="금융수입"/>
    <n v="-2500"/>
    <n v="2500"/>
    <x v="24"/>
    <m/>
  </r>
  <r>
    <x v="34"/>
    <x v="10"/>
    <x v="0"/>
    <x v="0"/>
    <n v="13"/>
    <x v="1"/>
    <x v="3"/>
    <x v="6"/>
    <s v="편의점"/>
    <n v="1500"/>
    <n v="-1500"/>
    <x v="10"/>
    <s v="진해탄약항, 스프라이트"/>
  </r>
  <r>
    <x v="35"/>
    <x v="10"/>
    <x v="0"/>
    <x v="0"/>
    <n v="13"/>
    <x v="1"/>
    <x v="3"/>
    <x v="3"/>
    <s v="포장"/>
    <n v="5500"/>
    <n v="-5500"/>
    <x v="13"/>
    <s v="진해점, 민관홍 이체"/>
  </r>
  <r>
    <x v="36"/>
    <x v="10"/>
    <x v="0"/>
    <x v="0"/>
    <n v="13"/>
    <x v="1"/>
    <x v="3"/>
    <x v="3"/>
    <s v="외식"/>
    <n v="8900"/>
    <n v="-8900"/>
    <x v="25"/>
    <s v="볶음밥"/>
  </r>
  <r>
    <x v="37"/>
    <x v="11"/>
    <x v="0"/>
    <x v="0"/>
    <n v="14"/>
    <x v="1"/>
    <x v="1"/>
    <x v="6"/>
    <s v="편의점"/>
    <n v="1000"/>
    <n v="-1000"/>
    <x v="26"/>
    <m/>
  </r>
  <r>
    <x v="38"/>
    <x v="11"/>
    <x v="0"/>
    <x v="0"/>
    <n v="14"/>
    <x v="1"/>
    <x v="3"/>
    <x v="3"/>
    <s v="포장"/>
    <n v="5500"/>
    <n v="-5500"/>
    <x v="27"/>
    <m/>
  </r>
  <r>
    <x v="39"/>
    <x v="12"/>
    <x v="0"/>
    <x v="0"/>
    <n v="15"/>
    <x v="1"/>
    <x v="1"/>
    <x v="7"/>
    <s v="전동킥보드"/>
    <n v="1430"/>
    <n v="-1430"/>
    <x v="11"/>
    <m/>
  </r>
  <r>
    <x v="40"/>
    <x v="12"/>
    <x v="0"/>
    <x v="0"/>
    <n v="15"/>
    <x v="1"/>
    <x v="3"/>
    <x v="3"/>
    <s v="포장"/>
    <n v="8900"/>
    <n v="-8900"/>
    <x v="13"/>
    <s v="서대전"/>
  </r>
  <r>
    <x v="41"/>
    <x v="12"/>
    <x v="0"/>
    <x v="0"/>
    <n v="15"/>
    <x v="1"/>
    <x v="2"/>
    <x v="2"/>
    <s v="상여금"/>
    <n v="-34000"/>
    <n v="34000"/>
    <x v="28"/>
    <m/>
  </r>
  <r>
    <x v="42"/>
    <x v="13"/>
    <x v="0"/>
    <x v="0"/>
    <n v="16"/>
    <x v="1"/>
    <x v="1"/>
    <x v="5"/>
    <s v="커피_음료"/>
    <n v="5100"/>
    <n v="-5100"/>
    <x v="29"/>
    <m/>
  </r>
  <r>
    <x v="43"/>
    <x v="13"/>
    <x v="0"/>
    <x v="0"/>
    <n v="16"/>
    <x v="3"/>
    <x v="0"/>
    <x v="0"/>
    <s v="배달"/>
    <n v="85400"/>
    <n v="-85400"/>
    <x v="30"/>
    <s v="분대활동비"/>
  </r>
  <r>
    <x v="44"/>
    <x v="14"/>
    <x v="0"/>
    <x v="0"/>
    <n v="18"/>
    <x v="1"/>
    <x v="0"/>
    <x v="0"/>
    <s v="이체"/>
    <n v="-650000"/>
    <n v="650000"/>
    <x v="31"/>
    <m/>
  </r>
  <r>
    <x v="45"/>
    <x v="14"/>
    <x v="0"/>
    <x v="0"/>
    <n v="18"/>
    <x v="1"/>
    <x v="3"/>
    <x v="3"/>
    <s v="외식"/>
    <n v="13100"/>
    <n v="-13100"/>
    <x v="21"/>
    <s v="점심+간식값"/>
  </r>
  <r>
    <x v="46"/>
    <x v="15"/>
    <x v="0"/>
    <x v="0"/>
    <n v="19"/>
    <x v="1"/>
    <x v="3"/>
    <x v="3"/>
    <s v="외식"/>
    <n v="15300"/>
    <n v="-15300"/>
    <x v="32"/>
    <s v="설렁탕, 버거킹 오세호 이체"/>
  </r>
  <r>
    <x v="47"/>
    <x v="15"/>
    <x v="0"/>
    <x v="0"/>
    <n v="19"/>
    <x v="1"/>
    <x v="2"/>
    <x v="2"/>
    <s v="상여금"/>
    <n v="-66330"/>
    <n v="66330"/>
    <x v="28"/>
    <m/>
  </r>
  <r>
    <x v="48"/>
    <x v="15"/>
    <x v="0"/>
    <x v="0"/>
    <n v="19"/>
    <x v="1"/>
    <x v="3"/>
    <x v="3"/>
    <s v="외식"/>
    <n v="7000"/>
    <n v="-7000"/>
    <x v="25"/>
    <s v="육탄 점심"/>
  </r>
  <r>
    <x v="49"/>
    <x v="16"/>
    <x v="0"/>
    <x v="0"/>
    <n v="20"/>
    <x v="1"/>
    <x v="1"/>
    <x v="7"/>
    <s v="대중교통"/>
    <n v="4400"/>
    <n v="-4400"/>
    <x v="33"/>
    <m/>
  </r>
  <r>
    <x v="50"/>
    <x v="16"/>
    <x v="0"/>
    <x v="0"/>
    <n v="20"/>
    <x v="1"/>
    <x v="3"/>
    <x v="3"/>
    <s v="배달"/>
    <n v="11200"/>
    <n v="-11200"/>
    <x v="34"/>
    <s v="김도현 이체"/>
  </r>
  <r>
    <x v="51"/>
    <x v="16"/>
    <x v="0"/>
    <x v="0"/>
    <n v="20"/>
    <x v="1"/>
    <x v="3"/>
    <x v="3"/>
    <s v="외식"/>
    <n v="7000"/>
    <n v="-7000"/>
    <x v="35"/>
    <s v="육탄 점심"/>
  </r>
  <r>
    <x v="52"/>
    <x v="17"/>
    <x v="0"/>
    <x v="0"/>
    <n v="21"/>
    <x v="3"/>
    <x v="2"/>
    <x v="2"/>
    <s v="금융수입"/>
    <n v="-3"/>
    <n v="3"/>
    <x v="36"/>
    <m/>
  </r>
  <r>
    <x v="53"/>
    <x v="17"/>
    <x v="0"/>
    <x v="0"/>
    <n v="21"/>
    <x v="1"/>
    <x v="2"/>
    <x v="2"/>
    <s v="상여금"/>
    <n v="-101000"/>
    <n v="101000"/>
    <x v="37"/>
    <m/>
  </r>
  <r>
    <x v="54"/>
    <x v="17"/>
    <x v="0"/>
    <x v="0"/>
    <n v="21"/>
    <x v="1"/>
    <x v="1"/>
    <x v="3"/>
    <s v="외식"/>
    <n v="33250"/>
    <n v="-33250"/>
    <x v="38"/>
    <s v="김도현 이체"/>
  </r>
  <r>
    <x v="55"/>
    <x v="17"/>
    <x v="0"/>
    <x v="0"/>
    <n v="21"/>
    <x v="1"/>
    <x v="1"/>
    <x v="12"/>
    <s v="기타"/>
    <n v="3000"/>
    <n v="-3000"/>
    <x v="39"/>
    <m/>
  </r>
  <r>
    <x v="56"/>
    <x v="18"/>
    <x v="0"/>
    <x v="0"/>
    <n v="22"/>
    <x v="1"/>
    <x v="1"/>
    <x v="6"/>
    <s v="마트"/>
    <n v="17270"/>
    <n v="-17270"/>
    <x v="40"/>
    <s v="환급할인 3150적용"/>
  </r>
  <r>
    <x v="57"/>
    <x v="18"/>
    <x v="0"/>
    <x v="0"/>
    <n v="22"/>
    <x v="1"/>
    <x v="2"/>
    <x v="2"/>
    <s v="상여금"/>
    <n v="-30000"/>
    <n v="30000"/>
    <x v="41"/>
    <s v="호송모 1등 상금"/>
  </r>
  <r>
    <x v="58"/>
    <x v="19"/>
    <x v="0"/>
    <x v="0"/>
    <n v="23"/>
    <x v="1"/>
    <x v="1"/>
    <x v="12"/>
    <s v="게임"/>
    <n v="3900"/>
    <n v="-3900"/>
    <x v="42"/>
    <s v="클오클"/>
  </r>
  <r>
    <x v="59"/>
    <x v="20"/>
    <x v="0"/>
    <x v="0"/>
    <n v="24"/>
    <x v="1"/>
    <x v="1"/>
    <x v="4"/>
    <s v="인터넷쇼핑"/>
    <n v="76000"/>
    <n v="-76000"/>
    <x v="43"/>
    <s v="키링 주문제작"/>
  </r>
  <r>
    <x v="60"/>
    <x v="20"/>
    <x v="0"/>
    <x v="0"/>
    <n v="24"/>
    <x v="1"/>
    <x v="1"/>
    <x v="5"/>
    <s v="커피_음료"/>
    <n v="2400"/>
    <n v="-2400"/>
    <x v="44"/>
    <m/>
  </r>
  <r>
    <x v="61"/>
    <x v="20"/>
    <x v="0"/>
    <x v="0"/>
    <n v="24"/>
    <x v="1"/>
    <x v="3"/>
    <x v="3"/>
    <s v="외식"/>
    <n v="13000"/>
    <n v="-13000"/>
    <x v="45"/>
    <s v="김도현 이체"/>
  </r>
  <r>
    <x v="62"/>
    <x v="20"/>
    <x v="0"/>
    <x v="0"/>
    <n v="24"/>
    <x v="1"/>
    <x v="1"/>
    <x v="12"/>
    <s v="취미"/>
    <n v="36500"/>
    <n v="-36500"/>
    <x v="46"/>
    <s v="액상+팟"/>
  </r>
  <r>
    <x v="63"/>
    <x v="20"/>
    <x v="0"/>
    <x v="0"/>
    <n v="24"/>
    <x v="1"/>
    <x v="3"/>
    <x v="3"/>
    <s v="포장"/>
    <n v="4900"/>
    <n v="-4900"/>
    <x v="47"/>
    <s v="김도현 이체"/>
  </r>
  <r>
    <x v="64"/>
    <x v="21"/>
    <x v="0"/>
    <x v="0"/>
    <n v="25"/>
    <x v="1"/>
    <x v="1"/>
    <x v="12"/>
    <s v="기타"/>
    <n v="5000"/>
    <n v="-5000"/>
    <x v="48"/>
    <m/>
  </r>
  <r>
    <x v="65"/>
    <x v="22"/>
    <x v="0"/>
    <x v="0"/>
    <n v="26"/>
    <x v="1"/>
    <x v="3"/>
    <x v="8"/>
    <s v="화장품"/>
    <n v="65246"/>
    <n v="-65246"/>
    <x v="49"/>
    <s v="기초화장품, 5%환급적용"/>
  </r>
  <r>
    <x v="66"/>
    <x v="23"/>
    <x v="0"/>
    <x v="0"/>
    <n v="27"/>
    <x v="1"/>
    <x v="3"/>
    <x v="3"/>
    <s v="외식"/>
    <n v="16000"/>
    <n v="-16000"/>
    <x v="50"/>
    <s v="임태수 이체"/>
  </r>
  <r>
    <x v="67"/>
    <x v="24"/>
    <x v="0"/>
    <x v="0"/>
    <n v="28"/>
    <x v="1"/>
    <x v="1"/>
    <x v="6"/>
    <s v="편의점"/>
    <n v="720"/>
    <n v="-720"/>
    <x v="10"/>
    <s v="논산역, 병력 커피"/>
  </r>
  <r>
    <x v="68"/>
    <x v="24"/>
    <x v="0"/>
    <x v="0"/>
    <n v="28"/>
    <x v="1"/>
    <x v="3"/>
    <x v="3"/>
    <s v="배달"/>
    <n v="14000"/>
    <n v="-14000"/>
    <x v="51"/>
    <s v="병력 배달"/>
  </r>
  <r>
    <x v="69"/>
    <x v="24"/>
    <x v="0"/>
    <x v="0"/>
    <n v="28"/>
    <x v="1"/>
    <x v="2"/>
    <x v="2"/>
    <s v="상여금"/>
    <n v="-52000"/>
    <n v="52000"/>
    <x v="28"/>
    <m/>
  </r>
  <r>
    <x v="70"/>
    <x v="25"/>
    <x v="0"/>
    <x v="0"/>
    <n v="29"/>
    <x v="1"/>
    <x v="3"/>
    <x v="6"/>
    <s v="마트"/>
    <n v="3000"/>
    <n v="-3000"/>
    <x v="40"/>
    <s v="육탄px 김도현 이체"/>
  </r>
  <r>
    <x v="71"/>
    <x v="26"/>
    <x v="0"/>
    <x v="0"/>
    <n v="30"/>
    <x v="1"/>
    <x v="1"/>
    <x v="3"/>
    <s v="배달"/>
    <n v="12700"/>
    <n v="-12700"/>
    <x v="52"/>
    <s v="류호영 이체"/>
  </r>
  <r>
    <x v="72"/>
    <x v="27"/>
    <x v="0"/>
    <x v="0"/>
    <n v="31"/>
    <x v="1"/>
    <x v="3"/>
    <x v="3"/>
    <s v="외식"/>
    <n v="7500"/>
    <n v="-7500"/>
    <x v="53"/>
    <s v="승무 저녁"/>
  </r>
  <r>
    <x v="73"/>
    <x v="27"/>
    <x v="0"/>
    <x v="0"/>
    <n v="31"/>
    <x v="1"/>
    <x v="0"/>
    <x v="0"/>
    <s v="이체"/>
    <n v="-2000"/>
    <n v="2000"/>
    <x v="54"/>
    <s v="담배사고 남은값"/>
  </r>
  <r>
    <x v="74"/>
    <x v="27"/>
    <x v="0"/>
    <x v="0"/>
    <n v="31"/>
    <x v="1"/>
    <x v="1"/>
    <x v="10"/>
    <s v="선물"/>
    <n v="21900"/>
    <n v="-21900"/>
    <x v="17"/>
    <s v="윤수누나 선물"/>
  </r>
  <r>
    <x v="75"/>
    <x v="27"/>
    <x v="0"/>
    <x v="0"/>
    <n v="31"/>
    <x v="1"/>
    <x v="1"/>
    <x v="5"/>
    <s v="커피_음료"/>
    <n v="2500"/>
    <n v="-2500"/>
    <x v="55"/>
    <m/>
  </r>
  <r>
    <x v="76"/>
    <x v="28"/>
    <x v="0"/>
    <x v="1"/>
    <n v="1"/>
    <x v="1"/>
    <x v="2"/>
    <x v="2"/>
    <s v="상여금"/>
    <n v="-4330"/>
    <n v="4330"/>
    <x v="28"/>
    <s v="중복식비 제외"/>
  </r>
  <r>
    <x v="77"/>
    <x v="28"/>
    <x v="0"/>
    <x v="1"/>
    <n v="1"/>
    <x v="1"/>
    <x v="1"/>
    <x v="3"/>
    <s v="배달"/>
    <n v="10000"/>
    <n v="-10000"/>
    <x v="56"/>
    <s v="민관홍 이체"/>
  </r>
  <r>
    <x v="78"/>
    <x v="29"/>
    <x v="0"/>
    <x v="1"/>
    <n v="2"/>
    <x v="1"/>
    <x v="1"/>
    <x v="3"/>
    <s v="외식"/>
    <n v="226000"/>
    <n v="-226000"/>
    <x v="57"/>
    <s v="전역빵 도현이랑 반씩"/>
  </r>
  <r>
    <x v="79"/>
    <x v="30"/>
    <x v="0"/>
    <x v="1"/>
    <n v="3"/>
    <x v="1"/>
    <x v="1"/>
    <x v="12"/>
    <s v="게임"/>
    <n v="2500"/>
    <n v="-2500"/>
    <x v="42"/>
    <s v="클오클"/>
  </r>
  <r>
    <x v="80"/>
    <x v="30"/>
    <x v="0"/>
    <x v="1"/>
    <n v="3"/>
    <x v="1"/>
    <x v="2"/>
    <x v="2"/>
    <s v="상여금"/>
    <n v="-21000"/>
    <n v="21000"/>
    <x v="28"/>
    <s v="중복식비 제외"/>
  </r>
  <r>
    <x v="81"/>
    <x v="31"/>
    <x v="0"/>
    <x v="1"/>
    <n v="4"/>
    <x v="1"/>
    <x v="2"/>
    <x v="2"/>
    <s v="용돈"/>
    <n v="-1500"/>
    <n v="1500"/>
    <x v="58"/>
    <s v="넷플내고 남은값"/>
  </r>
  <r>
    <x v="82"/>
    <x v="31"/>
    <x v="0"/>
    <x v="1"/>
    <n v="4"/>
    <x v="1"/>
    <x v="3"/>
    <x v="8"/>
    <s v="화장품"/>
    <n v="18120"/>
    <n v="-18120"/>
    <x v="59"/>
    <s v="김도현 이체"/>
  </r>
  <r>
    <x v="83"/>
    <x v="31"/>
    <x v="0"/>
    <x v="1"/>
    <n v="4"/>
    <x v="1"/>
    <x v="3"/>
    <x v="6"/>
    <s v="편의점"/>
    <n v="4100"/>
    <n v="-4100"/>
    <x v="60"/>
    <s v="병력 점심"/>
  </r>
  <r>
    <x v="84"/>
    <x v="32"/>
    <x v="0"/>
    <x v="1"/>
    <n v="5"/>
    <x v="1"/>
    <x v="3"/>
    <x v="8"/>
    <s v="헤어샵"/>
    <n v="10000"/>
    <n v="-10000"/>
    <x v="61"/>
    <m/>
  </r>
  <r>
    <x v="85"/>
    <x v="33"/>
    <x v="0"/>
    <x v="1"/>
    <n v="6"/>
    <x v="3"/>
    <x v="0"/>
    <x v="0"/>
    <s v="이체"/>
    <n v="-21150"/>
    <n v="21150"/>
    <x v="62"/>
    <m/>
  </r>
  <r>
    <x v="86"/>
    <x v="34"/>
    <x v="0"/>
    <x v="1"/>
    <n v="7"/>
    <x v="1"/>
    <x v="1"/>
    <x v="5"/>
    <s v="디저트_빵"/>
    <n v="3900"/>
    <n v="-3900"/>
    <x v="63"/>
    <s v="류호영 이체"/>
  </r>
  <r>
    <x v="87"/>
    <x v="35"/>
    <x v="0"/>
    <x v="1"/>
    <n v="8"/>
    <x v="1"/>
    <x v="1"/>
    <x v="3"/>
    <s v="외식"/>
    <n v="10000"/>
    <n v="-10000"/>
    <x v="64"/>
    <s v="분대외출"/>
  </r>
  <r>
    <x v="88"/>
    <x v="36"/>
    <x v="0"/>
    <x v="1"/>
    <n v="10"/>
    <x v="1"/>
    <x v="5"/>
    <x v="9"/>
    <s v="정기급여"/>
    <n v="-704000"/>
    <n v="704000"/>
    <x v="16"/>
    <s v="월급+체크할인"/>
  </r>
  <r>
    <x v="89"/>
    <x v="37"/>
    <x v="0"/>
    <x v="1"/>
    <n v="11"/>
    <x v="1"/>
    <x v="0"/>
    <x v="0"/>
    <s v="저축"/>
    <n v="200000"/>
    <n v="-200000"/>
    <x v="19"/>
    <m/>
  </r>
  <r>
    <x v="90"/>
    <x v="37"/>
    <x v="0"/>
    <x v="1"/>
    <n v="11"/>
    <x v="4"/>
    <x v="0"/>
    <x v="0"/>
    <s v="저축"/>
    <n v="-200000"/>
    <n v="200000"/>
    <x v="19"/>
    <m/>
  </r>
  <r>
    <x v="91"/>
    <x v="37"/>
    <x v="0"/>
    <x v="1"/>
    <n v="11"/>
    <x v="1"/>
    <x v="1"/>
    <x v="10"/>
    <s v="선물"/>
    <n v="14000"/>
    <n v="-14000"/>
    <x v="65"/>
    <s v="유준영 이체"/>
  </r>
  <r>
    <x v="92"/>
    <x v="37"/>
    <x v="0"/>
    <x v="1"/>
    <n v="11"/>
    <x v="1"/>
    <x v="3"/>
    <x v="6"/>
    <s v="편의점"/>
    <n v="2400"/>
    <n v="-2400"/>
    <x v="66"/>
    <s v="병력 점심"/>
  </r>
  <r>
    <x v="93"/>
    <x v="37"/>
    <x v="0"/>
    <x v="1"/>
    <n v="11"/>
    <x v="1"/>
    <x v="1"/>
    <x v="3"/>
    <s v="배달"/>
    <n v="41300"/>
    <n v="-41300"/>
    <x v="67"/>
    <s v="병력 점심+후임것까지"/>
  </r>
  <r>
    <x v="94"/>
    <x v="37"/>
    <x v="0"/>
    <x v="1"/>
    <n v="11"/>
    <x v="1"/>
    <x v="0"/>
    <x v="0"/>
    <s v="저축"/>
    <n v="200000"/>
    <n v="-200000"/>
    <x v="20"/>
    <m/>
  </r>
  <r>
    <x v="95"/>
    <x v="37"/>
    <x v="0"/>
    <x v="1"/>
    <n v="11"/>
    <x v="5"/>
    <x v="0"/>
    <x v="0"/>
    <s v="저축"/>
    <n v="-200000"/>
    <n v="200000"/>
    <x v="20"/>
    <m/>
  </r>
  <r>
    <x v="96"/>
    <x v="37"/>
    <x v="0"/>
    <x v="1"/>
    <n v="11"/>
    <x v="1"/>
    <x v="4"/>
    <x v="11"/>
    <s v="이자_대출"/>
    <n v="300"/>
    <n v="-300"/>
    <x v="20"/>
    <s v="이체수수료"/>
  </r>
  <r>
    <x v="97"/>
    <x v="37"/>
    <x v="0"/>
    <x v="1"/>
    <n v="11"/>
    <x v="1"/>
    <x v="2"/>
    <x v="2"/>
    <s v="상여금"/>
    <n v="-42000"/>
    <n v="42000"/>
    <x v="28"/>
    <m/>
  </r>
  <r>
    <x v="98"/>
    <x v="37"/>
    <x v="0"/>
    <x v="1"/>
    <n v="11"/>
    <x v="1"/>
    <x v="1"/>
    <x v="7"/>
    <s v="택시"/>
    <n v="7300"/>
    <n v="-7300"/>
    <x v="68"/>
    <s v="병력 택시"/>
  </r>
  <r>
    <x v="99"/>
    <x v="38"/>
    <x v="0"/>
    <x v="1"/>
    <n v="12"/>
    <x v="1"/>
    <x v="1"/>
    <x v="5"/>
    <s v="디저트_빵"/>
    <n v="20000"/>
    <n v="-20000"/>
    <x v="69"/>
    <s v="이대경 이체"/>
  </r>
  <r>
    <x v="100"/>
    <x v="38"/>
    <x v="0"/>
    <x v="1"/>
    <n v="12"/>
    <x v="1"/>
    <x v="1"/>
    <x v="12"/>
    <s v="게임"/>
    <n v="1200"/>
    <n v="-1200"/>
    <x v="42"/>
    <s v="클오클"/>
  </r>
  <r>
    <x v="101"/>
    <x v="38"/>
    <x v="0"/>
    <x v="1"/>
    <n v="12"/>
    <x v="1"/>
    <x v="1"/>
    <x v="6"/>
    <s v="마트"/>
    <n v="92880"/>
    <n v="-92880"/>
    <x v="40"/>
    <s v="대전병원px"/>
  </r>
  <r>
    <x v="102"/>
    <x v="38"/>
    <x v="0"/>
    <x v="1"/>
    <n v="12"/>
    <x v="1"/>
    <x v="1"/>
    <x v="3"/>
    <s v="외식"/>
    <n v="31400"/>
    <n v="-31400"/>
    <x v="70"/>
    <s v="승무 저녁+후임것까지"/>
  </r>
  <r>
    <x v="103"/>
    <x v="38"/>
    <x v="0"/>
    <x v="1"/>
    <n v="12"/>
    <x v="1"/>
    <x v="2"/>
    <x v="2"/>
    <s v="상여금"/>
    <n v="-37500"/>
    <n v="37500"/>
    <x v="28"/>
    <s v="작전비+통신비 할인"/>
  </r>
  <r>
    <x v="104"/>
    <x v="39"/>
    <x v="0"/>
    <x v="1"/>
    <n v="13"/>
    <x v="1"/>
    <x v="2"/>
    <x v="2"/>
    <s v="금융수입"/>
    <n v="-12377"/>
    <n v="12377"/>
    <x v="36"/>
    <s v="결산이자+체크할인"/>
  </r>
  <r>
    <x v="105"/>
    <x v="39"/>
    <x v="0"/>
    <x v="1"/>
    <n v="13"/>
    <x v="1"/>
    <x v="1"/>
    <x v="3"/>
    <s v="배달"/>
    <n v="6250"/>
    <n v="-6250"/>
    <x v="71"/>
    <s v="류호영 이체"/>
  </r>
  <r>
    <x v="106"/>
    <x v="40"/>
    <x v="0"/>
    <x v="1"/>
    <n v="16"/>
    <x v="1"/>
    <x v="1"/>
    <x v="12"/>
    <s v="게임"/>
    <n v="2500"/>
    <n v="-2500"/>
    <x v="42"/>
    <s v="클오클"/>
  </r>
  <r>
    <x v="107"/>
    <x v="40"/>
    <x v="0"/>
    <x v="1"/>
    <n v="16"/>
    <x v="2"/>
    <x v="1"/>
    <x v="11"/>
    <s v="보험"/>
    <n v="154"/>
    <n v="-154"/>
    <x v="72"/>
    <s v="입금비 차액"/>
  </r>
  <r>
    <x v="108"/>
    <x v="41"/>
    <x v="0"/>
    <x v="1"/>
    <n v="18"/>
    <x v="1"/>
    <x v="1"/>
    <x v="7"/>
    <s v="대중교통"/>
    <n v="2000"/>
    <n v="-2000"/>
    <x v="33"/>
    <m/>
  </r>
  <r>
    <x v="109"/>
    <x v="41"/>
    <x v="0"/>
    <x v="1"/>
    <n v="18"/>
    <x v="1"/>
    <x v="2"/>
    <x v="2"/>
    <s v="상여금"/>
    <n v="-44000"/>
    <n v="44000"/>
    <x v="28"/>
    <m/>
  </r>
  <r>
    <x v="110"/>
    <x v="41"/>
    <x v="0"/>
    <x v="1"/>
    <n v="18"/>
    <x v="1"/>
    <x v="1"/>
    <x v="3"/>
    <s v="외식"/>
    <n v="38000"/>
    <n v="-38000"/>
    <x v="73"/>
    <s v="하사김도현 이체(용성이것까지)+택시비"/>
  </r>
  <r>
    <x v="111"/>
    <x v="42"/>
    <x v="0"/>
    <x v="1"/>
    <n v="19"/>
    <x v="1"/>
    <x v="1"/>
    <x v="5"/>
    <s v="커피_음료"/>
    <n v="16000"/>
    <n v="-16000"/>
    <x v="74"/>
    <s v="육탄 커피(팀 전체)"/>
  </r>
  <r>
    <x v="112"/>
    <x v="43"/>
    <x v="0"/>
    <x v="1"/>
    <n v="20"/>
    <x v="3"/>
    <x v="2"/>
    <x v="2"/>
    <s v="금융수입"/>
    <n v="-5"/>
    <n v="5"/>
    <x v="36"/>
    <m/>
  </r>
  <r>
    <x v="113"/>
    <x v="44"/>
    <x v="0"/>
    <x v="1"/>
    <n v="21"/>
    <x v="1"/>
    <x v="3"/>
    <x v="6"/>
    <s v="마트"/>
    <n v="24000"/>
    <n v="-24000"/>
    <x v="40"/>
    <s v="유준영 이체"/>
  </r>
  <r>
    <x v="114"/>
    <x v="44"/>
    <x v="0"/>
    <x v="1"/>
    <n v="21"/>
    <x v="1"/>
    <x v="1"/>
    <x v="3"/>
    <s v="포장"/>
    <n v="2200"/>
    <n v="-2200"/>
    <x v="13"/>
    <s v="류호영 이체"/>
  </r>
  <r>
    <x v="115"/>
    <x v="45"/>
    <x v="0"/>
    <x v="1"/>
    <n v="24"/>
    <x v="1"/>
    <x v="3"/>
    <x v="8"/>
    <s v="헤어샵"/>
    <n v="10000"/>
    <n v="-10000"/>
    <x v="61"/>
    <s v="오세호 이체"/>
  </r>
  <r>
    <x v="116"/>
    <x v="46"/>
    <x v="0"/>
    <x v="1"/>
    <n v="25"/>
    <x v="1"/>
    <x v="2"/>
    <x v="2"/>
    <s v="상여금"/>
    <n v="-24000"/>
    <n v="24000"/>
    <x v="28"/>
    <m/>
  </r>
  <r>
    <x v="117"/>
    <x v="46"/>
    <x v="0"/>
    <x v="1"/>
    <n v="25"/>
    <x v="1"/>
    <x v="2"/>
    <x v="2"/>
    <s v="상여금"/>
    <n v="-7000"/>
    <n v="7000"/>
    <x v="28"/>
    <m/>
  </r>
  <r>
    <x v="118"/>
    <x v="46"/>
    <x v="0"/>
    <x v="1"/>
    <n v="25"/>
    <x v="1"/>
    <x v="1"/>
    <x v="7"/>
    <s v="철도"/>
    <n v="400"/>
    <n v="-400"/>
    <x v="75"/>
    <s v="반환수수료"/>
  </r>
  <r>
    <x v="119"/>
    <x v="47"/>
    <x v="0"/>
    <x v="1"/>
    <n v="27"/>
    <x v="1"/>
    <x v="1"/>
    <x v="3"/>
    <s v="배달"/>
    <n v="10000"/>
    <n v="-10000"/>
    <x v="30"/>
    <s v="류호영 이체"/>
  </r>
  <r>
    <x v="120"/>
    <x v="47"/>
    <x v="0"/>
    <x v="1"/>
    <n v="27"/>
    <x v="3"/>
    <x v="0"/>
    <x v="0"/>
    <s v="이체"/>
    <n v="33200"/>
    <n v="-33200"/>
    <x v="76"/>
    <s v="류호영 이체"/>
  </r>
  <r>
    <x v="121"/>
    <x v="48"/>
    <x v="0"/>
    <x v="1"/>
    <n v="28"/>
    <x v="1"/>
    <x v="1"/>
    <x v="5"/>
    <s v="디저트_빵"/>
    <n v="6500"/>
    <n v="-6500"/>
    <x v="77"/>
    <m/>
  </r>
  <r>
    <x v="122"/>
    <x v="49"/>
    <x v="0"/>
    <x v="1"/>
    <n v="29"/>
    <x v="6"/>
    <x v="0"/>
    <x v="0"/>
    <s v="내계좌이체"/>
    <n v="1000000"/>
    <n v="-1000000"/>
    <x v="78"/>
    <m/>
  </r>
  <r>
    <x v="123"/>
    <x v="49"/>
    <x v="0"/>
    <x v="1"/>
    <n v="29"/>
    <x v="1"/>
    <x v="0"/>
    <x v="0"/>
    <s v="내계좌이체"/>
    <n v="-1000000"/>
    <n v="1000000"/>
    <x v="78"/>
    <m/>
  </r>
  <r>
    <x v="124"/>
    <x v="49"/>
    <x v="0"/>
    <x v="1"/>
    <n v="29"/>
    <x v="1"/>
    <x v="1"/>
    <x v="6"/>
    <s v="편의점"/>
    <n v="9000"/>
    <n v="-9000"/>
    <x v="10"/>
    <s v="시발비용"/>
  </r>
  <r>
    <x v="125"/>
    <x v="49"/>
    <x v="0"/>
    <x v="1"/>
    <n v="29"/>
    <x v="1"/>
    <x v="1"/>
    <x v="4"/>
    <s v="인터넷쇼핑"/>
    <n v="1694460"/>
    <n v="-1694460"/>
    <x v="79"/>
    <s v="6건 결제"/>
  </r>
  <r>
    <x v="126"/>
    <x v="49"/>
    <x v="0"/>
    <x v="1"/>
    <n v="29"/>
    <x v="1"/>
    <x v="1"/>
    <x v="1"/>
    <s v="주차"/>
    <n v="3200"/>
    <n v="-3200"/>
    <x v="80"/>
    <m/>
  </r>
  <r>
    <x v="127"/>
    <x v="50"/>
    <x v="0"/>
    <x v="1"/>
    <n v="30"/>
    <x v="1"/>
    <x v="1"/>
    <x v="3"/>
    <s v="외식"/>
    <n v="50900"/>
    <n v="-50900"/>
    <x v="81"/>
    <s v="형준 동근 저녁"/>
  </r>
  <r>
    <x v="128"/>
    <x v="51"/>
    <x v="0"/>
    <x v="1"/>
    <n v="31"/>
    <x v="1"/>
    <x v="1"/>
    <x v="4"/>
    <s v="인터넷쇼핑"/>
    <n v="45870"/>
    <n v="-45870"/>
    <x v="82"/>
    <s v="DP선, 에어건"/>
  </r>
  <r>
    <x v="129"/>
    <x v="51"/>
    <x v="0"/>
    <x v="1"/>
    <n v="31"/>
    <x v="1"/>
    <x v="3"/>
    <x v="3"/>
    <s v="외식"/>
    <n v="8600"/>
    <n v="-8600"/>
    <x v="83"/>
    <s v="고잔DT"/>
  </r>
  <r>
    <x v="130"/>
    <x v="51"/>
    <x v="0"/>
    <x v="1"/>
    <n v="31"/>
    <x v="1"/>
    <x v="4"/>
    <x v="4"/>
    <s v="서비스구독"/>
    <n v="1177"/>
    <n v="-1177"/>
    <x v="84"/>
    <m/>
  </r>
  <r>
    <x v="131"/>
    <x v="52"/>
    <x v="0"/>
    <x v="2"/>
    <n v="1"/>
    <x v="1"/>
    <x v="2"/>
    <x v="2"/>
    <s v="금융수입"/>
    <n v="-1946"/>
    <n v="1946"/>
    <x v="85"/>
    <m/>
  </r>
  <r>
    <x v="132"/>
    <x v="52"/>
    <x v="0"/>
    <x v="2"/>
    <n v="1"/>
    <x v="2"/>
    <x v="2"/>
    <x v="2"/>
    <s v="금융수입"/>
    <n v="-2"/>
    <n v="2"/>
    <x v="36"/>
    <m/>
  </r>
  <r>
    <x v="133"/>
    <x v="52"/>
    <x v="0"/>
    <x v="2"/>
    <n v="1"/>
    <x v="1"/>
    <x v="1"/>
    <x v="12"/>
    <s v="취미"/>
    <n v="40000"/>
    <n v="-40000"/>
    <x v="86"/>
    <s v="조이스틱, 당근 정동호 이체"/>
  </r>
  <r>
    <x v="134"/>
    <x v="53"/>
    <x v="0"/>
    <x v="2"/>
    <n v="2"/>
    <x v="1"/>
    <x v="3"/>
    <x v="7"/>
    <s v="철도"/>
    <n v="19100"/>
    <n v="-19100"/>
    <x v="75"/>
    <s v="추석티켓"/>
  </r>
  <r>
    <x v="135"/>
    <x v="54"/>
    <x v="0"/>
    <x v="2"/>
    <n v="3"/>
    <x v="1"/>
    <x v="1"/>
    <x v="7"/>
    <s v="전동킥보드"/>
    <n v="1600"/>
    <n v="-1600"/>
    <x v="87"/>
    <m/>
  </r>
  <r>
    <x v="136"/>
    <x v="54"/>
    <x v="0"/>
    <x v="2"/>
    <n v="3"/>
    <x v="1"/>
    <x v="1"/>
    <x v="5"/>
    <s v="커피_음료"/>
    <n v="6000"/>
    <n v="-6000"/>
    <x v="88"/>
    <s v="수원롯데시네마"/>
  </r>
  <r>
    <x v="137"/>
    <x v="54"/>
    <x v="0"/>
    <x v="2"/>
    <n v="3"/>
    <x v="1"/>
    <x v="1"/>
    <x v="6"/>
    <s v="가구_가전"/>
    <n v="22015"/>
    <n v="-22015"/>
    <x v="89"/>
    <m/>
  </r>
  <r>
    <x v="138"/>
    <x v="55"/>
    <x v="0"/>
    <x v="2"/>
    <n v="5"/>
    <x v="1"/>
    <x v="1"/>
    <x v="7"/>
    <s v="대중교통"/>
    <n v="1160"/>
    <n v="-1160"/>
    <x v="33"/>
    <m/>
  </r>
  <r>
    <x v="139"/>
    <x v="56"/>
    <x v="0"/>
    <x v="2"/>
    <n v="7"/>
    <x v="1"/>
    <x v="1"/>
    <x v="6"/>
    <s v="편의점"/>
    <n v="11000"/>
    <n v="-11000"/>
    <x v="10"/>
    <m/>
  </r>
  <r>
    <x v="140"/>
    <x v="56"/>
    <x v="0"/>
    <x v="2"/>
    <n v="7"/>
    <x v="1"/>
    <x v="2"/>
    <x v="2"/>
    <s v="용돈"/>
    <n v="-6500"/>
    <n v="6500"/>
    <x v="58"/>
    <s v="용돈-넷플"/>
  </r>
  <r>
    <x v="141"/>
    <x v="56"/>
    <x v="0"/>
    <x v="2"/>
    <n v="7"/>
    <x v="1"/>
    <x v="1"/>
    <x v="5"/>
    <s v="디저트_빵"/>
    <n v="29400"/>
    <n v="-29400"/>
    <x v="63"/>
    <s v="생활관 간식"/>
  </r>
  <r>
    <x v="142"/>
    <x v="56"/>
    <x v="0"/>
    <x v="2"/>
    <n v="7"/>
    <x v="1"/>
    <x v="2"/>
    <x v="2"/>
    <s v="기타수입"/>
    <n v="-10000"/>
    <n v="10000"/>
    <x v="15"/>
    <m/>
  </r>
  <r>
    <x v="143"/>
    <x v="56"/>
    <x v="0"/>
    <x v="2"/>
    <n v="7"/>
    <x v="1"/>
    <x v="1"/>
    <x v="7"/>
    <s v="택시"/>
    <n v="7200"/>
    <n v="-7200"/>
    <x v="68"/>
    <s v="안양역-&gt;광명역"/>
  </r>
  <r>
    <x v="144"/>
    <x v="57"/>
    <x v="0"/>
    <x v="2"/>
    <n v="8"/>
    <x v="1"/>
    <x v="1"/>
    <x v="12"/>
    <s v="게임"/>
    <n v="4900"/>
    <n v="-4900"/>
    <x v="42"/>
    <m/>
  </r>
  <r>
    <x v="145"/>
    <x v="57"/>
    <x v="0"/>
    <x v="2"/>
    <n v="8"/>
    <x v="1"/>
    <x v="5"/>
    <x v="9"/>
    <s v="정기급여"/>
    <n v="-700400"/>
    <n v="700400"/>
    <x v="16"/>
    <m/>
  </r>
  <r>
    <x v="146"/>
    <x v="57"/>
    <x v="0"/>
    <x v="2"/>
    <n v="8"/>
    <x v="1"/>
    <x v="1"/>
    <x v="3"/>
    <s v="외식"/>
    <n v="16000"/>
    <n v="-16000"/>
    <x v="90"/>
    <s v="대전은행점"/>
  </r>
  <r>
    <x v="147"/>
    <x v="57"/>
    <x v="0"/>
    <x v="2"/>
    <n v="8"/>
    <x v="1"/>
    <x v="3"/>
    <x v="3"/>
    <s v="외식"/>
    <n v="8000"/>
    <n v="-8000"/>
    <x v="91"/>
    <s v="오세호 이체"/>
  </r>
  <r>
    <x v="148"/>
    <x v="57"/>
    <x v="0"/>
    <x v="2"/>
    <n v="8"/>
    <x v="1"/>
    <x v="1"/>
    <x v="5"/>
    <s v="커피_음료"/>
    <n v="8800"/>
    <n v="-8800"/>
    <x v="92"/>
    <s v="당직 커피"/>
  </r>
  <r>
    <x v="149"/>
    <x v="57"/>
    <x v="0"/>
    <x v="2"/>
    <n v="8"/>
    <x v="1"/>
    <x v="1"/>
    <x v="12"/>
    <s v="취미"/>
    <n v="22500"/>
    <n v="-22500"/>
    <x v="93"/>
    <s v="겜비"/>
  </r>
  <r>
    <x v="150"/>
    <x v="58"/>
    <x v="0"/>
    <x v="2"/>
    <n v="11"/>
    <x v="1"/>
    <x v="1"/>
    <x v="10"/>
    <s v="선물"/>
    <n v="200000"/>
    <n v="-200000"/>
    <x v="94"/>
    <s v="생일 용돈"/>
  </r>
  <r>
    <x v="151"/>
    <x v="59"/>
    <x v="0"/>
    <x v="2"/>
    <n v="13"/>
    <x v="1"/>
    <x v="1"/>
    <x v="7"/>
    <s v="대중교통"/>
    <n v="400"/>
    <n v="-400"/>
    <x v="33"/>
    <m/>
  </r>
  <r>
    <x v="152"/>
    <x v="59"/>
    <x v="0"/>
    <x v="2"/>
    <n v="13"/>
    <x v="1"/>
    <x v="0"/>
    <x v="0"/>
    <s v="저축"/>
    <n v="200000"/>
    <n v="-200000"/>
    <x v="19"/>
    <m/>
  </r>
  <r>
    <x v="153"/>
    <x v="59"/>
    <x v="0"/>
    <x v="2"/>
    <n v="13"/>
    <x v="4"/>
    <x v="0"/>
    <x v="0"/>
    <s v="저축"/>
    <n v="-200000"/>
    <n v="200000"/>
    <x v="19"/>
    <m/>
  </r>
  <r>
    <x v="154"/>
    <x v="59"/>
    <x v="0"/>
    <x v="2"/>
    <n v="13"/>
    <x v="1"/>
    <x v="2"/>
    <x v="2"/>
    <s v="용돈"/>
    <n v="-81000"/>
    <n v="81000"/>
    <x v="58"/>
    <s v="용돈-통신비"/>
  </r>
  <r>
    <x v="155"/>
    <x v="59"/>
    <x v="0"/>
    <x v="2"/>
    <n v="13"/>
    <x v="1"/>
    <x v="3"/>
    <x v="8"/>
    <s v="헤어샵"/>
    <n v="15000"/>
    <n v="-15000"/>
    <x v="95"/>
    <m/>
  </r>
  <r>
    <x v="156"/>
    <x v="59"/>
    <x v="0"/>
    <x v="2"/>
    <n v="13"/>
    <x v="1"/>
    <x v="0"/>
    <x v="0"/>
    <s v="저축"/>
    <n v="200000"/>
    <n v="-200000"/>
    <x v="20"/>
    <m/>
  </r>
  <r>
    <x v="157"/>
    <x v="59"/>
    <x v="0"/>
    <x v="2"/>
    <n v="13"/>
    <x v="5"/>
    <x v="0"/>
    <x v="0"/>
    <s v="저축"/>
    <n v="-200000"/>
    <n v="200000"/>
    <x v="20"/>
    <m/>
  </r>
  <r>
    <x v="158"/>
    <x v="59"/>
    <x v="0"/>
    <x v="2"/>
    <n v="13"/>
    <x v="1"/>
    <x v="4"/>
    <x v="11"/>
    <s v="이자_대출"/>
    <n v="300"/>
    <n v="-300"/>
    <x v="20"/>
    <s v="이체수수료"/>
  </r>
  <r>
    <x v="159"/>
    <x v="60"/>
    <x v="0"/>
    <x v="2"/>
    <n v="14"/>
    <x v="1"/>
    <x v="1"/>
    <x v="6"/>
    <s v="편의점"/>
    <n v="5500"/>
    <n v="-5500"/>
    <x v="10"/>
    <s v="여명"/>
  </r>
  <r>
    <x v="160"/>
    <x v="60"/>
    <x v="0"/>
    <x v="2"/>
    <n v="14"/>
    <x v="1"/>
    <x v="1"/>
    <x v="7"/>
    <s v="전동킥보드"/>
    <n v="3410"/>
    <n v="-3410"/>
    <x v="11"/>
    <m/>
  </r>
  <r>
    <x v="161"/>
    <x v="60"/>
    <x v="0"/>
    <x v="2"/>
    <n v="14"/>
    <x v="1"/>
    <x v="2"/>
    <x v="2"/>
    <s v="금융수입"/>
    <n v="2500"/>
    <n v="-2500"/>
    <x v="85"/>
    <m/>
  </r>
  <r>
    <x v="162"/>
    <x v="60"/>
    <x v="0"/>
    <x v="2"/>
    <n v="14"/>
    <x v="1"/>
    <x v="1"/>
    <x v="12"/>
    <s v="게임"/>
    <n v="9900"/>
    <n v="-9900"/>
    <x v="42"/>
    <s v="WIFI"/>
  </r>
  <r>
    <x v="163"/>
    <x v="60"/>
    <x v="0"/>
    <x v="2"/>
    <n v="14"/>
    <x v="1"/>
    <x v="1"/>
    <x v="13"/>
    <s v="주점"/>
    <n v="25800"/>
    <n v="-25800"/>
    <x v="5"/>
    <s v="신촌 이체"/>
  </r>
  <r>
    <x v="164"/>
    <x v="60"/>
    <x v="0"/>
    <x v="2"/>
    <n v="14"/>
    <x v="1"/>
    <x v="3"/>
    <x v="3"/>
    <s v="포장"/>
    <n v="2800"/>
    <n v="-2800"/>
    <x v="13"/>
    <m/>
  </r>
  <r>
    <x v="165"/>
    <x v="61"/>
    <x v="0"/>
    <x v="2"/>
    <n v="15"/>
    <x v="1"/>
    <x v="1"/>
    <x v="12"/>
    <s v="테마파크"/>
    <n v="11800"/>
    <n v="-11800"/>
    <x v="96"/>
    <s v="호준이 티켓+밥값-환급할인"/>
  </r>
  <r>
    <x v="166"/>
    <x v="61"/>
    <x v="0"/>
    <x v="2"/>
    <n v="15"/>
    <x v="1"/>
    <x v="2"/>
    <x v="2"/>
    <s v="상여금"/>
    <n v="-7000"/>
    <n v="7000"/>
    <x v="28"/>
    <m/>
  </r>
  <r>
    <x v="167"/>
    <x v="62"/>
    <x v="0"/>
    <x v="2"/>
    <n v="16"/>
    <x v="1"/>
    <x v="3"/>
    <x v="14"/>
    <s v="옷"/>
    <n v="37500"/>
    <n v="-37500"/>
    <x v="97"/>
    <m/>
  </r>
  <r>
    <x v="168"/>
    <x v="63"/>
    <x v="0"/>
    <x v="2"/>
    <n v="17"/>
    <x v="3"/>
    <x v="2"/>
    <x v="2"/>
    <s v="금융수입"/>
    <n v="-1"/>
    <n v="1"/>
    <x v="36"/>
    <m/>
  </r>
  <r>
    <x v="169"/>
    <x v="63"/>
    <x v="0"/>
    <x v="2"/>
    <n v="17"/>
    <x v="1"/>
    <x v="1"/>
    <x v="6"/>
    <s v="마트"/>
    <n v="8050"/>
    <n v="-8050"/>
    <x v="98"/>
    <s v="정리함"/>
  </r>
  <r>
    <x v="170"/>
    <x v="63"/>
    <x v="0"/>
    <x v="2"/>
    <n v="17"/>
    <x v="1"/>
    <x v="1"/>
    <x v="7"/>
    <s v="전동킥보드"/>
    <n v="1200"/>
    <n v="-1200"/>
    <x v="99"/>
    <m/>
  </r>
  <r>
    <x v="171"/>
    <x v="63"/>
    <x v="0"/>
    <x v="2"/>
    <n v="17"/>
    <x v="1"/>
    <x v="1"/>
    <x v="12"/>
    <s v="기타"/>
    <n v="34000"/>
    <n v="-34000"/>
    <x v="100"/>
    <s v="신촌 이체(식비+플스방+사진)"/>
  </r>
  <r>
    <x v="172"/>
    <x v="63"/>
    <x v="0"/>
    <x v="2"/>
    <n v="17"/>
    <x v="1"/>
    <x v="3"/>
    <x v="7"/>
    <s v="대중교통"/>
    <n v="5000"/>
    <n v="-5000"/>
    <x v="101"/>
    <m/>
  </r>
  <r>
    <x v="173"/>
    <x v="64"/>
    <x v="0"/>
    <x v="2"/>
    <n v="18"/>
    <x v="1"/>
    <x v="1"/>
    <x v="4"/>
    <s v="인터넷쇼핑"/>
    <n v="17830"/>
    <n v="-17830"/>
    <x v="82"/>
    <s v="마이크"/>
  </r>
  <r>
    <x v="174"/>
    <x v="64"/>
    <x v="0"/>
    <x v="2"/>
    <n v="18"/>
    <x v="1"/>
    <x v="1"/>
    <x v="12"/>
    <s v="게임"/>
    <n v="1650"/>
    <n v="-1650"/>
    <x v="102"/>
    <m/>
  </r>
  <r>
    <x v="175"/>
    <x v="65"/>
    <x v="0"/>
    <x v="2"/>
    <n v="19"/>
    <x v="1"/>
    <x v="1"/>
    <x v="7"/>
    <s v="전동킥보드"/>
    <n v="2385"/>
    <n v="-2385"/>
    <x v="11"/>
    <m/>
  </r>
  <r>
    <x v="176"/>
    <x v="65"/>
    <x v="0"/>
    <x v="2"/>
    <n v="19"/>
    <x v="1"/>
    <x v="2"/>
    <x v="2"/>
    <s v="기타수입"/>
    <n v="-150000"/>
    <n v="150000"/>
    <x v="103"/>
    <s v="중고컴퓨터"/>
  </r>
  <r>
    <x v="177"/>
    <x v="65"/>
    <x v="0"/>
    <x v="2"/>
    <n v="19"/>
    <x v="1"/>
    <x v="1"/>
    <x v="5"/>
    <s v="커피_음료"/>
    <n v="13400"/>
    <n v="-13400"/>
    <x v="104"/>
    <m/>
  </r>
  <r>
    <x v="178"/>
    <x v="65"/>
    <x v="0"/>
    <x v="2"/>
    <n v="19"/>
    <x v="1"/>
    <x v="1"/>
    <x v="6"/>
    <s v="생필품"/>
    <n v="10000"/>
    <n v="-10000"/>
    <x v="105"/>
    <m/>
  </r>
  <r>
    <x v="179"/>
    <x v="66"/>
    <x v="0"/>
    <x v="2"/>
    <n v="20"/>
    <x v="1"/>
    <x v="1"/>
    <x v="7"/>
    <s v="대중교통"/>
    <n v="14450"/>
    <n v="-14450"/>
    <x v="33"/>
    <m/>
  </r>
  <r>
    <x v="180"/>
    <x v="66"/>
    <x v="0"/>
    <x v="2"/>
    <n v="20"/>
    <x v="1"/>
    <x v="1"/>
    <x v="5"/>
    <s v="커피_음료"/>
    <n v="2800"/>
    <n v="-2800"/>
    <x v="106"/>
    <s v="기프티콘 차액"/>
  </r>
  <r>
    <x v="181"/>
    <x v="67"/>
    <x v="0"/>
    <x v="2"/>
    <n v="21"/>
    <x v="1"/>
    <x v="1"/>
    <x v="1"/>
    <s v="주차"/>
    <n v="2000"/>
    <n v="-2000"/>
    <x v="107"/>
    <m/>
  </r>
  <r>
    <x v="182"/>
    <x v="67"/>
    <x v="0"/>
    <x v="2"/>
    <n v="21"/>
    <x v="1"/>
    <x v="3"/>
    <x v="3"/>
    <s v="외식"/>
    <n v="16500"/>
    <n v="-16500"/>
    <x v="108"/>
    <s v="가천대 점심"/>
  </r>
  <r>
    <x v="183"/>
    <x v="68"/>
    <x v="0"/>
    <x v="2"/>
    <n v="22"/>
    <x v="1"/>
    <x v="1"/>
    <x v="1"/>
    <s v="주차"/>
    <n v="4100"/>
    <n v="-4100"/>
    <x v="109"/>
    <m/>
  </r>
  <r>
    <x v="184"/>
    <x v="68"/>
    <x v="0"/>
    <x v="2"/>
    <n v="22"/>
    <x v="1"/>
    <x v="1"/>
    <x v="3"/>
    <s v="배달"/>
    <n v="10280"/>
    <n v="-10280"/>
    <x v="110"/>
    <s v="박수진 이체"/>
  </r>
  <r>
    <x v="185"/>
    <x v="69"/>
    <x v="0"/>
    <x v="2"/>
    <n v="23"/>
    <x v="1"/>
    <x v="1"/>
    <x v="6"/>
    <s v="편의점"/>
    <n v="2900"/>
    <n v="-2900"/>
    <x v="111"/>
    <s v="라면"/>
  </r>
  <r>
    <x v="186"/>
    <x v="69"/>
    <x v="0"/>
    <x v="2"/>
    <n v="23"/>
    <x v="1"/>
    <x v="3"/>
    <x v="3"/>
    <s v="외식"/>
    <n v="12900"/>
    <n v="-12900"/>
    <x v="112"/>
    <m/>
  </r>
  <r>
    <x v="187"/>
    <x v="70"/>
    <x v="0"/>
    <x v="2"/>
    <n v="24"/>
    <x v="1"/>
    <x v="1"/>
    <x v="5"/>
    <s v="아이스크림_빙수"/>
    <n v="3000"/>
    <n v="-3000"/>
    <x v="113"/>
    <s v="노진형 이체"/>
  </r>
  <r>
    <x v="188"/>
    <x v="70"/>
    <x v="0"/>
    <x v="2"/>
    <n v="24"/>
    <x v="1"/>
    <x v="1"/>
    <x v="3"/>
    <s v="배달"/>
    <n v="12200"/>
    <n v="-12200"/>
    <x v="67"/>
    <m/>
  </r>
  <r>
    <x v="189"/>
    <x v="71"/>
    <x v="0"/>
    <x v="2"/>
    <n v="25"/>
    <x v="1"/>
    <x v="1"/>
    <x v="3"/>
    <s v="포장"/>
    <n v="7000"/>
    <n v="-7000"/>
    <x v="13"/>
    <s v="류호영 이체"/>
  </r>
  <r>
    <x v="190"/>
    <x v="72"/>
    <x v="0"/>
    <x v="2"/>
    <n v="26"/>
    <x v="1"/>
    <x v="1"/>
    <x v="3"/>
    <s v="외식"/>
    <n v="14000"/>
    <n v="-14000"/>
    <x v="114"/>
    <s v="김도현 이체"/>
  </r>
  <r>
    <x v="191"/>
    <x v="72"/>
    <x v="0"/>
    <x v="2"/>
    <n v="26"/>
    <x v="1"/>
    <x v="1"/>
    <x v="12"/>
    <s v="취미"/>
    <n v="14000"/>
    <n v="-14000"/>
    <x v="115"/>
    <s v="김도현 이체"/>
  </r>
  <r>
    <x v="192"/>
    <x v="73"/>
    <x v="0"/>
    <x v="2"/>
    <n v="27"/>
    <x v="6"/>
    <x v="0"/>
    <x v="0"/>
    <s v="내계좌이체"/>
    <n v="1400000"/>
    <n v="-1400000"/>
    <x v="78"/>
    <m/>
  </r>
  <r>
    <x v="193"/>
    <x v="73"/>
    <x v="0"/>
    <x v="2"/>
    <n v="27"/>
    <x v="1"/>
    <x v="0"/>
    <x v="0"/>
    <s v="내계좌이체"/>
    <n v="-1400000"/>
    <n v="1400000"/>
    <x v="78"/>
    <s v="내꺼 80, 엄마돈 60(반환완료)"/>
  </r>
  <r>
    <x v="194"/>
    <x v="73"/>
    <x v="0"/>
    <x v="2"/>
    <n v="27"/>
    <x v="1"/>
    <x v="1"/>
    <x v="4"/>
    <s v="인터넷쇼핑"/>
    <n v="28940"/>
    <n v="-28940"/>
    <x v="82"/>
    <s v="태블릿 파우치, 필름"/>
  </r>
  <r>
    <x v="195"/>
    <x v="73"/>
    <x v="0"/>
    <x v="2"/>
    <n v="27"/>
    <x v="1"/>
    <x v="1"/>
    <x v="5"/>
    <s v="베이커리"/>
    <n v="27400"/>
    <n v="-27400"/>
    <x v="116"/>
    <m/>
  </r>
  <r>
    <x v="196"/>
    <x v="73"/>
    <x v="0"/>
    <x v="2"/>
    <n v="27"/>
    <x v="1"/>
    <x v="1"/>
    <x v="6"/>
    <s v="전자제품"/>
    <n v="1320000"/>
    <n v="-1320000"/>
    <x v="86"/>
    <s v="서피스8프로"/>
  </r>
  <r>
    <x v="197"/>
    <x v="73"/>
    <x v="0"/>
    <x v="2"/>
    <n v="27"/>
    <x v="1"/>
    <x v="1"/>
    <x v="14"/>
    <s v="옷"/>
    <n v="10000"/>
    <n v="-10000"/>
    <x v="86"/>
    <s v="코트"/>
  </r>
  <r>
    <x v="198"/>
    <x v="74"/>
    <x v="0"/>
    <x v="2"/>
    <n v="28"/>
    <x v="1"/>
    <x v="1"/>
    <x v="12"/>
    <s v="게임"/>
    <n v="900"/>
    <n v="-900"/>
    <x v="42"/>
    <s v="클오클"/>
  </r>
  <r>
    <x v="199"/>
    <x v="74"/>
    <x v="0"/>
    <x v="2"/>
    <n v="28"/>
    <x v="0"/>
    <x v="2"/>
    <x v="2"/>
    <s v="기타수입"/>
    <n v="-1"/>
    <n v="1"/>
    <x v="117"/>
    <s v="은행인증"/>
  </r>
  <r>
    <x v="200"/>
    <x v="75"/>
    <x v="0"/>
    <x v="2"/>
    <n v="30"/>
    <x v="1"/>
    <x v="1"/>
    <x v="12"/>
    <s v="게임"/>
    <n v="21000"/>
    <n v="-21000"/>
    <x v="42"/>
    <s v="풍타디6"/>
  </r>
  <r>
    <x v="201"/>
    <x v="75"/>
    <x v="0"/>
    <x v="2"/>
    <n v="30"/>
    <x v="1"/>
    <x v="4"/>
    <x v="4"/>
    <s v="서비스구독"/>
    <n v="1184"/>
    <n v="-1184"/>
    <x v="84"/>
    <m/>
  </r>
  <r>
    <x v="202"/>
    <x v="76"/>
    <x v="0"/>
    <x v="3"/>
    <n v="2"/>
    <x v="1"/>
    <x v="3"/>
    <x v="3"/>
    <s v="포장"/>
    <n v="10000"/>
    <n v="-10000"/>
    <x v="118"/>
    <s v="토스트*2"/>
  </r>
  <r>
    <x v="203"/>
    <x v="77"/>
    <x v="0"/>
    <x v="3"/>
    <n v="4"/>
    <x v="2"/>
    <x v="2"/>
    <x v="2"/>
    <s v="금융수입"/>
    <n v="-2"/>
    <n v="2"/>
    <x v="36"/>
    <m/>
  </r>
  <r>
    <x v="204"/>
    <x v="77"/>
    <x v="0"/>
    <x v="3"/>
    <n v="4"/>
    <x v="1"/>
    <x v="1"/>
    <x v="3"/>
    <s v="외식"/>
    <n v="12400"/>
    <n v="-12400"/>
    <x v="90"/>
    <s v="범계역점, 호준이 생일"/>
  </r>
  <r>
    <x v="205"/>
    <x v="77"/>
    <x v="0"/>
    <x v="3"/>
    <n v="4"/>
    <x v="1"/>
    <x v="1"/>
    <x v="5"/>
    <s v="커피_음료"/>
    <n v="5000"/>
    <n v="-5000"/>
    <x v="106"/>
    <m/>
  </r>
  <r>
    <x v="206"/>
    <x v="77"/>
    <x v="0"/>
    <x v="3"/>
    <n v="4"/>
    <x v="1"/>
    <x v="1"/>
    <x v="12"/>
    <s v="취미"/>
    <n v="8000"/>
    <n v="-8000"/>
    <x v="119"/>
    <m/>
  </r>
  <r>
    <x v="207"/>
    <x v="77"/>
    <x v="0"/>
    <x v="3"/>
    <n v="4"/>
    <x v="1"/>
    <x v="2"/>
    <x v="2"/>
    <s v="상여금"/>
    <n v="-50000"/>
    <n v="50000"/>
    <x v="28"/>
    <m/>
  </r>
  <r>
    <x v="208"/>
    <x v="78"/>
    <x v="0"/>
    <x v="3"/>
    <n v="5"/>
    <x v="1"/>
    <x v="3"/>
    <x v="8"/>
    <s v="헤어샵"/>
    <n v="15000"/>
    <n v="-15000"/>
    <x v="95"/>
    <m/>
  </r>
  <r>
    <x v="209"/>
    <x v="78"/>
    <x v="0"/>
    <x v="3"/>
    <n v="5"/>
    <x v="1"/>
    <x v="2"/>
    <x v="2"/>
    <s v="상여금"/>
    <n v="-8330"/>
    <n v="8330"/>
    <x v="28"/>
    <m/>
  </r>
  <r>
    <x v="210"/>
    <x v="78"/>
    <x v="0"/>
    <x v="3"/>
    <n v="5"/>
    <x v="1"/>
    <x v="1"/>
    <x v="7"/>
    <s v="택시"/>
    <n v="4400"/>
    <n v="-4400"/>
    <x v="68"/>
    <s v="엄마병원이동"/>
  </r>
  <r>
    <x v="211"/>
    <x v="79"/>
    <x v="0"/>
    <x v="3"/>
    <n v="6"/>
    <x v="1"/>
    <x v="1"/>
    <x v="7"/>
    <s v="대중교통"/>
    <n v="8550"/>
    <n v="-8550"/>
    <x v="33"/>
    <m/>
  </r>
  <r>
    <x v="212"/>
    <x v="80"/>
    <x v="0"/>
    <x v="3"/>
    <n v="7"/>
    <x v="1"/>
    <x v="1"/>
    <x v="3"/>
    <s v="외식"/>
    <n v="12000"/>
    <n v="-12000"/>
    <x v="120"/>
    <s v="임태수 이체+설빙"/>
  </r>
  <r>
    <x v="213"/>
    <x v="80"/>
    <x v="0"/>
    <x v="3"/>
    <n v="7"/>
    <x v="1"/>
    <x v="5"/>
    <x v="9"/>
    <s v="정기급여"/>
    <n v="-700400"/>
    <n v="700400"/>
    <x v="16"/>
    <m/>
  </r>
  <r>
    <x v="214"/>
    <x v="81"/>
    <x v="0"/>
    <x v="3"/>
    <n v="9"/>
    <x v="1"/>
    <x v="1"/>
    <x v="3"/>
    <s v="포장"/>
    <n v="4600"/>
    <n v="-4600"/>
    <x v="13"/>
    <s v="류호영 이체"/>
  </r>
  <r>
    <x v="215"/>
    <x v="82"/>
    <x v="0"/>
    <x v="3"/>
    <n v="11"/>
    <x v="1"/>
    <x v="1"/>
    <x v="7"/>
    <s v="대중교통"/>
    <n v="400"/>
    <n v="-400"/>
    <x v="33"/>
    <m/>
  </r>
  <r>
    <x v="216"/>
    <x v="82"/>
    <x v="0"/>
    <x v="3"/>
    <n v="11"/>
    <x v="1"/>
    <x v="0"/>
    <x v="0"/>
    <s v="저축"/>
    <n v="200000"/>
    <n v="-200000"/>
    <x v="19"/>
    <m/>
  </r>
  <r>
    <x v="217"/>
    <x v="82"/>
    <x v="0"/>
    <x v="3"/>
    <n v="11"/>
    <x v="4"/>
    <x v="0"/>
    <x v="0"/>
    <s v="저축"/>
    <n v="-200000"/>
    <n v="200000"/>
    <x v="19"/>
    <m/>
  </r>
  <r>
    <x v="218"/>
    <x v="82"/>
    <x v="0"/>
    <x v="3"/>
    <n v="11"/>
    <x v="1"/>
    <x v="2"/>
    <x v="2"/>
    <s v="용돈"/>
    <n v="-13500"/>
    <n v="13500"/>
    <x v="58"/>
    <m/>
  </r>
  <r>
    <x v="219"/>
    <x v="82"/>
    <x v="0"/>
    <x v="3"/>
    <n v="11"/>
    <x v="1"/>
    <x v="1"/>
    <x v="5"/>
    <s v="베이커리"/>
    <n v="37400"/>
    <n v="-37400"/>
    <x v="116"/>
    <m/>
  </r>
  <r>
    <x v="220"/>
    <x v="82"/>
    <x v="0"/>
    <x v="3"/>
    <n v="11"/>
    <x v="1"/>
    <x v="0"/>
    <x v="0"/>
    <s v="저축"/>
    <n v="200000"/>
    <n v="-200000"/>
    <x v="20"/>
    <m/>
  </r>
  <r>
    <x v="221"/>
    <x v="82"/>
    <x v="0"/>
    <x v="3"/>
    <n v="11"/>
    <x v="5"/>
    <x v="0"/>
    <x v="0"/>
    <s v="저축"/>
    <n v="-200000"/>
    <n v="200000"/>
    <x v="20"/>
    <m/>
  </r>
  <r>
    <x v="222"/>
    <x v="82"/>
    <x v="0"/>
    <x v="3"/>
    <n v="11"/>
    <x v="1"/>
    <x v="4"/>
    <x v="11"/>
    <s v="이자_대출"/>
    <n v="300"/>
    <n v="-300"/>
    <x v="20"/>
    <s v="이체수수료"/>
  </r>
  <r>
    <x v="223"/>
    <x v="83"/>
    <x v="0"/>
    <x v="3"/>
    <n v="12"/>
    <x v="0"/>
    <x v="2"/>
    <x v="2"/>
    <s v="기타수입"/>
    <n v="-10000"/>
    <n v="10000"/>
    <x v="15"/>
    <m/>
  </r>
  <r>
    <x v="224"/>
    <x v="83"/>
    <x v="0"/>
    <x v="3"/>
    <n v="12"/>
    <x v="1"/>
    <x v="2"/>
    <x v="2"/>
    <s v="금융수입"/>
    <n v="-19170"/>
    <n v="19170"/>
    <x v="28"/>
    <s v="작전비+통신비 할인"/>
  </r>
  <r>
    <x v="225"/>
    <x v="84"/>
    <x v="0"/>
    <x v="3"/>
    <n v="15"/>
    <x v="3"/>
    <x v="2"/>
    <x v="2"/>
    <s v="금융수입"/>
    <n v="-1"/>
    <n v="1"/>
    <x v="36"/>
    <m/>
  </r>
  <r>
    <x v="226"/>
    <x v="84"/>
    <x v="0"/>
    <x v="3"/>
    <n v="15"/>
    <x v="1"/>
    <x v="1"/>
    <x v="10"/>
    <s v="선물"/>
    <n v="100330"/>
    <n v="-100330"/>
    <x v="121"/>
    <s v="보험료+케잌+마트+행거값으로 대체"/>
  </r>
  <r>
    <x v="227"/>
    <x v="85"/>
    <x v="0"/>
    <x v="3"/>
    <n v="16"/>
    <x v="1"/>
    <x v="1"/>
    <x v="5"/>
    <s v="커피_음료"/>
    <n v="5000"/>
    <n v="-5000"/>
    <x v="29"/>
    <s v="아이파크몰, 김용성 공차"/>
  </r>
  <r>
    <x v="228"/>
    <x v="85"/>
    <x v="0"/>
    <x v="3"/>
    <n v="16"/>
    <x v="1"/>
    <x v="1"/>
    <x v="12"/>
    <s v="게임"/>
    <n v="1500"/>
    <n v="-1500"/>
    <x v="42"/>
    <s v="클오클"/>
  </r>
  <r>
    <x v="229"/>
    <x v="85"/>
    <x v="0"/>
    <x v="3"/>
    <n v="16"/>
    <x v="1"/>
    <x v="1"/>
    <x v="12"/>
    <s v="취미"/>
    <n v="12000"/>
    <n v="-12000"/>
    <x v="122"/>
    <s v="신촌, 윤시호 이체"/>
  </r>
  <r>
    <x v="230"/>
    <x v="85"/>
    <x v="0"/>
    <x v="3"/>
    <n v="16"/>
    <x v="1"/>
    <x v="1"/>
    <x v="3"/>
    <s v="외식"/>
    <n v="19450"/>
    <n v="-19450"/>
    <x v="123"/>
    <s v="+공차, 정산값 제외"/>
  </r>
  <r>
    <x v="231"/>
    <x v="86"/>
    <x v="0"/>
    <x v="3"/>
    <n v="19"/>
    <x v="1"/>
    <x v="1"/>
    <x v="7"/>
    <s v="대중교통"/>
    <n v="6120"/>
    <n v="-6120"/>
    <x v="33"/>
    <m/>
  </r>
  <r>
    <x v="232"/>
    <x v="86"/>
    <x v="0"/>
    <x v="3"/>
    <n v="19"/>
    <x v="1"/>
    <x v="2"/>
    <x v="2"/>
    <s v="기타수입"/>
    <n v="-1"/>
    <n v="1"/>
    <x v="124"/>
    <m/>
  </r>
  <r>
    <x v="233"/>
    <x v="86"/>
    <x v="0"/>
    <x v="3"/>
    <n v="19"/>
    <x v="0"/>
    <x v="2"/>
    <x v="2"/>
    <s v="기타수입"/>
    <n v="-3"/>
    <n v="3"/>
    <x v="124"/>
    <m/>
  </r>
  <r>
    <x v="234"/>
    <x v="86"/>
    <x v="0"/>
    <x v="3"/>
    <n v="19"/>
    <x v="1"/>
    <x v="1"/>
    <x v="12"/>
    <s v="공연"/>
    <n v="53800"/>
    <n v="-53800"/>
    <x v="125"/>
    <s v="이효비 이체"/>
  </r>
  <r>
    <x v="235"/>
    <x v="86"/>
    <x v="0"/>
    <x v="3"/>
    <n v="19"/>
    <x v="1"/>
    <x v="3"/>
    <x v="3"/>
    <s v="외식"/>
    <n v="10900"/>
    <n v="-10900"/>
    <x v="112"/>
    <m/>
  </r>
  <r>
    <x v="236"/>
    <x v="87"/>
    <x v="0"/>
    <x v="3"/>
    <n v="21"/>
    <x v="1"/>
    <x v="1"/>
    <x v="12"/>
    <s v="게임"/>
    <n v="4900"/>
    <n v="-4900"/>
    <x v="42"/>
    <s v="풍타디6"/>
  </r>
  <r>
    <x v="237"/>
    <x v="87"/>
    <x v="0"/>
    <x v="3"/>
    <n v="21"/>
    <x v="1"/>
    <x v="1"/>
    <x v="10"/>
    <s v="선물"/>
    <n v="10200"/>
    <n v="-10200"/>
    <x v="17"/>
    <s v="조선앵 생일"/>
  </r>
  <r>
    <x v="238"/>
    <x v="88"/>
    <x v="0"/>
    <x v="3"/>
    <n v="24"/>
    <x v="1"/>
    <x v="1"/>
    <x v="5"/>
    <s v="베이커리"/>
    <n v="25600"/>
    <n v="-25600"/>
    <x v="116"/>
    <m/>
  </r>
  <r>
    <x v="239"/>
    <x v="89"/>
    <x v="0"/>
    <x v="3"/>
    <n v="28"/>
    <x v="1"/>
    <x v="1"/>
    <x v="5"/>
    <s v="커피_음료"/>
    <n v="8400"/>
    <n v="-8400"/>
    <x v="122"/>
    <s v="신촌"/>
  </r>
  <r>
    <x v="240"/>
    <x v="89"/>
    <x v="0"/>
    <x v="3"/>
    <n v="28"/>
    <x v="1"/>
    <x v="1"/>
    <x v="3"/>
    <s v="외식"/>
    <n v="69800"/>
    <n v="-69800"/>
    <x v="126"/>
    <s v="박수진 생일"/>
  </r>
  <r>
    <x v="241"/>
    <x v="90"/>
    <x v="0"/>
    <x v="3"/>
    <n v="29"/>
    <x v="1"/>
    <x v="2"/>
    <x v="2"/>
    <s v="용돈"/>
    <n v="-2990"/>
    <n v="2990"/>
    <x v="58"/>
    <s v="웅이 병원+택시비 입금차액"/>
  </r>
  <r>
    <x v="242"/>
    <x v="91"/>
    <x v="0"/>
    <x v="3"/>
    <n v="31"/>
    <x v="1"/>
    <x v="4"/>
    <x v="4"/>
    <s v="서비스구독"/>
    <n v="1109"/>
    <n v="-1109"/>
    <x v="84"/>
    <m/>
  </r>
  <r>
    <x v="243"/>
    <x v="92"/>
    <x v="0"/>
    <x v="4"/>
    <n v="2"/>
    <x v="1"/>
    <x v="2"/>
    <x v="2"/>
    <s v="기타수입"/>
    <n v="-13500"/>
    <n v="13500"/>
    <x v="127"/>
    <s v="디미고 알바비 세금환급"/>
  </r>
  <r>
    <x v="244"/>
    <x v="93"/>
    <x v="0"/>
    <x v="4"/>
    <n v="3"/>
    <x v="1"/>
    <x v="1"/>
    <x v="7"/>
    <s v="대중교통"/>
    <n v="9560"/>
    <n v="-9560"/>
    <x v="33"/>
    <m/>
  </r>
  <r>
    <x v="245"/>
    <x v="93"/>
    <x v="0"/>
    <x v="4"/>
    <n v="3"/>
    <x v="1"/>
    <x v="1"/>
    <x v="3"/>
    <s v="포장"/>
    <n v="5600"/>
    <n v="-5600"/>
    <x v="128"/>
    <s v="유준영 포장"/>
  </r>
  <r>
    <x v="246"/>
    <x v="93"/>
    <x v="0"/>
    <x v="4"/>
    <n v="3"/>
    <x v="1"/>
    <x v="3"/>
    <x v="3"/>
    <s v="외식"/>
    <n v="10900"/>
    <n v="-10900"/>
    <x v="112"/>
    <m/>
  </r>
  <r>
    <x v="247"/>
    <x v="93"/>
    <x v="0"/>
    <x v="4"/>
    <n v="3"/>
    <x v="1"/>
    <x v="3"/>
    <x v="7"/>
    <s v="철도"/>
    <n v="19100"/>
    <n v="-19100"/>
    <x v="75"/>
    <s v="전역날 교통비"/>
  </r>
  <r>
    <x v="248"/>
    <x v="94"/>
    <x v="0"/>
    <x v="4"/>
    <n v="5"/>
    <x v="1"/>
    <x v="1"/>
    <x v="3"/>
    <s v="배달"/>
    <n v="7000"/>
    <n v="-7000"/>
    <x v="51"/>
    <s v="유준영 이체"/>
  </r>
  <r>
    <x v="249"/>
    <x v="94"/>
    <x v="0"/>
    <x v="4"/>
    <n v="5"/>
    <x v="1"/>
    <x v="1"/>
    <x v="3"/>
    <s v="포장"/>
    <n v="3450"/>
    <n v="-3450"/>
    <x v="13"/>
    <s v="김용성 이체"/>
  </r>
  <r>
    <x v="250"/>
    <x v="95"/>
    <x v="0"/>
    <x v="4"/>
    <n v="6"/>
    <x v="1"/>
    <x v="2"/>
    <x v="2"/>
    <s v="용돈"/>
    <n v="-50000"/>
    <n v="50000"/>
    <x v="58"/>
    <s v="빵값"/>
  </r>
  <r>
    <x v="251"/>
    <x v="96"/>
    <x v="0"/>
    <x v="4"/>
    <n v="7"/>
    <x v="1"/>
    <x v="2"/>
    <x v="2"/>
    <s v="기타수입"/>
    <n v="-26432"/>
    <n v="26432"/>
    <x v="40"/>
    <s v="영외px이용-환급비"/>
  </r>
  <r>
    <x v="252"/>
    <x v="96"/>
    <x v="0"/>
    <x v="4"/>
    <n v="7"/>
    <x v="1"/>
    <x v="3"/>
    <x v="8"/>
    <s v="헤어샵"/>
    <n v="15000"/>
    <n v="-15000"/>
    <x v="95"/>
    <m/>
  </r>
  <r>
    <x v="253"/>
    <x v="96"/>
    <x v="0"/>
    <x v="4"/>
    <n v="7"/>
    <x v="1"/>
    <x v="1"/>
    <x v="5"/>
    <s v="베이커리"/>
    <n v="21000"/>
    <n v="-21000"/>
    <x v="116"/>
    <m/>
  </r>
  <r>
    <x v="254"/>
    <x v="96"/>
    <x v="0"/>
    <x v="4"/>
    <n v="7"/>
    <x v="0"/>
    <x v="2"/>
    <x v="2"/>
    <s v="기타수입"/>
    <n v="-10000"/>
    <n v="10000"/>
    <x v="15"/>
    <m/>
  </r>
  <r>
    <x v="255"/>
    <x v="97"/>
    <x v="0"/>
    <x v="4"/>
    <n v="9"/>
    <x v="1"/>
    <x v="0"/>
    <x v="0"/>
    <s v="내계좌이체"/>
    <n v="-300000"/>
    <n v="300000"/>
    <x v="129"/>
    <m/>
  </r>
  <r>
    <x v="256"/>
    <x v="97"/>
    <x v="0"/>
    <x v="4"/>
    <n v="9"/>
    <x v="2"/>
    <x v="0"/>
    <x v="0"/>
    <s v="내계좌이체"/>
    <n v="300000"/>
    <n v="-300000"/>
    <x v="129"/>
    <m/>
  </r>
  <r>
    <x v="257"/>
    <x v="97"/>
    <x v="0"/>
    <x v="4"/>
    <n v="9"/>
    <x v="1"/>
    <x v="1"/>
    <x v="13"/>
    <s v="주점"/>
    <n v="43950"/>
    <n v="-43950"/>
    <x v="130"/>
    <s v="하남돼지집, 금별맥주, 스타코노 정산"/>
  </r>
  <r>
    <x v="258"/>
    <x v="98"/>
    <x v="0"/>
    <x v="4"/>
    <n v="10"/>
    <x v="1"/>
    <x v="1"/>
    <x v="6"/>
    <s v="편의점"/>
    <n v="11050"/>
    <n v="-11050"/>
    <x v="10"/>
    <m/>
  </r>
  <r>
    <x v="259"/>
    <x v="98"/>
    <x v="0"/>
    <x v="4"/>
    <n v="10"/>
    <x v="1"/>
    <x v="2"/>
    <x v="2"/>
    <s v="금융수입"/>
    <n v="-23358"/>
    <n v="23358"/>
    <x v="40"/>
    <s v="영외px이용-환급비"/>
  </r>
  <r>
    <x v="260"/>
    <x v="98"/>
    <x v="0"/>
    <x v="4"/>
    <n v="10"/>
    <x v="1"/>
    <x v="5"/>
    <x v="9"/>
    <s v="정기급여"/>
    <n v="-400680"/>
    <n v="400680"/>
    <x v="16"/>
    <s v="정기급여+전역여비"/>
  </r>
  <r>
    <x v="261"/>
    <x v="98"/>
    <x v="0"/>
    <x v="4"/>
    <n v="10"/>
    <x v="1"/>
    <x v="1"/>
    <x v="3"/>
    <s v="외식"/>
    <n v="13000"/>
    <n v="-13000"/>
    <x v="131"/>
    <s v="박서연 이체+카페"/>
  </r>
  <r>
    <x v="262"/>
    <x v="99"/>
    <x v="0"/>
    <x v="4"/>
    <n v="11"/>
    <x v="1"/>
    <x v="0"/>
    <x v="0"/>
    <s v="저축"/>
    <n v="200000"/>
    <n v="-200000"/>
    <x v="19"/>
    <m/>
  </r>
  <r>
    <x v="263"/>
    <x v="99"/>
    <x v="0"/>
    <x v="4"/>
    <n v="11"/>
    <x v="4"/>
    <x v="0"/>
    <x v="0"/>
    <s v="저축"/>
    <n v="-200000"/>
    <n v="200000"/>
    <x v="19"/>
    <m/>
  </r>
  <r>
    <x v="264"/>
    <x v="99"/>
    <x v="0"/>
    <x v="4"/>
    <n v="11"/>
    <x v="1"/>
    <x v="0"/>
    <x v="0"/>
    <s v="저축"/>
    <n v="200000"/>
    <n v="-200000"/>
    <x v="20"/>
    <m/>
  </r>
  <r>
    <x v="265"/>
    <x v="99"/>
    <x v="0"/>
    <x v="4"/>
    <n v="11"/>
    <x v="5"/>
    <x v="0"/>
    <x v="0"/>
    <s v="저축"/>
    <n v="-200000"/>
    <n v="200000"/>
    <x v="20"/>
    <m/>
  </r>
  <r>
    <x v="266"/>
    <x v="99"/>
    <x v="0"/>
    <x v="4"/>
    <n v="11"/>
    <x v="1"/>
    <x v="4"/>
    <x v="11"/>
    <s v="이자_대출"/>
    <n v="300"/>
    <n v="-300"/>
    <x v="20"/>
    <s v="이체수수료"/>
  </r>
  <r>
    <x v="267"/>
    <x v="100"/>
    <x v="0"/>
    <x v="4"/>
    <n v="12"/>
    <x v="1"/>
    <x v="2"/>
    <x v="2"/>
    <s v="금융수입"/>
    <n v="-2207"/>
    <n v="2207"/>
    <x v="36"/>
    <m/>
  </r>
  <r>
    <x v="268"/>
    <x v="100"/>
    <x v="0"/>
    <x v="4"/>
    <n v="12"/>
    <x v="1"/>
    <x v="2"/>
    <x v="2"/>
    <s v="용돈"/>
    <n v="-10000"/>
    <n v="10000"/>
    <x v="132"/>
    <m/>
  </r>
  <r>
    <x v="269"/>
    <x v="100"/>
    <x v="0"/>
    <x v="4"/>
    <n v="12"/>
    <x v="1"/>
    <x v="1"/>
    <x v="3"/>
    <s v="외식"/>
    <n v="12000"/>
    <n v="-12000"/>
    <x v="133"/>
    <m/>
  </r>
  <r>
    <x v="270"/>
    <x v="100"/>
    <x v="0"/>
    <x v="4"/>
    <n v="12"/>
    <x v="1"/>
    <x v="1"/>
    <x v="12"/>
    <s v="취미"/>
    <n v="23200"/>
    <n v="-23200"/>
    <x v="122"/>
    <s v="중앙"/>
  </r>
  <r>
    <x v="271"/>
    <x v="100"/>
    <x v="0"/>
    <x v="4"/>
    <n v="12"/>
    <x v="1"/>
    <x v="0"/>
    <x v="0"/>
    <s v="현금"/>
    <n v="8000"/>
    <n v="-8000"/>
    <x v="134"/>
    <s v="스타코노-호영이 정산"/>
  </r>
  <r>
    <x v="272"/>
    <x v="101"/>
    <x v="0"/>
    <x v="4"/>
    <n v="14"/>
    <x v="1"/>
    <x v="2"/>
    <x v="2"/>
    <s v="금융수입"/>
    <n v="-2500"/>
    <n v="2500"/>
    <x v="85"/>
    <m/>
  </r>
  <r>
    <x v="273"/>
    <x v="101"/>
    <x v="0"/>
    <x v="4"/>
    <n v="14"/>
    <x v="1"/>
    <x v="3"/>
    <x v="3"/>
    <s v="외식"/>
    <n v="8800"/>
    <n v="-8800"/>
    <x v="135"/>
    <m/>
  </r>
  <r>
    <x v="274"/>
    <x v="101"/>
    <x v="0"/>
    <x v="4"/>
    <n v="14"/>
    <x v="1"/>
    <x v="2"/>
    <x v="2"/>
    <s v="기타수입"/>
    <n v="-240"/>
    <n v="240"/>
    <x v="136"/>
    <s v="자기계발비 차액"/>
  </r>
  <r>
    <x v="275"/>
    <x v="102"/>
    <x v="0"/>
    <x v="4"/>
    <n v="16"/>
    <x v="6"/>
    <x v="0"/>
    <x v="0"/>
    <s v="내계좌이체"/>
    <n v="-3000000"/>
    <n v="3000000"/>
    <x v="137"/>
    <m/>
  </r>
  <r>
    <x v="276"/>
    <x v="102"/>
    <x v="0"/>
    <x v="4"/>
    <n v="16"/>
    <x v="4"/>
    <x v="0"/>
    <x v="0"/>
    <s v="내계좌이체"/>
    <n v="3000000"/>
    <n v="-3000000"/>
    <x v="137"/>
    <m/>
  </r>
  <r>
    <x v="277"/>
    <x v="102"/>
    <x v="0"/>
    <x v="4"/>
    <n v="16"/>
    <x v="6"/>
    <x v="0"/>
    <x v="0"/>
    <s v="내계좌이체"/>
    <n v="-3328174"/>
    <n v="3328174"/>
    <x v="137"/>
    <m/>
  </r>
  <r>
    <x v="278"/>
    <x v="102"/>
    <x v="0"/>
    <x v="4"/>
    <n v="16"/>
    <x v="5"/>
    <x v="0"/>
    <x v="0"/>
    <s v="내계좌이체"/>
    <n v="3328174"/>
    <n v="-3328174"/>
    <x v="137"/>
    <m/>
  </r>
  <r>
    <x v="279"/>
    <x v="102"/>
    <x v="0"/>
    <x v="4"/>
    <n v="16"/>
    <x v="6"/>
    <x v="0"/>
    <x v="0"/>
    <s v="내계좌이체"/>
    <n v="-90"/>
    <n v="90"/>
    <x v="137"/>
    <m/>
  </r>
  <r>
    <x v="280"/>
    <x v="102"/>
    <x v="0"/>
    <x v="4"/>
    <n v="16"/>
    <x v="3"/>
    <x v="0"/>
    <x v="0"/>
    <s v="내계좌이체"/>
    <n v="90"/>
    <n v="-90"/>
    <x v="137"/>
    <m/>
  </r>
  <r>
    <x v="281"/>
    <x v="102"/>
    <x v="0"/>
    <x v="4"/>
    <n v="16"/>
    <x v="1"/>
    <x v="2"/>
    <x v="2"/>
    <s v="용돈"/>
    <n v="-100000"/>
    <n v="100000"/>
    <x v="58"/>
    <m/>
  </r>
  <r>
    <x v="282"/>
    <x v="102"/>
    <x v="0"/>
    <x v="4"/>
    <n v="16"/>
    <x v="4"/>
    <x v="0"/>
    <x v="0"/>
    <s v="내계좌이체"/>
    <n v="328726"/>
    <n v="-328726"/>
    <x v="129"/>
    <m/>
  </r>
  <r>
    <x v="283"/>
    <x v="102"/>
    <x v="0"/>
    <x v="4"/>
    <n v="16"/>
    <x v="1"/>
    <x v="0"/>
    <x v="0"/>
    <s v="내계좌이체"/>
    <n v="-328726"/>
    <n v="328726"/>
    <x v="129"/>
    <m/>
  </r>
  <r>
    <x v="284"/>
    <x v="102"/>
    <x v="0"/>
    <x v="4"/>
    <n v="16"/>
    <x v="1"/>
    <x v="1"/>
    <x v="3"/>
    <s v="외식"/>
    <n v="12000"/>
    <n v="-12000"/>
    <x v="138"/>
    <s v="장형준 이체"/>
  </r>
  <r>
    <x v="285"/>
    <x v="102"/>
    <x v="0"/>
    <x v="4"/>
    <n v="16"/>
    <x v="4"/>
    <x v="2"/>
    <x v="2"/>
    <s v="금융수입"/>
    <n v="-128726"/>
    <n v="128726"/>
    <x v="139"/>
    <m/>
  </r>
  <r>
    <x v="286"/>
    <x v="102"/>
    <x v="0"/>
    <x v="4"/>
    <n v="16"/>
    <x v="5"/>
    <x v="2"/>
    <x v="2"/>
    <s v="금융수입"/>
    <n v="-128174"/>
    <n v="128174"/>
    <x v="139"/>
    <m/>
  </r>
  <r>
    <x v="287"/>
    <x v="102"/>
    <x v="0"/>
    <x v="4"/>
    <n v="16"/>
    <x v="1"/>
    <x v="1"/>
    <x v="5"/>
    <s v="베이커리"/>
    <n v="27200"/>
    <n v="-27200"/>
    <x v="116"/>
    <m/>
  </r>
  <r>
    <x v="288"/>
    <x v="103"/>
    <x v="0"/>
    <x v="4"/>
    <n v="17"/>
    <x v="1"/>
    <x v="3"/>
    <x v="3"/>
    <s v="포장"/>
    <n v="8600"/>
    <n v="-8600"/>
    <x v="83"/>
    <s v="고잔DT"/>
  </r>
  <r>
    <x v="289"/>
    <x v="104"/>
    <x v="0"/>
    <x v="4"/>
    <n v="18"/>
    <x v="1"/>
    <x v="1"/>
    <x v="7"/>
    <s v="대중교통"/>
    <n v="10280"/>
    <n v="-10280"/>
    <x v="33"/>
    <m/>
  </r>
  <r>
    <x v="290"/>
    <x v="104"/>
    <x v="0"/>
    <x v="4"/>
    <n v="18"/>
    <x v="1"/>
    <x v="2"/>
    <x v="2"/>
    <s v="기타수입"/>
    <n v="-1350"/>
    <n v="1350"/>
    <x v="140"/>
    <s v="세금환급"/>
  </r>
  <r>
    <x v="291"/>
    <x v="105"/>
    <x v="0"/>
    <x v="4"/>
    <n v="19"/>
    <x v="1"/>
    <x v="1"/>
    <x v="6"/>
    <s v="편의점"/>
    <n v="2900"/>
    <n v="-2900"/>
    <x v="10"/>
    <s v="점심 커피"/>
  </r>
  <r>
    <x v="292"/>
    <x v="105"/>
    <x v="0"/>
    <x v="4"/>
    <n v="19"/>
    <x v="3"/>
    <x v="2"/>
    <x v="2"/>
    <s v="금융수입"/>
    <n v="-3"/>
    <n v="3"/>
    <x v="36"/>
    <m/>
  </r>
  <r>
    <x v="293"/>
    <x v="106"/>
    <x v="0"/>
    <x v="4"/>
    <n v="21"/>
    <x v="6"/>
    <x v="0"/>
    <x v="0"/>
    <s v="내계좌이체"/>
    <n v="-106971"/>
    <n v="106971"/>
    <x v="137"/>
    <m/>
  </r>
  <r>
    <x v="294"/>
    <x v="106"/>
    <x v="0"/>
    <x v="4"/>
    <n v="21"/>
    <x v="2"/>
    <x v="0"/>
    <x v="0"/>
    <s v="내계좌이체"/>
    <n v="106971"/>
    <n v="-106971"/>
    <x v="137"/>
    <m/>
  </r>
  <r>
    <x v="295"/>
    <x v="106"/>
    <x v="0"/>
    <x v="4"/>
    <n v="21"/>
    <x v="1"/>
    <x v="1"/>
    <x v="4"/>
    <s v="인터넷쇼핑"/>
    <n v="192970"/>
    <n v="-192970"/>
    <x v="141"/>
    <s v="키보드"/>
  </r>
  <r>
    <x v="296"/>
    <x v="106"/>
    <x v="0"/>
    <x v="4"/>
    <n v="21"/>
    <x v="6"/>
    <x v="0"/>
    <x v="0"/>
    <s v="저축"/>
    <n v="6000000"/>
    <n v="-6000000"/>
    <x v="142"/>
    <m/>
  </r>
  <r>
    <x v="297"/>
    <x v="106"/>
    <x v="0"/>
    <x v="4"/>
    <n v="21"/>
    <x v="7"/>
    <x v="0"/>
    <x v="0"/>
    <s v="저축"/>
    <n v="-6000000"/>
    <n v="6000000"/>
    <x v="142"/>
    <m/>
  </r>
  <r>
    <x v="298"/>
    <x v="107"/>
    <x v="0"/>
    <x v="4"/>
    <n v="22"/>
    <x v="1"/>
    <x v="2"/>
    <x v="2"/>
    <s v="기타수입"/>
    <n v="-10000"/>
    <n v="10000"/>
    <x v="15"/>
    <m/>
  </r>
  <r>
    <x v="299"/>
    <x v="108"/>
    <x v="0"/>
    <x v="4"/>
    <n v="27"/>
    <x v="1"/>
    <x v="1"/>
    <x v="10"/>
    <s v="선물"/>
    <n v="12600"/>
    <n v="-12600"/>
    <x v="17"/>
    <s v="조용민 생일"/>
  </r>
  <r>
    <x v="300"/>
    <x v="109"/>
    <x v="0"/>
    <x v="4"/>
    <n v="30"/>
    <x v="1"/>
    <x v="4"/>
    <x v="4"/>
    <s v="서비스구독"/>
    <n v="3141"/>
    <n v="-3141"/>
    <x v="84"/>
    <m/>
  </r>
  <r>
    <x v="301"/>
    <x v="110"/>
    <x v="0"/>
    <x v="5"/>
    <n v="1"/>
    <x v="1"/>
    <x v="1"/>
    <x v="15"/>
    <s v="시험료"/>
    <n v="23700"/>
    <n v="-23700"/>
    <x v="143"/>
    <s v="컴활1급 시험료"/>
  </r>
  <r>
    <x v="302"/>
    <x v="110"/>
    <x v="0"/>
    <x v="5"/>
    <n v="1"/>
    <x v="1"/>
    <x v="1"/>
    <x v="12"/>
    <s v="기타"/>
    <n v="5000"/>
    <n v="-5000"/>
    <x v="48"/>
    <m/>
  </r>
  <r>
    <x v="303"/>
    <x v="111"/>
    <x v="0"/>
    <x v="5"/>
    <n v="3"/>
    <x v="1"/>
    <x v="1"/>
    <x v="12"/>
    <s v="게임"/>
    <n v="7500"/>
    <n v="-7500"/>
    <x v="42"/>
    <s v="클오클"/>
  </r>
  <r>
    <x v="304"/>
    <x v="112"/>
    <x v="0"/>
    <x v="5"/>
    <n v="5"/>
    <x v="1"/>
    <x v="1"/>
    <x v="7"/>
    <s v="대중교통"/>
    <n v="1320"/>
    <n v="-1320"/>
    <x v="33"/>
    <m/>
  </r>
  <r>
    <x v="305"/>
    <x v="113"/>
    <x v="0"/>
    <x v="5"/>
    <n v="6"/>
    <x v="1"/>
    <x v="1"/>
    <x v="7"/>
    <s v="전동킥보드"/>
    <n v="1455"/>
    <n v="-1455"/>
    <x v="11"/>
    <m/>
  </r>
  <r>
    <x v="306"/>
    <x v="113"/>
    <x v="0"/>
    <x v="5"/>
    <n v="6"/>
    <x v="1"/>
    <x v="3"/>
    <x v="8"/>
    <s v="헤어샵"/>
    <n v="15000"/>
    <n v="-15000"/>
    <x v="95"/>
    <m/>
  </r>
  <r>
    <x v="307"/>
    <x v="114"/>
    <x v="0"/>
    <x v="5"/>
    <n v="7"/>
    <x v="1"/>
    <x v="1"/>
    <x v="16"/>
    <s v="숙박비"/>
    <n v="40245"/>
    <n v="-40245"/>
    <x v="144"/>
    <s v="박종민 이체"/>
  </r>
  <r>
    <x v="308"/>
    <x v="114"/>
    <x v="0"/>
    <x v="5"/>
    <n v="7"/>
    <x v="1"/>
    <x v="1"/>
    <x v="16"/>
    <s v="교통비"/>
    <n v="6575"/>
    <n v="-6575"/>
    <x v="145"/>
    <s v="4명정산"/>
  </r>
  <r>
    <x v="309"/>
    <x v="114"/>
    <x v="0"/>
    <x v="5"/>
    <n v="7"/>
    <x v="1"/>
    <x v="1"/>
    <x v="16"/>
    <s v="교통비"/>
    <n v="82600"/>
    <n v="-82600"/>
    <x v="146"/>
    <s v="박종민 이체"/>
  </r>
  <r>
    <x v="310"/>
    <x v="115"/>
    <x v="0"/>
    <x v="5"/>
    <n v="8"/>
    <x v="1"/>
    <x v="3"/>
    <x v="3"/>
    <s v="외식"/>
    <n v="12500"/>
    <n v="-12500"/>
    <x v="147"/>
    <m/>
  </r>
  <r>
    <x v="311"/>
    <x v="115"/>
    <x v="0"/>
    <x v="5"/>
    <n v="8"/>
    <x v="1"/>
    <x v="3"/>
    <x v="7"/>
    <s v="전동킥보드"/>
    <n v="3000"/>
    <n v="-3000"/>
    <x v="148"/>
    <s v="시험장 이동"/>
  </r>
  <r>
    <x v="312"/>
    <x v="116"/>
    <x v="0"/>
    <x v="5"/>
    <n v="9"/>
    <x v="1"/>
    <x v="1"/>
    <x v="4"/>
    <s v="앱스토어"/>
    <n v="6374"/>
    <n v="-6374"/>
    <x v="149"/>
    <s v="Inkodo 프로 구매"/>
  </r>
  <r>
    <x v="313"/>
    <x v="117"/>
    <x v="0"/>
    <x v="5"/>
    <n v="10"/>
    <x v="0"/>
    <x v="2"/>
    <x v="2"/>
    <s v="금융수입"/>
    <n v="-29"/>
    <n v="29"/>
    <x v="36"/>
    <m/>
  </r>
  <r>
    <x v="314"/>
    <x v="117"/>
    <x v="0"/>
    <x v="5"/>
    <n v="10"/>
    <x v="1"/>
    <x v="1"/>
    <x v="12"/>
    <s v="기타"/>
    <n v="5000"/>
    <n v="-5000"/>
    <x v="48"/>
    <m/>
  </r>
  <r>
    <x v="315"/>
    <x v="118"/>
    <x v="0"/>
    <x v="5"/>
    <n v="11"/>
    <x v="1"/>
    <x v="2"/>
    <x v="2"/>
    <s v="용돈"/>
    <n v="-100000"/>
    <n v="100000"/>
    <x v="132"/>
    <s v="회사 선배"/>
  </r>
  <r>
    <x v="316"/>
    <x v="119"/>
    <x v="0"/>
    <x v="5"/>
    <n v="12"/>
    <x v="1"/>
    <x v="1"/>
    <x v="16"/>
    <s v="교통비"/>
    <n v="7800"/>
    <n v="-7800"/>
    <x v="150"/>
    <m/>
  </r>
  <r>
    <x v="317"/>
    <x v="119"/>
    <x v="0"/>
    <x v="5"/>
    <n v="12"/>
    <x v="1"/>
    <x v="1"/>
    <x v="5"/>
    <s v="커피_음료"/>
    <n v="300"/>
    <n v="-300"/>
    <x v="9"/>
    <s v="쿠팡 자판기"/>
  </r>
  <r>
    <x v="318"/>
    <x v="120"/>
    <x v="0"/>
    <x v="5"/>
    <n v="13"/>
    <x v="1"/>
    <x v="2"/>
    <x v="2"/>
    <s v="금융수입"/>
    <n v="-2500"/>
    <n v="2500"/>
    <x v="85"/>
    <s v="통신비 환급"/>
  </r>
  <r>
    <x v="319"/>
    <x v="120"/>
    <x v="0"/>
    <x v="5"/>
    <n v="13"/>
    <x v="3"/>
    <x v="5"/>
    <x v="9"/>
    <s v="정기급여"/>
    <n v="-86240"/>
    <n v="86240"/>
    <x v="151"/>
    <m/>
  </r>
  <r>
    <x v="320"/>
    <x v="121"/>
    <x v="0"/>
    <x v="5"/>
    <n v="14"/>
    <x v="1"/>
    <x v="2"/>
    <x v="2"/>
    <s v="용돈"/>
    <n v="-100000"/>
    <n v="100000"/>
    <x v="132"/>
    <m/>
  </r>
  <r>
    <x v="321"/>
    <x v="121"/>
    <x v="0"/>
    <x v="5"/>
    <n v="14"/>
    <x v="3"/>
    <x v="5"/>
    <x v="9"/>
    <s v="정기급여"/>
    <n v="-115292"/>
    <n v="115292"/>
    <x v="151"/>
    <m/>
  </r>
  <r>
    <x v="322"/>
    <x v="121"/>
    <x v="0"/>
    <x v="5"/>
    <n v="14"/>
    <x v="1"/>
    <x v="1"/>
    <x v="3"/>
    <s v="외식"/>
    <n v="11900"/>
    <n v="-11900"/>
    <x v="3"/>
    <s v="공항 점심"/>
  </r>
  <r>
    <x v="323"/>
    <x v="122"/>
    <x v="0"/>
    <x v="5"/>
    <n v="15"/>
    <x v="1"/>
    <x v="1"/>
    <x v="16"/>
    <s v="관광"/>
    <n v="108200"/>
    <n v="-108200"/>
    <x v="152"/>
    <s v="12.14-12.15 여행비 정산"/>
  </r>
  <r>
    <x v="324"/>
    <x v="122"/>
    <x v="0"/>
    <x v="5"/>
    <n v="15"/>
    <x v="1"/>
    <x v="1"/>
    <x v="16"/>
    <s v="교통비"/>
    <n v="3300"/>
    <n v="-3300"/>
    <x v="148"/>
    <m/>
  </r>
  <r>
    <x v="325"/>
    <x v="123"/>
    <x v="0"/>
    <x v="5"/>
    <n v="16"/>
    <x v="1"/>
    <x v="1"/>
    <x v="3"/>
    <s v="외식"/>
    <n v="8500"/>
    <n v="-8500"/>
    <x v="153"/>
    <s v="우동"/>
  </r>
  <r>
    <x v="326"/>
    <x v="123"/>
    <x v="0"/>
    <x v="5"/>
    <n v="16"/>
    <x v="1"/>
    <x v="1"/>
    <x v="16"/>
    <s v="교통비"/>
    <n v="7800"/>
    <n v="-7800"/>
    <x v="150"/>
    <m/>
  </r>
  <r>
    <x v="327"/>
    <x v="123"/>
    <x v="0"/>
    <x v="5"/>
    <n v="16"/>
    <x v="1"/>
    <x v="1"/>
    <x v="16"/>
    <s v="기념품"/>
    <n v="43000"/>
    <n v="-43000"/>
    <x v="152"/>
    <s v="뱅쇼, 초콜릿, 젤리 등"/>
  </r>
  <r>
    <x v="328"/>
    <x v="123"/>
    <x v="0"/>
    <x v="5"/>
    <n v="16"/>
    <x v="1"/>
    <x v="1"/>
    <x v="16"/>
    <s v="기념품"/>
    <n v="2000"/>
    <n v="-2000"/>
    <x v="152"/>
    <s v="면세담배(박종민, 송민재 이체)-10만입금"/>
  </r>
  <r>
    <x v="329"/>
    <x v="124"/>
    <x v="0"/>
    <x v="5"/>
    <n v="17"/>
    <x v="1"/>
    <x v="3"/>
    <x v="14"/>
    <s v="옷"/>
    <n v="43253"/>
    <n v="-43253"/>
    <x v="154"/>
    <m/>
  </r>
  <r>
    <x v="330"/>
    <x v="124"/>
    <x v="0"/>
    <x v="5"/>
    <n v="17"/>
    <x v="3"/>
    <x v="2"/>
    <x v="2"/>
    <s v="금융수입"/>
    <n v="-3"/>
    <n v="3"/>
    <x v="36"/>
    <m/>
  </r>
  <r>
    <x v="331"/>
    <x v="125"/>
    <x v="0"/>
    <x v="5"/>
    <n v="18"/>
    <x v="1"/>
    <x v="1"/>
    <x v="5"/>
    <s v="커피_음료"/>
    <n v="1000"/>
    <n v="-1000"/>
    <x v="106"/>
    <m/>
  </r>
  <r>
    <x v="332"/>
    <x v="126"/>
    <x v="0"/>
    <x v="5"/>
    <n v="19"/>
    <x v="1"/>
    <x v="3"/>
    <x v="5"/>
    <s v="디저트_빵"/>
    <n v="2400"/>
    <n v="-2400"/>
    <x v="155"/>
    <m/>
  </r>
  <r>
    <x v="333"/>
    <x v="126"/>
    <x v="0"/>
    <x v="5"/>
    <n v="19"/>
    <x v="1"/>
    <x v="1"/>
    <x v="12"/>
    <s v="게임"/>
    <n v="1500"/>
    <n v="-1500"/>
    <x v="42"/>
    <m/>
  </r>
  <r>
    <x v="334"/>
    <x v="126"/>
    <x v="0"/>
    <x v="5"/>
    <n v="19"/>
    <x v="1"/>
    <x v="1"/>
    <x v="5"/>
    <s v="커피_음료"/>
    <n v="300"/>
    <n v="-300"/>
    <x v="9"/>
    <m/>
  </r>
  <r>
    <x v="335"/>
    <x v="127"/>
    <x v="0"/>
    <x v="5"/>
    <n v="20"/>
    <x v="1"/>
    <x v="1"/>
    <x v="7"/>
    <s v="대중교통"/>
    <n v="1160"/>
    <n v="-1160"/>
    <x v="33"/>
    <m/>
  </r>
  <r>
    <x v="336"/>
    <x v="127"/>
    <x v="0"/>
    <x v="5"/>
    <n v="20"/>
    <x v="1"/>
    <x v="1"/>
    <x v="12"/>
    <s v="게임"/>
    <n v="3000"/>
    <n v="-3000"/>
    <x v="42"/>
    <s v="클오클"/>
  </r>
  <r>
    <x v="337"/>
    <x v="127"/>
    <x v="0"/>
    <x v="5"/>
    <n v="20"/>
    <x v="3"/>
    <x v="5"/>
    <x v="9"/>
    <s v="정기급여"/>
    <n v="-86240"/>
    <n v="86240"/>
    <x v="151"/>
    <m/>
  </r>
  <r>
    <x v="338"/>
    <x v="128"/>
    <x v="0"/>
    <x v="5"/>
    <n v="21"/>
    <x v="3"/>
    <x v="5"/>
    <x v="9"/>
    <s v="정기급여"/>
    <n v="-115292"/>
    <n v="115292"/>
    <x v="151"/>
    <m/>
  </r>
  <r>
    <x v="339"/>
    <x v="129"/>
    <x v="0"/>
    <x v="5"/>
    <n v="22"/>
    <x v="1"/>
    <x v="1"/>
    <x v="5"/>
    <s v="커피_음료"/>
    <n v="300"/>
    <n v="-300"/>
    <x v="9"/>
    <m/>
  </r>
  <r>
    <x v="340"/>
    <x v="129"/>
    <x v="0"/>
    <x v="5"/>
    <n v="22"/>
    <x v="3"/>
    <x v="5"/>
    <x v="9"/>
    <s v="정기급여"/>
    <n v="-100766"/>
    <n v="100766"/>
    <x v="151"/>
    <m/>
  </r>
  <r>
    <x v="341"/>
    <x v="130"/>
    <x v="0"/>
    <x v="5"/>
    <n v="23"/>
    <x v="1"/>
    <x v="1"/>
    <x v="16"/>
    <s v="관광"/>
    <n v="403231"/>
    <n v="-403231"/>
    <x v="156"/>
    <s v="환급액차감"/>
  </r>
  <r>
    <x v="342"/>
    <x v="130"/>
    <x v="0"/>
    <x v="5"/>
    <n v="23"/>
    <x v="1"/>
    <x v="1"/>
    <x v="3"/>
    <s v="배달"/>
    <n v="48500"/>
    <n v="-48500"/>
    <x v="30"/>
    <m/>
  </r>
  <r>
    <x v="343"/>
    <x v="130"/>
    <x v="0"/>
    <x v="5"/>
    <n v="23"/>
    <x v="0"/>
    <x v="0"/>
    <x v="0"/>
    <s v="내계좌이체"/>
    <n v="73130"/>
    <n v="-73130"/>
    <x v="129"/>
    <m/>
  </r>
  <r>
    <x v="344"/>
    <x v="130"/>
    <x v="0"/>
    <x v="5"/>
    <n v="23"/>
    <x v="1"/>
    <x v="0"/>
    <x v="0"/>
    <s v="내계좌이체"/>
    <n v="-73130"/>
    <n v="73130"/>
    <x v="129"/>
    <m/>
  </r>
  <r>
    <x v="345"/>
    <x v="130"/>
    <x v="0"/>
    <x v="5"/>
    <n v="23"/>
    <x v="1"/>
    <x v="1"/>
    <x v="5"/>
    <s v="커피_음료"/>
    <n v="8500"/>
    <n v="-8500"/>
    <x v="157"/>
    <s v="송민혁 이체"/>
  </r>
  <r>
    <x v="346"/>
    <x v="130"/>
    <x v="0"/>
    <x v="5"/>
    <n v="23"/>
    <x v="1"/>
    <x v="2"/>
    <x v="2"/>
    <s v="상여금"/>
    <n v="-523217"/>
    <n v="523217"/>
    <x v="158"/>
    <m/>
  </r>
  <r>
    <x v="347"/>
    <x v="130"/>
    <x v="0"/>
    <x v="5"/>
    <n v="23"/>
    <x v="1"/>
    <x v="1"/>
    <x v="3"/>
    <s v="외식"/>
    <n v="10000"/>
    <n v="-10000"/>
    <x v="159"/>
    <s v="송민혁 이체"/>
  </r>
  <r>
    <x v="348"/>
    <x v="130"/>
    <x v="0"/>
    <x v="5"/>
    <n v="23"/>
    <x v="3"/>
    <x v="5"/>
    <x v="9"/>
    <s v="정기급여"/>
    <n v="-100766"/>
    <n v="100766"/>
    <x v="151"/>
    <m/>
  </r>
  <r>
    <x v="349"/>
    <x v="131"/>
    <x v="0"/>
    <x v="5"/>
    <n v="24"/>
    <x v="1"/>
    <x v="4"/>
    <x v="4"/>
    <s v="서비스구독"/>
    <n v="12375"/>
    <n v="-12375"/>
    <x v="5"/>
    <s v="디플구독 5개월"/>
  </r>
  <r>
    <x v="350"/>
    <x v="131"/>
    <x v="0"/>
    <x v="5"/>
    <n v="24"/>
    <x v="1"/>
    <x v="2"/>
    <x v="2"/>
    <s v="용돈"/>
    <n v="-100000"/>
    <n v="100000"/>
    <x v="160"/>
    <m/>
  </r>
  <r>
    <x v="351"/>
    <x v="132"/>
    <x v="0"/>
    <x v="5"/>
    <n v="25"/>
    <x v="1"/>
    <x v="2"/>
    <x v="2"/>
    <s v="기타수입"/>
    <n v="-2"/>
    <n v="2"/>
    <x v="161"/>
    <m/>
  </r>
  <r>
    <x v="352"/>
    <x v="133"/>
    <x v="0"/>
    <x v="5"/>
    <n v="26"/>
    <x v="1"/>
    <x v="1"/>
    <x v="5"/>
    <s v="커피_음료"/>
    <n v="300"/>
    <n v="-300"/>
    <x v="9"/>
    <m/>
  </r>
  <r>
    <x v="353"/>
    <x v="134"/>
    <x v="0"/>
    <x v="5"/>
    <n v="27"/>
    <x v="1"/>
    <x v="1"/>
    <x v="5"/>
    <s v="아이스크림_빙수"/>
    <n v="2700"/>
    <n v="-2700"/>
    <x v="162"/>
    <m/>
  </r>
  <r>
    <x v="354"/>
    <x v="134"/>
    <x v="0"/>
    <x v="5"/>
    <n v="27"/>
    <x v="1"/>
    <x v="1"/>
    <x v="5"/>
    <s v="커피_음료"/>
    <n v="300"/>
    <n v="-300"/>
    <x v="9"/>
    <m/>
  </r>
  <r>
    <x v="355"/>
    <x v="134"/>
    <x v="0"/>
    <x v="5"/>
    <n v="27"/>
    <x v="3"/>
    <x v="5"/>
    <x v="9"/>
    <s v="정기급여"/>
    <n v="-86240"/>
    <n v="86240"/>
    <x v="151"/>
    <m/>
  </r>
  <r>
    <x v="356"/>
    <x v="135"/>
    <x v="0"/>
    <x v="5"/>
    <n v="28"/>
    <x v="3"/>
    <x v="5"/>
    <x v="9"/>
    <s v="정기급여"/>
    <n v="-115292"/>
    <n v="115292"/>
    <x v="151"/>
    <m/>
  </r>
  <r>
    <x v="357"/>
    <x v="136"/>
    <x v="0"/>
    <x v="5"/>
    <n v="29"/>
    <x v="1"/>
    <x v="1"/>
    <x v="5"/>
    <s v="커피_음료"/>
    <n v="300"/>
    <n v="-300"/>
    <x v="9"/>
    <m/>
  </r>
  <r>
    <x v="358"/>
    <x v="136"/>
    <x v="0"/>
    <x v="5"/>
    <n v="29"/>
    <x v="1"/>
    <x v="1"/>
    <x v="10"/>
    <s v="선물"/>
    <n v="20000"/>
    <n v="-20000"/>
    <x v="17"/>
    <s v="이현빈 생일"/>
  </r>
  <r>
    <x v="359"/>
    <x v="137"/>
    <x v="0"/>
    <x v="5"/>
    <n v="30"/>
    <x v="3"/>
    <x v="0"/>
    <x v="0"/>
    <s v="내계좌이체"/>
    <n v="806134"/>
    <n v="-806134"/>
    <x v="137"/>
    <m/>
  </r>
  <r>
    <x v="360"/>
    <x v="137"/>
    <x v="0"/>
    <x v="5"/>
    <n v="30"/>
    <x v="6"/>
    <x v="0"/>
    <x v="0"/>
    <s v="내계좌이체"/>
    <n v="-806134"/>
    <n v="806134"/>
    <x v="78"/>
    <m/>
  </r>
  <r>
    <x v="361"/>
    <x v="137"/>
    <x v="0"/>
    <x v="5"/>
    <n v="30"/>
    <x v="6"/>
    <x v="2"/>
    <x v="2"/>
    <s v="금융수입"/>
    <n v="-498"/>
    <n v="498"/>
    <x v="163"/>
    <m/>
  </r>
  <r>
    <x v="362"/>
    <x v="137"/>
    <x v="0"/>
    <x v="5"/>
    <n v="30"/>
    <x v="1"/>
    <x v="3"/>
    <x v="8"/>
    <s v="헤어샵"/>
    <n v="15000"/>
    <n v="-15000"/>
    <x v="95"/>
    <m/>
  </r>
  <r>
    <x v="363"/>
    <x v="137"/>
    <x v="0"/>
    <x v="5"/>
    <n v="30"/>
    <x v="1"/>
    <x v="4"/>
    <x v="4"/>
    <s v="서비스구독"/>
    <n v="2832"/>
    <n v="-2832"/>
    <x v="84"/>
    <m/>
  </r>
  <r>
    <x v="364"/>
    <x v="137"/>
    <x v="0"/>
    <x v="5"/>
    <n v="30"/>
    <x v="6"/>
    <x v="5"/>
    <x v="9"/>
    <s v="정기급여"/>
    <n v="-100766"/>
    <n v="100766"/>
    <x v="151"/>
    <m/>
  </r>
  <r>
    <x v="365"/>
    <x v="138"/>
    <x v="1"/>
    <x v="6"/>
    <n v="2"/>
    <x v="1"/>
    <x v="1"/>
    <x v="15"/>
    <s v="시험료"/>
    <n v="23700"/>
    <n v="-23700"/>
    <x v="143"/>
    <m/>
  </r>
  <r>
    <x v="366"/>
    <x v="139"/>
    <x v="1"/>
    <x v="6"/>
    <n v="3"/>
    <x v="6"/>
    <x v="5"/>
    <x v="9"/>
    <s v="정기급여"/>
    <n v="-90570"/>
    <n v="90570"/>
    <x v="151"/>
    <m/>
  </r>
  <r>
    <x v="367"/>
    <x v="140"/>
    <x v="1"/>
    <x v="6"/>
    <n v="4"/>
    <x v="1"/>
    <x v="1"/>
    <x v="6"/>
    <s v="편의점"/>
    <n v="9000"/>
    <n v="-9000"/>
    <x v="10"/>
    <m/>
  </r>
  <r>
    <x v="368"/>
    <x v="140"/>
    <x v="1"/>
    <x v="6"/>
    <n v="4"/>
    <x v="1"/>
    <x v="1"/>
    <x v="7"/>
    <s v="대중교통"/>
    <n v="1160"/>
    <n v="-1160"/>
    <x v="33"/>
    <m/>
  </r>
  <r>
    <x v="369"/>
    <x v="140"/>
    <x v="1"/>
    <x v="6"/>
    <n v="4"/>
    <x v="1"/>
    <x v="1"/>
    <x v="1"/>
    <s v="과태료"/>
    <n v="6000"/>
    <n v="-6000"/>
    <x v="164"/>
    <m/>
  </r>
  <r>
    <x v="370"/>
    <x v="140"/>
    <x v="1"/>
    <x v="6"/>
    <n v="4"/>
    <x v="1"/>
    <x v="1"/>
    <x v="5"/>
    <s v="아이스크림_빙수"/>
    <n v="4000"/>
    <n v="-4000"/>
    <x v="162"/>
    <m/>
  </r>
  <r>
    <x v="371"/>
    <x v="140"/>
    <x v="1"/>
    <x v="6"/>
    <n v="4"/>
    <x v="1"/>
    <x v="1"/>
    <x v="5"/>
    <s v="커피_음료"/>
    <n v="600"/>
    <n v="-600"/>
    <x v="9"/>
    <m/>
  </r>
  <r>
    <x v="372"/>
    <x v="141"/>
    <x v="1"/>
    <x v="6"/>
    <n v="5"/>
    <x v="1"/>
    <x v="1"/>
    <x v="5"/>
    <s v="커피_음료"/>
    <n v="300"/>
    <n v="-300"/>
    <x v="9"/>
    <m/>
  </r>
  <r>
    <x v="373"/>
    <x v="141"/>
    <x v="1"/>
    <x v="6"/>
    <n v="5"/>
    <x v="6"/>
    <x v="5"/>
    <x v="9"/>
    <s v="정기급여"/>
    <n v="-121084"/>
    <n v="121084"/>
    <x v="151"/>
    <m/>
  </r>
  <r>
    <x v="374"/>
    <x v="142"/>
    <x v="1"/>
    <x v="6"/>
    <n v="6"/>
    <x v="1"/>
    <x v="3"/>
    <x v="1"/>
    <s v="주차"/>
    <n v="500"/>
    <n v="-500"/>
    <x v="165"/>
    <s v="정육점심부름 환급 2000원 차액 차감"/>
  </r>
  <r>
    <x v="375"/>
    <x v="142"/>
    <x v="1"/>
    <x v="6"/>
    <n v="6"/>
    <x v="1"/>
    <x v="2"/>
    <x v="2"/>
    <s v="기타수입"/>
    <n v="-10000"/>
    <n v="10000"/>
    <x v="15"/>
    <m/>
  </r>
  <r>
    <x v="376"/>
    <x v="142"/>
    <x v="1"/>
    <x v="6"/>
    <n v="6"/>
    <x v="6"/>
    <x v="5"/>
    <x v="9"/>
    <s v="정기급여"/>
    <n v="-105822"/>
    <n v="105822"/>
    <x v="151"/>
    <m/>
  </r>
  <r>
    <x v="377"/>
    <x v="143"/>
    <x v="1"/>
    <x v="6"/>
    <n v="9"/>
    <x v="1"/>
    <x v="1"/>
    <x v="6"/>
    <s v="편의점"/>
    <n v="9000"/>
    <n v="-9000"/>
    <x v="10"/>
    <m/>
  </r>
  <r>
    <x v="378"/>
    <x v="144"/>
    <x v="1"/>
    <x v="6"/>
    <n v="10"/>
    <x v="1"/>
    <x v="2"/>
    <x v="2"/>
    <s v="기타수입"/>
    <n v="-1"/>
    <n v="1"/>
    <x v="161"/>
    <m/>
  </r>
  <r>
    <x v="379"/>
    <x v="144"/>
    <x v="1"/>
    <x v="6"/>
    <n v="10"/>
    <x v="1"/>
    <x v="1"/>
    <x v="5"/>
    <s v="커피_음료"/>
    <n v="300"/>
    <n v="-300"/>
    <x v="9"/>
    <m/>
  </r>
  <r>
    <x v="380"/>
    <x v="144"/>
    <x v="1"/>
    <x v="6"/>
    <n v="10"/>
    <x v="6"/>
    <x v="5"/>
    <x v="9"/>
    <s v="정기급여"/>
    <n v="-90570"/>
    <n v="90570"/>
    <x v="151"/>
    <m/>
  </r>
  <r>
    <x v="381"/>
    <x v="145"/>
    <x v="1"/>
    <x v="6"/>
    <n v="11"/>
    <x v="1"/>
    <x v="1"/>
    <x v="13"/>
    <s v="담배"/>
    <n v="59000"/>
    <n v="-59000"/>
    <x v="166"/>
    <m/>
  </r>
  <r>
    <x v="382"/>
    <x v="145"/>
    <x v="1"/>
    <x v="6"/>
    <n v="11"/>
    <x v="6"/>
    <x v="5"/>
    <x v="9"/>
    <s v="정기급여"/>
    <n v="-121084"/>
    <n v="121084"/>
    <x v="151"/>
    <m/>
  </r>
  <r>
    <x v="383"/>
    <x v="146"/>
    <x v="1"/>
    <x v="6"/>
    <n v="12"/>
    <x v="1"/>
    <x v="1"/>
    <x v="6"/>
    <s v="편의점"/>
    <n v="6850"/>
    <n v="-6850"/>
    <x v="10"/>
    <s v="간식"/>
  </r>
  <r>
    <x v="384"/>
    <x v="146"/>
    <x v="1"/>
    <x v="6"/>
    <n v="12"/>
    <x v="1"/>
    <x v="1"/>
    <x v="5"/>
    <s v="커피_음료"/>
    <n v="300"/>
    <n v="-300"/>
    <x v="9"/>
    <m/>
  </r>
  <r>
    <x v="385"/>
    <x v="146"/>
    <x v="1"/>
    <x v="6"/>
    <n v="12"/>
    <x v="1"/>
    <x v="1"/>
    <x v="6"/>
    <s v="전자제품"/>
    <n v="166550"/>
    <n v="-166550"/>
    <x v="167"/>
    <s v="워치4 클래식 (액티브2 판매 50,000차감)"/>
  </r>
  <r>
    <x v="386"/>
    <x v="146"/>
    <x v="1"/>
    <x v="6"/>
    <n v="12"/>
    <x v="6"/>
    <x v="5"/>
    <x v="9"/>
    <s v="정기급여"/>
    <n v="-105822"/>
    <n v="105822"/>
    <x v="151"/>
    <m/>
  </r>
  <r>
    <x v="387"/>
    <x v="146"/>
    <x v="1"/>
    <x v="6"/>
    <n v="12"/>
    <x v="1"/>
    <x v="2"/>
    <x v="2"/>
    <s v="금융수입"/>
    <n v="-2500"/>
    <n v="2500"/>
    <x v="24"/>
    <m/>
  </r>
  <r>
    <x v="388"/>
    <x v="147"/>
    <x v="1"/>
    <x v="6"/>
    <n v="13"/>
    <x v="1"/>
    <x v="1"/>
    <x v="5"/>
    <s v="커피_음료"/>
    <n v="300"/>
    <n v="-300"/>
    <x v="9"/>
    <m/>
  </r>
  <r>
    <x v="389"/>
    <x v="147"/>
    <x v="1"/>
    <x v="6"/>
    <n v="13"/>
    <x v="1"/>
    <x v="1"/>
    <x v="4"/>
    <s v="인터넷쇼핑"/>
    <n v="31820"/>
    <n v="-31820"/>
    <x v="167"/>
    <s v="워치4 스트랩"/>
  </r>
  <r>
    <x v="390"/>
    <x v="147"/>
    <x v="1"/>
    <x v="6"/>
    <n v="13"/>
    <x v="6"/>
    <x v="5"/>
    <x v="9"/>
    <s v="정기급여"/>
    <n v="-105822"/>
    <n v="105822"/>
    <x v="151"/>
    <m/>
  </r>
  <r>
    <x v="391"/>
    <x v="148"/>
    <x v="1"/>
    <x v="6"/>
    <n v="16"/>
    <x v="6"/>
    <x v="5"/>
    <x v="9"/>
    <s v="정기급여"/>
    <n v="-55822"/>
    <n v="55822"/>
    <x v="151"/>
    <s v="보험료 공제"/>
  </r>
  <r>
    <x v="392"/>
    <x v="148"/>
    <x v="1"/>
    <x v="6"/>
    <n v="16"/>
    <x v="1"/>
    <x v="1"/>
    <x v="7"/>
    <s v="택시"/>
    <n v="11600"/>
    <n v="-11600"/>
    <x v="68"/>
    <s v="집복귀"/>
  </r>
  <r>
    <x v="393"/>
    <x v="149"/>
    <x v="1"/>
    <x v="6"/>
    <n v="17"/>
    <x v="1"/>
    <x v="1"/>
    <x v="4"/>
    <s v="인터넷쇼핑"/>
    <n v="31481"/>
    <n v="-31481"/>
    <x v="42"/>
    <s v="개발자 등록 수수료"/>
  </r>
  <r>
    <x v="394"/>
    <x v="149"/>
    <x v="1"/>
    <x v="6"/>
    <n v="17"/>
    <x v="1"/>
    <x v="2"/>
    <x v="2"/>
    <s v="기타수입"/>
    <n v="-1"/>
    <n v="1"/>
    <x v="124"/>
    <m/>
  </r>
  <r>
    <x v="395"/>
    <x v="149"/>
    <x v="1"/>
    <x v="6"/>
    <n v="17"/>
    <x v="6"/>
    <x v="5"/>
    <x v="9"/>
    <s v="정기급여"/>
    <n v="-12310"/>
    <n v="12310"/>
    <x v="151"/>
    <s v="보험료 공제"/>
  </r>
  <r>
    <x v="396"/>
    <x v="149"/>
    <x v="1"/>
    <x v="6"/>
    <n v="17"/>
    <x v="1"/>
    <x v="1"/>
    <x v="1"/>
    <s v="주차"/>
    <n v="1000"/>
    <n v="-1000"/>
    <x v="168"/>
    <s v="명진이 픽업"/>
  </r>
  <r>
    <x v="397"/>
    <x v="150"/>
    <x v="1"/>
    <x v="6"/>
    <n v="20"/>
    <x v="1"/>
    <x v="0"/>
    <x v="0"/>
    <s v="내계좌이체"/>
    <n v="-476719"/>
    <n v="476719"/>
    <x v="137"/>
    <m/>
  </r>
  <r>
    <x v="398"/>
    <x v="150"/>
    <x v="1"/>
    <x v="6"/>
    <n v="20"/>
    <x v="1"/>
    <x v="1"/>
    <x v="15"/>
    <s v="시험료"/>
    <n v="5900"/>
    <n v="-5900"/>
    <x v="143"/>
    <s v="자격증비"/>
  </r>
  <r>
    <x v="399"/>
    <x v="150"/>
    <x v="1"/>
    <x v="6"/>
    <n v="20"/>
    <x v="1"/>
    <x v="2"/>
    <x v="2"/>
    <s v="용돈"/>
    <n v="-50000"/>
    <n v="50000"/>
    <x v="169"/>
    <m/>
  </r>
  <r>
    <x v="400"/>
    <x v="151"/>
    <x v="1"/>
    <x v="6"/>
    <n v="21"/>
    <x v="6"/>
    <x v="2"/>
    <x v="2"/>
    <s v="금융수입"/>
    <n v="-9427"/>
    <n v="9427"/>
    <x v="163"/>
    <m/>
  </r>
  <r>
    <x v="401"/>
    <x v="152"/>
    <x v="1"/>
    <x v="6"/>
    <n v="23"/>
    <x v="1"/>
    <x v="2"/>
    <x v="2"/>
    <s v="용돈"/>
    <n v="-21900"/>
    <n v="21900"/>
    <x v="170"/>
    <s v="설 포커"/>
  </r>
  <r>
    <x v="402"/>
    <x v="152"/>
    <x v="1"/>
    <x v="6"/>
    <n v="23"/>
    <x v="1"/>
    <x v="1"/>
    <x v="3"/>
    <s v="외식"/>
    <n v="39900"/>
    <n v="-39900"/>
    <x v="171"/>
    <s v="아이파크몰"/>
  </r>
  <r>
    <x v="403"/>
    <x v="152"/>
    <x v="1"/>
    <x v="6"/>
    <n v="23"/>
    <x v="1"/>
    <x v="2"/>
    <x v="2"/>
    <s v="용돈"/>
    <n v="-1700"/>
    <n v="1700"/>
    <x v="172"/>
    <m/>
  </r>
  <r>
    <x v="404"/>
    <x v="152"/>
    <x v="1"/>
    <x v="6"/>
    <n v="23"/>
    <x v="1"/>
    <x v="2"/>
    <x v="2"/>
    <s v="용돈"/>
    <n v="-100000"/>
    <n v="100000"/>
    <x v="173"/>
    <m/>
  </r>
  <r>
    <x v="405"/>
    <x v="152"/>
    <x v="1"/>
    <x v="6"/>
    <n v="23"/>
    <x v="1"/>
    <x v="1"/>
    <x v="5"/>
    <s v="커피_음료"/>
    <n v="2000"/>
    <n v="-2000"/>
    <x v="9"/>
    <s v="롯데시네마"/>
  </r>
  <r>
    <x v="406"/>
    <x v="153"/>
    <x v="1"/>
    <x v="6"/>
    <n v="24"/>
    <x v="1"/>
    <x v="1"/>
    <x v="5"/>
    <s v="커피_음료"/>
    <n v="6400"/>
    <n v="-6400"/>
    <x v="106"/>
    <m/>
  </r>
  <r>
    <x v="407"/>
    <x v="153"/>
    <x v="1"/>
    <x v="6"/>
    <n v="24"/>
    <x v="1"/>
    <x v="3"/>
    <x v="6"/>
    <s v="세탁"/>
    <n v="8100"/>
    <n v="-8100"/>
    <x v="174"/>
    <m/>
  </r>
  <r>
    <x v="408"/>
    <x v="154"/>
    <x v="1"/>
    <x v="6"/>
    <n v="25"/>
    <x v="1"/>
    <x v="1"/>
    <x v="7"/>
    <s v="시외버스"/>
    <n v="7800"/>
    <n v="-7800"/>
    <x v="150"/>
    <s v="일요일 김포공항"/>
  </r>
  <r>
    <x v="409"/>
    <x v="154"/>
    <x v="1"/>
    <x v="6"/>
    <n v="25"/>
    <x v="6"/>
    <x v="5"/>
    <x v="9"/>
    <s v="정기급여"/>
    <n v="-82780"/>
    <n v="82780"/>
    <x v="151"/>
    <m/>
  </r>
  <r>
    <x v="410"/>
    <x v="155"/>
    <x v="1"/>
    <x v="6"/>
    <n v="27"/>
    <x v="1"/>
    <x v="1"/>
    <x v="7"/>
    <s v="전동킥보드"/>
    <n v="1455"/>
    <n v="-1455"/>
    <x v="11"/>
    <m/>
  </r>
  <r>
    <x v="411"/>
    <x v="155"/>
    <x v="1"/>
    <x v="6"/>
    <n v="27"/>
    <x v="1"/>
    <x v="3"/>
    <x v="8"/>
    <s v="헤어샵"/>
    <n v="15000"/>
    <n v="-15000"/>
    <x v="95"/>
    <m/>
  </r>
  <r>
    <x v="412"/>
    <x v="155"/>
    <x v="1"/>
    <x v="6"/>
    <n v="27"/>
    <x v="3"/>
    <x v="5"/>
    <x v="9"/>
    <s v="정기급여"/>
    <n v="-104342"/>
    <n v="104342"/>
    <x v="151"/>
    <m/>
  </r>
  <r>
    <x v="413"/>
    <x v="156"/>
    <x v="1"/>
    <x v="6"/>
    <n v="31"/>
    <x v="1"/>
    <x v="1"/>
    <x v="16"/>
    <s v="기념품"/>
    <n v="16100"/>
    <n v="-16100"/>
    <x v="175"/>
    <s v="면세담배 차액 8,000차감"/>
  </r>
  <r>
    <x v="414"/>
    <x v="156"/>
    <x v="1"/>
    <x v="6"/>
    <n v="31"/>
    <x v="1"/>
    <x v="4"/>
    <x v="4"/>
    <s v="서비스구독"/>
    <n v="2638"/>
    <n v="-2638"/>
    <x v="84"/>
    <m/>
  </r>
  <r>
    <x v="415"/>
    <x v="157"/>
    <x v="1"/>
    <x v="7"/>
    <n v="1"/>
    <x v="1"/>
    <x v="1"/>
    <x v="12"/>
    <s v="게임"/>
    <n v="4400"/>
    <n v="-4400"/>
    <x v="42"/>
    <s v="클오클"/>
  </r>
  <r>
    <x v="416"/>
    <x v="158"/>
    <x v="1"/>
    <x v="7"/>
    <n v="3"/>
    <x v="1"/>
    <x v="0"/>
    <x v="0"/>
    <s v="내계좌이체"/>
    <n v="-100000"/>
    <n v="100000"/>
    <x v="137"/>
    <m/>
  </r>
  <r>
    <x v="417"/>
    <x v="158"/>
    <x v="1"/>
    <x v="7"/>
    <n v="3"/>
    <x v="6"/>
    <x v="0"/>
    <x v="0"/>
    <s v="내계좌이체"/>
    <n v="100000"/>
    <n v="-100000"/>
    <x v="78"/>
    <m/>
  </r>
  <r>
    <x v="418"/>
    <x v="158"/>
    <x v="1"/>
    <x v="7"/>
    <n v="3"/>
    <x v="1"/>
    <x v="1"/>
    <x v="7"/>
    <s v="대중교통"/>
    <n v="4120"/>
    <n v="-4120"/>
    <x v="33"/>
    <m/>
  </r>
  <r>
    <x v="419"/>
    <x v="159"/>
    <x v="1"/>
    <x v="7"/>
    <n v="4"/>
    <x v="1"/>
    <x v="1"/>
    <x v="12"/>
    <s v="게임"/>
    <n v="3000"/>
    <n v="-3000"/>
    <x v="176"/>
    <m/>
  </r>
  <r>
    <x v="420"/>
    <x v="159"/>
    <x v="1"/>
    <x v="7"/>
    <n v="4"/>
    <x v="1"/>
    <x v="1"/>
    <x v="1"/>
    <s v="주차"/>
    <n v="5150"/>
    <n v="-5150"/>
    <x v="177"/>
    <m/>
  </r>
  <r>
    <x v="421"/>
    <x v="159"/>
    <x v="1"/>
    <x v="7"/>
    <n v="4"/>
    <x v="1"/>
    <x v="1"/>
    <x v="5"/>
    <s v="베이커리"/>
    <n v="12700"/>
    <n v="-12700"/>
    <x v="116"/>
    <m/>
  </r>
  <r>
    <x v="422"/>
    <x v="159"/>
    <x v="1"/>
    <x v="7"/>
    <n v="4"/>
    <x v="1"/>
    <x v="1"/>
    <x v="3"/>
    <s v="외식"/>
    <n v="62000"/>
    <n v="-62000"/>
    <x v="178"/>
    <s v="면회 저녁"/>
  </r>
  <r>
    <x v="423"/>
    <x v="159"/>
    <x v="1"/>
    <x v="7"/>
    <n v="4"/>
    <x v="1"/>
    <x v="1"/>
    <x v="3"/>
    <s v="외식"/>
    <n v="39000"/>
    <n v="-39000"/>
    <x v="179"/>
    <s v="형준윤재것까지"/>
  </r>
  <r>
    <x v="424"/>
    <x v="160"/>
    <x v="1"/>
    <x v="7"/>
    <n v="7"/>
    <x v="1"/>
    <x v="1"/>
    <x v="12"/>
    <s v="게임"/>
    <n v="21000"/>
    <n v="-21000"/>
    <x v="102"/>
    <m/>
  </r>
  <r>
    <x v="425"/>
    <x v="160"/>
    <x v="1"/>
    <x v="7"/>
    <n v="7"/>
    <x v="1"/>
    <x v="1"/>
    <x v="10"/>
    <s v="선물"/>
    <n v="2500"/>
    <n v="-2500"/>
    <x v="42"/>
    <s v="이모티콘"/>
  </r>
  <r>
    <x v="426"/>
    <x v="160"/>
    <x v="1"/>
    <x v="7"/>
    <n v="7"/>
    <x v="1"/>
    <x v="1"/>
    <x v="12"/>
    <s v="취미"/>
    <n v="13700"/>
    <n v="-13700"/>
    <x v="122"/>
    <s v="박평진 이체(음료값 포함)"/>
  </r>
  <r>
    <x v="427"/>
    <x v="160"/>
    <x v="1"/>
    <x v="7"/>
    <n v="7"/>
    <x v="1"/>
    <x v="1"/>
    <x v="5"/>
    <s v="베이커리"/>
    <n v="5000"/>
    <n v="-5000"/>
    <x v="180"/>
    <m/>
  </r>
  <r>
    <x v="428"/>
    <x v="160"/>
    <x v="1"/>
    <x v="7"/>
    <n v="7"/>
    <x v="1"/>
    <x v="1"/>
    <x v="13"/>
    <s v="주점"/>
    <n v="101400"/>
    <n v="-101400"/>
    <x v="181"/>
    <s v="동근이것까지-경빈이 이체"/>
  </r>
  <r>
    <x v="429"/>
    <x v="160"/>
    <x v="1"/>
    <x v="7"/>
    <n v="7"/>
    <x v="1"/>
    <x v="1"/>
    <x v="3"/>
    <s v="외식"/>
    <n v="8900"/>
    <n v="-8900"/>
    <x v="3"/>
    <m/>
  </r>
  <r>
    <x v="430"/>
    <x v="161"/>
    <x v="1"/>
    <x v="7"/>
    <n v="9"/>
    <x v="1"/>
    <x v="0"/>
    <x v="0"/>
    <s v="내계좌이체"/>
    <n v="-500000"/>
    <n v="500000"/>
    <x v="137"/>
    <m/>
  </r>
  <r>
    <x v="431"/>
    <x v="161"/>
    <x v="1"/>
    <x v="7"/>
    <n v="9"/>
    <x v="6"/>
    <x v="0"/>
    <x v="0"/>
    <s v="내계좌이체"/>
    <n v="500000"/>
    <n v="-500000"/>
    <x v="78"/>
    <m/>
  </r>
  <r>
    <x v="432"/>
    <x v="162"/>
    <x v="1"/>
    <x v="7"/>
    <n v="11"/>
    <x v="1"/>
    <x v="2"/>
    <x v="2"/>
    <s v="금융수입"/>
    <n v="-1518"/>
    <n v="1518"/>
    <x v="36"/>
    <m/>
  </r>
  <r>
    <x v="433"/>
    <x v="163"/>
    <x v="1"/>
    <x v="7"/>
    <n v="12"/>
    <x v="1"/>
    <x v="1"/>
    <x v="12"/>
    <s v="게임"/>
    <n v="260000"/>
    <n v="-260000"/>
    <x v="182"/>
    <s v="닌텐도스위치 중고구매"/>
  </r>
  <r>
    <x v="434"/>
    <x v="164"/>
    <x v="1"/>
    <x v="7"/>
    <n v="13"/>
    <x v="1"/>
    <x v="1"/>
    <x v="12"/>
    <s v="게임"/>
    <n v="105836"/>
    <n v="-105836"/>
    <x v="183"/>
    <s v="티몬+쿠팡 결제-당근거래+e샵결제"/>
  </r>
  <r>
    <x v="435"/>
    <x v="165"/>
    <x v="1"/>
    <x v="7"/>
    <n v="14"/>
    <x v="1"/>
    <x v="2"/>
    <x v="2"/>
    <s v="금융수입"/>
    <n v="-2500"/>
    <n v="2500"/>
    <x v="85"/>
    <m/>
  </r>
  <r>
    <x v="436"/>
    <x v="166"/>
    <x v="1"/>
    <x v="7"/>
    <n v="16"/>
    <x v="1"/>
    <x v="1"/>
    <x v="4"/>
    <s v="앱스토어"/>
    <n v="3700"/>
    <n v="-3700"/>
    <x v="42"/>
    <s v="Wolframalpha pro"/>
  </r>
  <r>
    <x v="437"/>
    <x v="167"/>
    <x v="1"/>
    <x v="7"/>
    <n v="17"/>
    <x v="1"/>
    <x v="0"/>
    <x v="0"/>
    <s v="내계좌이체"/>
    <n v="-300000"/>
    <n v="300000"/>
    <x v="137"/>
    <m/>
  </r>
  <r>
    <x v="438"/>
    <x v="167"/>
    <x v="1"/>
    <x v="7"/>
    <n v="17"/>
    <x v="6"/>
    <x v="0"/>
    <x v="0"/>
    <s v="내계좌이체"/>
    <n v="300000"/>
    <n v="-300000"/>
    <x v="78"/>
    <m/>
  </r>
  <r>
    <x v="439"/>
    <x v="168"/>
    <x v="1"/>
    <x v="7"/>
    <n v="18"/>
    <x v="3"/>
    <x v="2"/>
    <x v="2"/>
    <s v="금융수입"/>
    <n v="-28"/>
    <n v="28"/>
    <x v="36"/>
    <m/>
  </r>
  <r>
    <x v="440"/>
    <x v="168"/>
    <x v="1"/>
    <x v="7"/>
    <n v="18"/>
    <x v="1"/>
    <x v="1"/>
    <x v="16"/>
    <s v="관광"/>
    <n v="62625"/>
    <n v="-62625"/>
    <x v="184"/>
    <s v="숙박+입장료+간식+점심-환급액2000"/>
  </r>
  <r>
    <x v="441"/>
    <x v="168"/>
    <x v="1"/>
    <x v="7"/>
    <n v="18"/>
    <x v="1"/>
    <x v="1"/>
    <x v="12"/>
    <s v="게임"/>
    <n v="5000"/>
    <n v="-5000"/>
    <x v="185"/>
    <m/>
  </r>
  <r>
    <x v="442"/>
    <x v="168"/>
    <x v="1"/>
    <x v="7"/>
    <n v="18"/>
    <x v="1"/>
    <x v="1"/>
    <x v="5"/>
    <s v="커피_음료"/>
    <n v="2000"/>
    <n v="-2000"/>
    <x v="9"/>
    <s v="롯데시네마 동해"/>
  </r>
  <r>
    <x v="443"/>
    <x v="168"/>
    <x v="1"/>
    <x v="7"/>
    <n v="18"/>
    <x v="1"/>
    <x v="1"/>
    <x v="1"/>
    <s v="주유"/>
    <n v="57000"/>
    <n v="-57000"/>
    <x v="186"/>
    <m/>
  </r>
  <r>
    <x v="444"/>
    <x v="169"/>
    <x v="1"/>
    <x v="7"/>
    <n v="20"/>
    <x v="1"/>
    <x v="1"/>
    <x v="5"/>
    <s v="커피_음료"/>
    <n v="4500"/>
    <n v="-4500"/>
    <x v="29"/>
    <s v="이효비 이체"/>
  </r>
  <r>
    <x v="445"/>
    <x v="169"/>
    <x v="1"/>
    <x v="7"/>
    <n v="20"/>
    <x v="1"/>
    <x v="1"/>
    <x v="3"/>
    <s v="외식"/>
    <n v="11900"/>
    <n v="-11900"/>
    <x v="3"/>
    <m/>
  </r>
  <r>
    <x v="446"/>
    <x v="170"/>
    <x v="1"/>
    <x v="7"/>
    <n v="21"/>
    <x v="1"/>
    <x v="1"/>
    <x v="6"/>
    <s v="마트"/>
    <n v="4000"/>
    <n v="-4000"/>
    <x v="98"/>
    <m/>
  </r>
  <r>
    <x v="447"/>
    <x v="170"/>
    <x v="1"/>
    <x v="7"/>
    <n v="21"/>
    <x v="1"/>
    <x v="3"/>
    <x v="8"/>
    <s v="헤어샵"/>
    <n v="15000"/>
    <n v="-15000"/>
    <x v="95"/>
    <m/>
  </r>
  <r>
    <x v="448"/>
    <x v="170"/>
    <x v="1"/>
    <x v="7"/>
    <n v="21"/>
    <x v="1"/>
    <x v="3"/>
    <x v="1"/>
    <s v="주차"/>
    <n v="90000"/>
    <n v="-90000"/>
    <x v="187"/>
    <s v="1학기 정기권"/>
  </r>
  <r>
    <x v="449"/>
    <x v="170"/>
    <x v="1"/>
    <x v="7"/>
    <n v="21"/>
    <x v="1"/>
    <x v="3"/>
    <x v="1"/>
    <s v="주차"/>
    <n v="3500"/>
    <n v="-3500"/>
    <x v="187"/>
    <m/>
  </r>
  <r>
    <x v="450"/>
    <x v="171"/>
    <x v="1"/>
    <x v="7"/>
    <n v="22"/>
    <x v="1"/>
    <x v="2"/>
    <x v="2"/>
    <s v="기타수입"/>
    <n v="-10000"/>
    <n v="10000"/>
    <x v="15"/>
    <m/>
  </r>
  <r>
    <x v="451"/>
    <x v="172"/>
    <x v="1"/>
    <x v="7"/>
    <n v="23"/>
    <x v="6"/>
    <x v="2"/>
    <x v="2"/>
    <s v="금융수입"/>
    <n v="-8671"/>
    <n v="8671"/>
    <x v="163"/>
    <m/>
  </r>
  <r>
    <x v="452"/>
    <x v="172"/>
    <x v="1"/>
    <x v="7"/>
    <n v="23"/>
    <x v="1"/>
    <x v="1"/>
    <x v="8"/>
    <s v="화장품"/>
    <n v="42500"/>
    <n v="-42500"/>
    <x v="188"/>
    <m/>
  </r>
  <r>
    <x v="453"/>
    <x v="173"/>
    <x v="1"/>
    <x v="7"/>
    <n v="24"/>
    <x v="1"/>
    <x v="1"/>
    <x v="10"/>
    <s v="선물"/>
    <n v="52560"/>
    <n v="-52650"/>
    <x v="189"/>
    <s v="엄마 영화, 환급비 차감"/>
  </r>
  <r>
    <x v="454"/>
    <x v="173"/>
    <x v="1"/>
    <x v="7"/>
    <n v="24"/>
    <x v="1"/>
    <x v="0"/>
    <x v="0"/>
    <s v="내계좌이체"/>
    <n v="-300000"/>
    <n v="300000"/>
    <x v="137"/>
    <m/>
  </r>
  <r>
    <x v="455"/>
    <x v="173"/>
    <x v="1"/>
    <x v="7"/>
    <n v="24"/>
    <x v="6"/>
    <x v="0"/>
    <x v="0"/>
    <s v="내계좌이체"/>
    <n v="300000"/>
    <n v="-300000"/>
    <x v="78"/>
    <m/>
  </r>
  <r>
    <x v="456"/>
    <x v="174"/>
    <x v="1"/>
    <x v="7"/>
    <n v="25"/>
    <x v="1"/>
    <x v="1"/>
    <x v="16"/>
    <s v="관광"/>
    <n v="90000"/>
    <n v="-90000"/>
    <x v="190"/>
    <s v="윤시호 이체"/>
  </r>
  <r>
    <x v="457"/>
    <x v="174"/>
    <x v="1"/>
    <x v="7"/>
    <n v="25"/>
    <x v="1"/>
    <x v="1"/>
    <x v="6"/>
    <s v="문구류"/>
    <n v="27900"/>
    <n v="-27900"/>
    <x v="191"/>
    <s v="델가드 샤프"/>
  </r>
  <r>
    <x v="458"/>
    <x v="174"/>
    <x v="1"/>
    <x v="7"/>
    <n v="25"/>
    <x v="1"/>
    <x v="1"/>
    <x v="13"/>
    <s v="담배"/>
    <n v="27400"/>
    <n v="-27400"/>
    <x v="166"/>
    <s v="쿠팡 8000원 포함"/>
  </r>
  <r>
    <x v="459"/>
    <x v="175"/>
    <x v="1"/>
    <x v="7"/>
    <n v="28"/>
    <x v="1"/>
    <x v="4"/>
    <x v="4"/>
    <s v="서비스구독"/>
    <n v="2672"/>
    <n v="-2672"/>
    <x v="84"/>
    <m/>
  </r>
  <r>
    <x v="460"/>
    <x v="176"/>
    <x v="1"/>
    <x v="8"/>
    <n v="1"/>
    <x v="1"/>
    <x v="1"/>
    <x v="6"/>
    <s v="문구류"/>
    <n v="9000"/>
    <n v="-9000"/>
    <x v="98"/>
    <s v="파일철, 필통"/>
  </r>
  <r>
    <x v="461"/>
    <x v="176"/>
    <x v="1"/>
    <x v="8"/>
    <n v="1"/>
    <x v="1"/>
    <x v="1"/>
    <x v="7"/>
    <s v="전동킥보드"/>
    <n v="1920"/>
    <n v="-1920"/>
    <x v="87"/>
    <m/>
  </r>
  <r>
    <x v="462"/>
    <x v="176"/>
    <x v="1"/>
    <x v="8"/>
    <n v="1"/>
    <x v="1"/>
    <x v="1"/>
    <x v="5"/>
    <s v="커피_음료"/>
    <n v="7000"/>
    <n v="-7000"/>
    <x v="192"/>
    <s v="호선쌤 커피"/>
  </r>
  <r>
    <x v="463"/>
    <x v="177"/>
    <x v="1"/>
    <x v="8"/>
    <n v="2"/>
    <x v="1"/>
    <x v="0"/>
    <x v="0"/>
    <s v="내계좌이체"/>
    <n v="-200000"/>
    <n v="200000"/>
    <x v="137"/>
    <m/>
  </r>
  <r>
    <x v="464"/>
    <x v="177"/>
    <x v="1"/>
    <x v="8"/>
    <n v="2"/>
    <x v="6"/>
    <x v="0"/>
    <x v="0"/>
    <s v="내계좌이체"/>
    <n v="200000"/>
    <n v="-200000"/>
    <x v="78"/>
    <m/>
  </r>
  <r>
    <x v="465"/>
    <x v="177"/>
    <x v="1"/>
    <x v="8"/>
    <n v="2"/>
    <x v="1"/>
    <x v="1"/>
    <x v="4"/>
    <s v="수수료"/>
    <n v="2300"/>
    <n v="-2300"/>
    <x v="187"/>
    <s v="학적부 사본"/>
  </r>
  <r>
    <x v="466"/>
    <x v="177"/>
    <x v="1"/>
    <x v="8"/>
    <n v="2"/>
    <x v="1"/>
    <x v="3"/>
    <x v="3"/>
    <s v="외식"/>
    <n v="5000"/>
    <n v="-5000"/>
    <x v="193"/>
    <s v="점심"/>
  </r>
  <r>
    <x v="467"/>
    <x v="177"/>
    <x v="1"/>
    <x v="8"/>
    <n v="2"/>
    <x v="1"/>
    <x v="3"/>
    <x v="1"/>
    <s v="주유"/>
    <n v="64000"/>
    <n v="-64000"/>
    <x v="186"/>
    <m/>
  </r>
  <r>
    <x v="468"/>
    <x v="178"/>
    <x v="1"/>
    <x v="8"/>
    <n v="3"/>
    <x v="1"/>
    <x v="2"/>
    <x v="2"/>
    <s v="기타수입"/>
    <n v="-4000"/>
    <n v="4000"/>
    <x v="86"/>
    <s v="컴사책"/>
  </r>
  <r>
    <x v="469"/>
    <x v="179"/>
    <x v="1"/>
    <x v="8"/>
    <n v="6"/>
    <x v="1"/>
    <x v="3"/>
    <x v="3"/>
    <s v="외식"/>
    <n v="4900"/>
    <n v="-4900"/>
    <x v="194"/>
    <s v="점심"/>
  </r>
  <r>
    <x v="470"/>
    <x v="179"/>
    <x v="1"/>
    <x v="8"/>
    <n v="6"/>
    <x v="1"/>
    <x v="2"/>
    <x v="2"/>
    <s v="기타수입"/>
    <n v="-15000"/>
    <n v="15000"/>
    <x v="86"/>
    <s v="이산수학책"/>
  </r>
  <r>
    <x v="471"/>
    <x v="179"/>
    <x v="1"/>
    <x v="8"/>
    <n v="6"/>
    <x v="1"/>
    <x v="2"/>
    <x v="2"/>
    <s v="기타수입"/>
    <n v="-10000"/>
    <n v="10000"/>
    <x v="86"/>
    <s v="컴활책"/>
  </r>
  <r>
    <x v="472"/>
    <x v="180"/>
    <x v="1"/>
    <x v="8"/>
    <n v="7"/>
    <x v="1"/>
    <x v="3"/>
    <x v="6"/>
    <s v="편의점"/>
    <n v="3600"/>
    <n v="-3600"/>
    <x v="193"/>
    <s v="점심"/>
  </r>
  <r>
    <x v="473"/>
    <x v="181"/>
    <x v="1"/>
    <x v="8"/>
    <n v="9"/>
    <x v="1"/>
    <x v="3"/>
    <x v="3"/>
    <s v="외식"/>
    <n v="6000"/>
    <n v="-6000"/>
    <x v="195"/>
    <s v="점심"/>
  </r>
  <r>
    <x v="474"/>
    <x v="182"/>
    <x v="1"/>
    <x v="8"/>
    <n v="10"/>
    <x v="1"/>
    <x v="2"/>
    <x v="2"/>
    <s v="용돈"/>
    <n v="-100000"/>
    <n v="100000"/>
    <x v="58"/>
    <m/>
  </r>
  <r>
    <x v="475"/>
    <x v="183"/>
    <x v="1"/>
    <x v="8"/>
    <n v="13"/>
    <x v="1"/>
    <x v="1"/>
    <x v="17"/>
    <s v="약국"/>
    <n v="3000"/>
    <n v="-3000"/>
    <x v="196"/>
    <m/>
  </r>
  <r>
    <x v="476"/>
    <x v="183"/>
    <x v="1"/>
    <x v="8"/>
    <n v="13"/>
    <x v="1"/>
    <x v="3"/>
    <x v="3"/>
    <s v="외식"/>
    <n v="5000"/>
    <n v="-5000"/>
    <x v="193"/>
    <m/>
  </r>
  <r>
    <x v="477"/>
    <x v="184"/>
    <x v="1"/>
    <x v="8"/>
    <n v="14"/>
    <x v="1"/>
    <x v="2"/>
    <x v="2"/>
    <s v="기타수입"/>
    <n v="-9478"/>
    <n v="9478"/>
    <x v="85"/>
    <s v="여기어때 환급, 보험료 차액 포함"/>
  </r>
  <r>
    <x v="478"/>
    <x v="184"/>
    <x v="1"/>
    <x v="8"/>
    <n v="14"/>
    <x v="1"/>
    <x v="3"/>
    <x v="3"/>
    <s v="외식"/>
    <n v="5000"/>
    <n v="-5000"/>
    <x v="193"/>
    <m/>
  </r>
  <r>
    <x v="479"/>
    <x v="184"/>
    <x v="1"/>
    <x v="8"/>
    <n v="14"/>
    <x v="1"/>
    <x v="1"/>
    <x v="5"/>
    <s v="커피_음료"/>
    <n v="3000"/>
    <n v="-3000"/>
    <x v="197"/>
    <s v="요거바라"/>
  </r>
  <r>
    <x v="480"/>
    <x v="185"/>
    <x v="1"/>
    <x v="8"/>
    <n v="16"/>
    <x v="1"/>
    <x v="3"/>
    <x v="3"/>
    <s v="외식"/>
    <n v="7200"/>
    <n v="-7200"/>
    <x v="198"/>
    <m/>
  </r>
  <r>
    <x v="481"/>
    <x v="186"/>
    <x v="1"/>
    <x v="8"/>
    <n v="17"/>
    <x v="1"/>
    <x v="3"/>
    <x v="6"/>
    <s v="편의점"/>
    <n v="4970"/>
    <n v="-4970"/>
    <x v="10"/>
    <s v="아침"/>
  </r>
  <r>
    <x v="482"/>
    <x v="186"/>
    <x v="1"/>
    <x v="8"/>
    <n v="17"/>
    <x v="1"/>
    <x v="1"/>
    <x v="6"/>
    <s v="편의점"/>
    <n v="9000"/>
    <n v="-9000"/>
    <x v="10"/>
    <m/>
  </r>
  <r>
    <x v="483"/>
    <x v="186"/>
    <x v="1"/>
    <x v="8"/>
    <n v="17"/>
    <x v="1"/>
    <x v="1"/>
    <x v="3"/>
    <s v="외식"/>
    <n v="29000"/>
    <n v="-29000"/>
    <x v="199"/>
    <m/>
  </r>
  <r>
    <x v="484"/>
    <x v="186"/>
    <x v="1"/>
    <x v="8"/>
    <n v="17"/>
    <x v="1"/>
    <x v="3"/>
    <x v="8"/>
    <s v="헤어샵"/>
    <n v="15000"/>
    <n v="-15000"/>
    <x v="95"/>
    <m/>
  </r>
  <r>
    <x v="485"/>
    <x v="186"/>
    <x v="1"/>
    <x v="8"/>
    <n v="17"/>
    <x v="1"/>
    <x v="1"/>
    <x v="12"/>
    <s v="게임"/>
    <n v="1000"/>
    <n v="-1000"/>
    <x v="200"/>
    <m/>
  </r>
  <r>
    <x v="486"/>
    <x v="186"/>
    <x v="1"/>
    <x v="8"/>
    <n v="17"/>
    <x v="1"/>
    <x v="3"/>
    <x v="3"/>
    <s v="외식"/>
    <n v="7000"/>
    <n v="-7000"/>
    <x v="201"/>
    <s v="이지민 이체"/>
  </r>
  <r>
    <x v="487"/>
    <x v="186"/>
    <x v="1"/>
    <x v="8"/>
    <n v="17"/>
    <x v="1"/>
    <x v="1"/>
    <x v="5"/>
    <s v="커피_음료"/>
    <n v="3200"/>
    <n v="-3200"/>
    <x v="202"/>
    <s v="이지민 이체"/>
  </r>
  <r>
    <x v="488"/>
    <x v="186"/>
    <x v="1"/>
    <x v="8"/>
    <n v="17"/>
    <x v="1"/>
    <x v="3"/>
    <x v="1"/>
    <s v="주유"/>
    <n v="66000"/>
    <n v="-66000"/>
    <x v="186"/>
    <m/>
  </r>
  <r>
    <x v="489"/>
    <x v="186"/>
    <x v="1"/>
    <x v="8"/>
    <n v="17"/>
    <x v="1"/>
    <x v="1"/>
    <x v="3"/>
    <s v="외식"/>
    <n v="21000"/>
    <n v="-21000"/>
    <x v="203"/>
    <m/>
  </r>
  <r>
    <x v="490"/>
    <x v="187"/>
    <x v="1"/>
    <x v="8"/>
    <n v="19"/>
    <x v="1"/>
    <x v="1"/>
    <x v="12"/>
    <s v="취미"/>
    <n v="20400"/>
    <n v="-20400"/>
    <x v="122"/>
    <s v="입장료+점심"/>
  </r>
  <r>
    <x v="491"/>
    <x v="187"/>
    <x v="1"/>
    <x v="8"/>
    <n v="19"/>
    <x v="1"/>
    <x v="1"/>
    <x v="3"/>
    <s v="외식"/>
    <n v="16357"/>
    <n v="-16357"/>
    <x v="204"/>
    <m/>
  </r>
  <r>
    <x v="492"/>
    <x v="188"/>
    <x v="1"/>
    <x v="8"/>
    <n v="20"/>
    <x v="6"/>
    <x v="0"/>
    <x v="0"/>
    <s v="내계좌이체"/>
    <n v="-104370"/>
    <n v="104370"/>
    <x v="137"/>
    <m/>
  </r>
  <r>
    <x v="493"/>
    <x v="188"/>
    <x v="1"/>
    <x v="8"/>
    <n v="20"/>
    <x v="3"/>
    <x v="0"/>
    <x v="0"/>
    <s v="내계좌이체"/>
    <n v="104370"/>
    <n v="-104370"/>
    <x v="78"/>
    <m/>
  </r>
  <r>
    <x v="494"/>
    <x v="188"/>
    <x v="1"/>
    <x v="8"/>
    <n v="20"/>
    <x v="1"/>
    <x v="1"/>
    <x v="7"/>
    <s v="대중교통"/>
    <n v="4040"/>
    <n v="-4040"/>
    <x v="33"/>
    <m/>
  </r>
  <r>
    <x v="495"/>
    <x v="188"/>
    <x v="1"/>
    <x v="8"/>
    <n v="20"/>
    <x v="1"/>
    <x v="1"/>
    <x v="15"/>
    <s v="책"/>
    <n v="7700"/>
    <n v="-7700"/>
    <x v="205"/>
    <s v="공학수학 분권"/>
  </r>
  <r>
    <x v="496"/>
    <x v="188"/>
    <x v="1"/>
    <x v="8"/>
    <n v="20"/>
    <x v="6"/>
    <x v="2"/>
    <x v="2"/>
    <s v="금융수입"/>
    <n v="-5640"/>
    <n v="5640"/>
    <x v="163"/>
    <m/>
  </r>
  <r>
    <x v="497"/>
    <x v="188"/>
    <x v="1"/>
    <x v="8"/>
    <n v="20"/>
    <x v="1"/>
    <x v="3"/>
    <x v="3"/>
    <s v="외식"/>
    <n v="4500"/>
    <n v="-4500"/>
    <x v="193"/>
    <s v="카카오페이 할인"/>
  </r>
  <r>
    <x v="498"/>
    <x v="188"/>
    <x v="1"/>
    <x v="8"/>
    <n v="20"/>
    <x v="1"/>
    <x v="1"/>
    <x v="6"/>
    <s v="편의점"/>
    <n v="2800"/>
    <n v="-2800"/>
    <x v="206"/>
    <m/>
  </r>
  <r>
    <x v="499"/>
    <x v="189"/>
    <x v="1"/>
    <x v="8"/>
    <n v="21"/>
    <x v="1"/>
    <x v="3"/>
    <x v="3"/>
    <s v="외식"/>
    <n v="7000"/>
    <n v="-7000"/>
    <x v="201"/>
    <s v="장진영 이체"/>
  </r>
  <r>
    <x v="500"/>
    <x v="190"/>
    <x v="1"/>
    <x v="8"/>
    <n v="22"/>
    <x v="1"/>
    <x v="3"/>
    <x v="3"/>
    <s v="외식"/>
    <n v="5000"/>
    <n v="-5000"/>
    <x v="193"/>
    <m/>
  </r>
  <r>
    <x v="501"/>
    <x v="190"/>
    <x v="1"/>
    <x v="8"/>
    <n v="22"/>
    <x v="1"/>
    <x v="3"/>
    <x v="3"/>
    <s v="외식"/>
    <n v="5000"/>
    <n v="-5000"/>
    <x v="193"/>
    <m/>
  </r>
  <r>
    <x v="502"/>
    <x v="191"/>
    <x v="1"/>
    <x v="8"/>
    <n v="23"/>
    <x v="1"/>
    <x v="3"/>
    <x v="3"/>
    <s v="외식"/>
    <n v="7500"/>
    <n v="-7500"/>
    <x v="207"/>
    <s v="점심"/>
  </r>
  <r>
    <x v="503"/>
    <x v="191"/>
    <x v="1"/>
    <x v="8"/>
    <n v="23"/>
    <x v="1"/>
    <x v="3"/>
    <x v="6"/>
    <s v="편의점"/>
    <n v="3200"/>
    <n v="-3200"/>
    <x v="206"/>
    <m/>
  </r>
  <r>
    <x v="504"/>
    <x v="192"/>
    <x v="1"/>
    <x v="8"/>
    <n v="24"/>
    <x v="1"/>
    <x v="1"/>
    <x v="12"/>
    <s v="게임"/>
    <n v="6900"/>
    <n v="-6900"/>
    <x v="208"/>
    <m/>
  </r>
  <r>
    <x v="505"/>
    <x v="192"/>
    <x v="1"/>
    <x v="8"/>
    <n v="24"/>
    <x v="1"/>
    <x v="3"/>
    <x v="3"/>
    <s v="외식"/>
    <n v="5000"/>
    <n v="-5000"/>
    <x v="193"/>
    <m/>
  </r>
  <r>
    <x v="506"/>
    <x v="193"/>
    <x v="1"/>
    <x v="8"/>
    <n v="25"/>
    <x v="1"/>
    <x v="1"/>
    <x v="1"/>
    <s v="주차"/>
    <n v="3000"/>
    <n v="-3000"/>
    <x v="209"/>
    <m/>
  </r>
  <r>
    <x v="507"/>
    <x v="193"/>
    <x v="1"/>
    <x v="8"/>
    <n v="25"/>
    <x v="1"/>
    <x v="1"/>
    <x v="3"/>
    <s v="외식"/>
    <n v="9800"/>
    <n v="-9800"/>
    <x v="210"/>
    <m/>
  </r>
  <r>
    <x v="508"/>
    <x v="193"/>
    <x v="1"/>
    <x v="8"/>
    <n v="25"/>
    <x v="1"/>
    <x v="1"/>
    <x v="5"/>
    <s v="커피_음료"/>
    <n v="2000"/>
    <n v="-2000"/>
    <x v="9"/>
    <s v="롯데시네마 부천"/>
  </r>
  <r>
    <x v="509"/>
    <x v="193"/>
    <x v="1"/>
    <x v="8"/>
    <n v="25"/>
    <x v="1"/>
    <x v="1"/>
    <x v="5"/>
    <s v="커피_음료"/>
    <n v="5499"/>
    <n v="-5499"/>
    <x v="211"/>
    <s v="기환이 정산 제외"/>
  </r>
  <r>
    <x v="510"/>
    <x v="194"/>
    <x v="1"/>
    <x v="8"/>
    <n v="27"/>
    <x v="1"/>
    <x v="3"/>
    <x v="3"/>
    <s v="외식"/>
    <n v="8000"/>
    <n v="-8000"/>
    <x v="212"/>
    <s v="이지민 이체"/>
  </r>
  <r>
    <x v="511"/>
    <x v="194"/>
    <x v="1"/>
    <x v="8"/>
    <n v="27"/>
    <x v="1"/>
    <x v="1"/>
    <x v="13"/>
    <s v="주점"/>
    <n v="30900"/>
    <n v="-30900"/>
    <x v="213"/>
    <s v="스톤504, 블루힐 이지민 이체"/>
  </r>
  <r>
    <x v="512"/>
    <x v="194"/>
    <x v="1"/>
    <x v="8"/>
    <n v="27"/>
    <x v="1"/>
    <x v="1"/>
    <x v="6"/>
    <s v="전자제품"/>
    <n v="27270"/>
    <n v="-27270"/>
    <x v="167"/>
    <s v="공학용 계산기"/>
  </r>
  <r>
    <x v="513"/>
    <x v="195"/>
    <x v="1"/>
    <x v="8"/>
    <n v="28"/>
    <x v="1"/>
    <x v="3"/>
    <x v="3"/>
    <s v="외식"/>
    <n v="8500"/>
    <n v="-8500"/>
    <x v="214"/>
    <m/>
  </r>
  <r>
    <x v="514"/>
    <x v="195"/>
    <x v="1"/>
    <x v="8"/>
    <n v="28"/>
    <x v="1"/>
    <x v="3"/>
    <x v="6"/>
    <s v="편의점"/>
    <n v="6900"/>
    <n v="-6900"/>
    <x v="206"/>
    <m/>
  </r>
  <r>
    <x v="515"/>
    <x v="196"/>
    <x v="1"/>
    <x v="8"/>
    <n v="29"/>
    <x v="1"/>
    <x v="3"/>
    <x v="3"/>
    <s v="외식"/>
    <n v="5000"/>
    <n v="-5000"/>
    <x v="193"/>
    <m/>
  </r>
  <r>
    <x v="516"/>
    <x v="197"/>
    <x v="1"/>
    <x v="8"/>
    <n v="30"/>
    <x v="1"/>
    <x v="3"/>
    <x v="3"/>
    <s v="외식"/>
    <n v="6700"/>
    <n v="-6700"/>
    <x v="215"/>
    <m/>
  </r>
  <r>
    <x v="517"/>
    <x v="197"/>
    <x v="1"/>
    <x v="8"/>
    <n v="30"/>
    <x v="1"/>
    <x v="4"/>
    <x v="4"/>
    <s v="서비스구독"/>
    <n v="2478"/>
    <n v="-2478"/>
    <x v="84"/>
    <m/>
  </r>
  <r>
    <x v="518"/>
    <x v="197"/>
    <x v="1"/>
    <x v="8"/>
    <n v="30"/>
    <x v="1"/>
    <x v="3"/>
    <x v="6"/>
    <s v="편의점"/>
    <n v="2500"/>
    <n v="-2500"/>
    <x v="206"/>
    <m/>
  </r>
  <r>
    <x v="519"/>
    <x v="198"/>
    <x v="1"/>
    <x v="8"/>
    <n v="31"/>
    <x v="1"/>
    <x v="0"/>
    <x v="0"/>
    <s v="내계좌이체"/>
    <n v="-400000"/>
    <n v="400000"/>
    <x v="137"/>
    <s v="4월생활비"/>
  </r>
  <r>
    <x v="520"/>
    <x v="198"/>
    <x v="1"/>
    <x v="8"/>
    <n v="31"/>
    <x v="6"/>
    <x v="0"/>
    <x v="0"/>
    <s v="내계좌이체"/>
    <n v="400000"/>
    <n v="-400000"/>
    <x v="78"/>
    <m/>
  </r>
  <r>
    <x v="521"/>
    <x v="198"/>
    <x v="1"/>
    <x v="8"/>
    <n v="31"/>
    <x v="1"/>
    <x v="1"/>
    <x v="6"/>
    <s v="편의점"/>
    <n v="2610"/>
    <n v="-2610"/>
    <x v="10"/>
    <s v="커피"/>
  </r>
  <r>
    <x v="522"/>
    <x v="198"/>
    <x v="1"/>
    <x v="8"/>
    <n v="31"/>
    <x v="1"/>
    <x v="3"/>
    <x v="3"/>
    <s v="외식"/>
    <n v="6000"/>
    <n v="-6000"/>
    <x v="216"/>
    <m/>
  </r>
  <r>
    <x v="523"/>
    <x v="198"/>
    <x v="1"/>
    <x v="8"/>
    <n v="31"/>
    <x v="1"/>
    <x v="3"/>
    <x v="1"/>
    <s v="주유"/>
    <n v="67000"/>
    <n v="-67000"/>
    <x v="186"/>
    <m/>
  </r>
  <r>
    <x v="524"/>
    <x v="199"/>
    <x v="1"/>
    <x v="9"/>
    <n v="1"/>
    <x v="1"/>
    <x v="1"/>
    <x v="5"/>
    <s v="커피_음료"/>
    <n v="2500"/>
    <n v="-2500"/>
    <x v="217"/>
    <m/>
  </r>
  <r>
    <x v="525"/>
    <x v="200"/>
    <x v="1"/>
    <x v="9"/>
    <n v="2"/>
    <x v="1"/>
    <x v="1"/>
    <x v="16"/>
    <s v="관광"/>
    <n v="20000"/>
    <n v="-20000"/>
    <x v="218"/>
    <m/>
  </r>
  <r>
    <x v="526"/>
    <x v="201"/>
    <x v="1"/>
    <x v="9"/>
    <n v="3"/>
    <x v="1"/>
    <x v="1"/>
    <x v="3"/>
    <s v="외식"/>
    <n v="10000"/>
    <n v="-10000"/>
    <x v="219"/>
    <m/>
  </r>
  <r>
    <x v="527"/>
    <x v="201"/>
    <x v="1"/>
    <x v="9"/>
    <n v="3"/>
    <x v="1"/>
    <x v="2"/>
    <x v="2"/>
    <s v="용돈"/>
    <n v="-56840"/>
    <n v="56840"/>
    <x v="58"/>
    <s v="정육점, 옷 차액제외"/>
  </r>
  <r>
    <x v="528"/>
    <x v="202"/>
    <x v="1"/>
    <x v="9"/>
    <n v="4"/>
    <x v="1"/>
    <x v="3"/>
    <x v="3"/>
    <s v="외식"/>
    <n v="5000"/>
    <n v="-5000"/>
    <x v="220"/>
    <s v="장진영 이체"/>
  </r>
  <r>
    <x v="529"/>
    <x v="202"/>
    <x v="1"/>
    <x v="9"/>
    <n v="4"/>
    <x v="1"/>
    <x v="1"/>
    <x v="6"/>
    <s v="편의점"/>
    <n v="1400"/>
    <n v="-1400"/>
    <x v="206"/>
    <m/>
  </r>
  <r>
    <x v="530"/>
    <x v="203"/>
    <x v="1"/>
    <x v="9"/>
    <n v="5"/>
    <x v="1"/>
    <x v="1"/>
    <x v="7"/>
    <s v="대중교통"/>
    <n v="5120"/>
    <n v="-5120"/>
    <x v="33"/>
    <m/>
  </r>
  <r>
    <x v="531"/>
    <x v="203"/>
    <x v="1"/>
    <x v="9"/>
    <n v="5"/>
    <x v="1"/>
    <x v="3"/>
    <x v="3"/>
    <s v="외식"/>
    <n v="11000"/>
    <n v="-11000"/>
    <x v="221"/>
    <m/>
  </r>
  <r>
    <x v="532"/>
    <x v="203"/>
    <x v="1"/>
    <x v="9"/>
    <n v="5"/>
    <x v="1"/>
    <x v="1"/>
    <x v="6"/>
    <s v="편의점"/>
    <n v="2000"/>
    <n v="-2000"/>
    <x v="222"/>
    <s v="우유"/>
  </r>
  <r>
    <x v="533"/>
    <x v="204"/>
    <x v="1"/>
    <x v="9"/>
    <n v="6"/>
    <x v="1"/>
    <x v="3"/>
    <x v="3"/>
    <s v="외식"/>
    <n v="5000"/>
    <n v="-5000"/>
    <x v="193"/>
    <m/>
  </r>
  <r>
    <x v="534"/>
    <x v="205"/>
    <x v="1"/>
    <x v="9"/>
    <n v="7"/>
    <x v="1"/>
    <x v="2"/>
    <x v="2"/>
    <s v="기타수입"/>
    <n v="-10000"/>
    <n v="10000"/>
    <x v="15"/>
    <m/>
  </r>
  <r>
    <x v="535"/>
    <x v="206"/>
    <x v="1"/>
    <x v="9"/>
    <n v="10"/>
    <x v="1"/>
    <x v="3"/>
    <x v="3"/>
    <s v="외식"/>
    <n v="5000"/>
    <n v="-5000"/>
    <x v="193"/>
    <m/>
  </r>
  <r>
    <x v="536"/>
    <x v="206"/>
    <x v="1"/>
    <x v="9"/>
    <n v="10"/>
    <x v="1"/>
    <x v="3"/>
    <x v="3"/>
    <s v="외식"/>
    <n v="6500"/>
    <n v="-6500"/>
    <x v="223"/>
    <s v="조선앵 이체"/>
  </r>
  <r>
    <x v="537"/>
    <x v="207"/>
    <x v="1"/>
    <x v="9"/>
    <n v="11"/>
    <x v="1"/>
    <x v="3"/>
    <x v="3"/>
    <s v="외식"/>
    <n v="5000"/>
    <n v="-5000"/>
    <x v="193"/>
    <m/>
  </r>
  <r>
    <x v="538"/>
    <x v="208"/>
    <x v="1"/>
    <x v="9"/>
    <n v="12"/>
    <x v="1"/>
    <x v="3"/>
    <x v="6"/>
    <s v="편의점"/>
    <n v="3600"/>
    <n v="-3600"/>
    <x v="206"/>
    <m/>
  </r>
  <r>
    <x v="539"/>
    <x v="209"/>
    <x v="1"/>
    <x v="9"/>
    <n v="13"/>
    <x v="1"/>
    <x v="2"/>
    <x v="2"/>
    <s v="기타수입"/>
    <n v="-2500"/>
    <n v="2500"/>
    <x v="85"/>
    <m/>
  </r>
  <r>
    <x v="540"/>
    <x v="209"/>
    <x v="1"/>
    <x v="9"/>
    <n v="13"/>
    <x v="1"/>
    <x v="3"/>
    <x v="3"/>
    <s v="외식"/>
    <n v="5000"/>
    <n v="-5000"/>
    <x v="220"/>
    <m/>
  </r>
  <r>
    <x v="541"/>
    <x v="209"/>
    <x v="1"/>
    <x v="9"/>
    <n v="13"/>
    <x v="1"/>
    <x v="3"/>
    <x v="3"/>
    <s v="외식"/>
    <n v="5500"/>
    <n v="-5500"/>
    <x v="220"/>
    <m/>
  </r>
  <r>
    <x v="542"/>
    <x v="209"/>
    <x v="1"/>
    <x v="9"/>
    <n v="13"/>
    <x v="1"/>
    <x v="3"/>
    <x v="3"/>
    <s v="외식"/>
    <n v="5000"/>
    <n v="-5000"/>
    <x v="193"/>
    <m/>
  </r>
  <r>
    <x v="543"/>
    <x v="209"/>
    <x v="1"/>
    <x v="9"/>
    <n v="13"/>
    <x v="1"/>
    <x v="1"/>
    <x v="6"/>
    <s v="편의점"/>
    <n v="1300"/>
    <n v="-1300"/>
    <x v="206"/>
    <m/>
  </r>
  <r>
    <x v="544"/>
    <x v="210"/>
    <x v="1"/>
    <x v="9"/>
    <n v="14"/>
    <x v="1"/>
    <x v="3"/>
    <x v="3"/>
    <s v="외식"/>
    <n v="7500"/>
    <n v="-7500"/>
    <x v="207"/>
    <m/>
  </r>
  <r>
    <x v="545"/>
    <x v="210"/>
    <x v="1"/>
    <x v="9"/>
    <n v="14"/>
    <x v="1"/>
    <x v="3"/>
    <x v="8"/>
    <s v="헤어샵"/>
    <n v="15000"/>
    <n v="-15000"/>
    <x v="95"/>
    <m/>
  </r>
  <r>
    <x v="546"/>
    <x v="211"/>
    <x v="1"/>
    <x v="9"/>
    <n v="17"/>
    <x v="1"/>
    <x v="3"/>
    <x v="3"/>
    <s v="외식"/>
    <n v="5000"/>
    <n v="-5000"/>
    <x v="193"/>
    <m/>
  </r>
  <r>
    <x v="547"/>
    <x v="211"/>
    <x v="1"/>
    <x v="9"/>
    <n v="17"/>
    <x v="1"/>
    <x v="3"/>
    <x v="3"/>
    <s v="외식"/>
    <n v="5000"/>
    <n v="-5000"/>
    <x v="193"/>
    <m/>
  </r>
  <r>
    <x v="548"/>
    <x v="211"/>
    <x v="1"/>
    <x v="9"/>
    <n v="17"/>
    <x v="1"/>
    <x v="1"/>
    <x v="11"/>
    <s v="보험"/>
    <n v="22"/>
    <n v="-22"/>
    <x v="72"/>
    <s v="보험료 차액"/>
  </r>
  <r>
    <x v="549"/>
    <x v="212"/>
    <x v="1"/>
    <x v="9"/>
    <n v="18"/>
    <x v="1"/>
    <x v="3"/>
    <x v="3"/>
    <s v="외식"/>
    <n v="7000"/>
    <n v="-7000"/>
    <x v="224"/>
    <s v="장진영 이체"/>
  </r>
  <r>
    <x v="550"/>
    <x v="213"/>
    <x v="1"/>
    <x v="9"/>
    <n v="19"/>
    <x v="1"/>
    <x v="1"/>
    <x v="7"/>
    <s v="대중교통"/>
    <n v="8400"/>
    <n v="-8400"/>
    <x v="33"/>
    <m/>
  </r>
  <r>
    <x v="551"/>
    <x v="214"/>
    <x v="1"/>
    <x v="9"/>
    <n v="20"/>
    <x v="1"/>
    <x v="3"/>
    <x v="3"/>
    <s v="외식"/>
    <n v="5000"/>
    <n v="-5000"/>
    <x v="193"/>
    <m/>
  </r>
  <r>
    <x v="552"/>
    <x v="214"/>
    <x v="1"/>
    <x v="9"/>
    <n v="20"/>
    <x v="1"/>
    <x v="3"/>
    <x v="6"/>
    <s v="편의점"/>
    <n v="3700"/>
    <n v="-3700"/>
    <x v="206"/>
    <m/>
  </r>
  <r>
    <x v="553"/>
    <x v="215"/>
    <x v="1"/>
    <x v="9"/>
    <n v="21"/>
    <x v="1"/>
    <x v="3"/>
    <x v="3"/>
    <s v="외식"/>
    <n v="9500"/>
    <n v="-9500"/>
    <x v="225"/>
    <s v="이지민 정산"/>
  </r>
  <r>
    <x v="554"/>
    <x v="215"/>
    <x v="1"/>
    <x v="9"/>
    <n v="21"/>
    <x v="1"/>
    <x v="3"/>
    <x v="3"/>
    <s v="외식"/>
    <n v="7000"/>
    <n v="-7000"/>
    <x v="223"/>
    <m/>
  </r>
  <r>
    <x v="555"/>
    <x v="216"/>
    <x v="1"/>
    <x v="9"/>
    <n v="24"/>
    <x v="1"/>
    <x v="3"/>
    <x v="3"/>
    <s v="외식"/>
    <n v="5000"/>
    <n v="-5000"/>
    <x v="193"/>
    <m/>
  </r>
  <r>
    <x v="556"/>
    <x v="216"/>
    <x v="1"/>
    <x v="9"/>
    <n v="24"/>
    <x v="1"/>
    <x v="1"/>
    <x v="10"/>
    <s v="선물"/>
    <n v="18542"/>
    <n v="-18542"/>
    <x v="17"/>
    <s v="정진 선물"/>
  </r>
  <r>
    <x v="557"/>
    <x v="216"/>
    <x v="1"/>
    <x v="9"/>
    <n v="24"/>
    <x v="1"/>
    <x v="1"/>
    <x v="17"/>
    <s v="약국"/>
    <n v="3000"/>
    <n v="-3000"/>
    <x v="226"/>
    <s v="인후통약"/>
  </r>
  <r>
    <x v="558"/>
    <x v="217"/>
    <x v="1"/>
    <x v="9"/>
    <n v="25"/>
    <x v="1"/>
    <x v="3"/>
    <x v="3"/>
    <s v="외식"/>
    <n v="10700"/>
    <n v="-10700"/>
    <x v="227"/>
    <s v="유동균 이체"/>
  </r>
  <r>
    <x v="559"/>
    <x v="217"/>
    <x v="1"/>
    <x v="9"/>
    <n v="25"/>
    <x v="1"/>
    <x v="3"/>
    <x v="3"/>
    <s v="외식"/>
    <n v="6000"/>
    <n v="-6000"/>
    <x v="193"/>
    <m/>
  </r>
  <r>
    <x v="560"/>
    <x v="217"/>
    <x v="1"/>
    <x v="9"/>
    <n v="25"/>
    <x v="1"/>
    <x v="3"/>
    <x v="3"/>
    <s v="외식"/>
    <n v="8000"/>
    <n v="-8000"/>
    <x v="228"/>
    <m/>
  </r>
  <r>
    <x v="561"/>
    <x v="218"/>
    <x v="1"/>
    <x v="9"/>
    <n v="27"/>
    <x v="1"/>
    <x v="3"/>
    <x v="3"/>
    <s v="외식"/>
    <n v="7000"/>
    <n v="-7000"/>
    <x v="229"/>
    <m/>
  </r>
  <r>
    <x v="562"/>
    <x v="218"/>
    <x v="1"/>
    <x v="9"/>
    <n v="27"/>
    <x v="1"/>
    <x v="0"/>
    <x v="0"/>
    <s v="내계좌이체"/>
    <n v="-1951"/>
    <n v="1951"/>
    <x v="101"/>
    <s v="잔액환급, 은행인증"/>
  </r>
  <r>
    <x v="563"/>
    <x v="219"/>
    <x v="1"/>
    <x v="9"/>
    <n v="28"/>
    <x v="1"/>
    <x v="1"/>
    <x v="6"/>
    <s v="편의점"/>
    <n v="1800"/>
    <n v="-1800"/>
    <x v="10"/>
    <m/>
  </r>
  <r>
    <x v="564"/>
    <x v="219"/>
    <x v="1"/>
    <x v="9"/>
    <n v="28"/>
    <x v="1"/>
    <x v="3"/>
    <x v="3"/>
    <s v="외식"/>
    <n v="8000"/>
    <n v="-8000"/>
    <x v="230"/>
    <m/>
  </r>
  <r>
    <x v="565"/>
    <x v="219"/>
    <x v="1"/>
    <x v="9"/>
    <n v="28"/>
    <x v="1"/>
    <x v="1"/>
    <x v="7"/>
    <s v="대중교통"/>
    <n v="10000"/>
    <n v="-10000"/>
    <x v="101"/>
    <s v="신규충전"/>
  </r>
  <r>
    <x v="566"/>
    <x v="220"/>
    <x v="1"/>
    <x v="9"/>
    <n v="29"/>
    <x v="1"/>
    <x v="3"/>
    <x v="3"/>
    <s v="외식"/>
    <n v="13000"/>
    <n v="-13000"/>
    <x v="221"/>
    <m/>
  </r>
  <r>
    <x v="567"/>
    <x v="220"/>
    <x v="1"/>
    <x v="9"/>
    <n v="29"/>
    <x v="1"/>
    <x v="1"/>
    <x v="12"/>
    <s v="영화"/>
    <n v="10000"/>
    <n v="-10000"/>
    <x v="231"/>
    <s v="송제윤 이체"/>
  </r>
  <r>
    <x v="568"/>
    <x v="220"/>
    <x v="1"/>
    <x v="9"/>
    <n v="29"/>
    <x v="1"/>
    <x v="1"/>
    <x v="4"/>
    <s v="인터넷쇼핑"/>
    <n v="5130"/>
    <n v="-5130"/>
    <x v="167"/>
    <s v="HDMI케이블"/>
  </r>
  <r>
    <x v="569"/>
    <x v="221"/>
    <x v="1"/>
    <x v="9"/>
    <n v="30"/>
    <x v="1"/>
    <x v="4"/>
    <x v="4"/>
    <s v="서비스구독"/>
    <n v="2405"/>
    <n v="-2405"/>
    <x v="84"/>
    <s v=" "/>
  </r>
  <r>
    <x v="570"/>
    <x v="222"/>
    <x v="1"/>
    <x v="10"/>
    <n v="1"/>
    <x v="1"/>
    <x v="3"/>
    <x v="3"/>
    <s v="외식"/>
    <n v="11000"/>
    <n v="-11000"/>
    <x v="232"/>
    <s v="이지민 이체"/>
  </r>
  <r>
    <x v="571"/>
    <x v="222"/>
    <x v="1"/>
    <x v="10"/>
    <n v="1"/>
    <x v="1"/>
    <x v="3"/>
    <x v="3"/>
    <s v="외식"/>
    <n v="9000"/>
    <n v="-9000"/>
    <x v="233"/>
    <m/>
  </r>
  <r>
    <x v="572"/>
    <x v="223"/>
    <x v="1"/>
    <x v="10"/>
    <n v="2"/>
    <x v="1"/>
    <x v="0"/>
    <x v="0"/>
    <s v="내계좌이체"/>
    <n v="-500000"/>
    <n v="500000"/>
    <x v="137"/>
    <m/>
  </r>
  <r>
    <x v="573"/>
    <x v="223"/>
    <x v="1"/>
    <x v="10"/>
    <n v="2"/>
    <x v="6"/>
    <x v="0"/>
    <x v="0"/>
    <s v="내계좌이체"/>
    <n v="500000"/>
    <n v="-500000"/>
    <x v="78"/>
    <m/>
  </r>
  <r>
    <x v="574"/>
    <x v="223"/>
    <x v="1"/>
    <x v="10"/>
    <n v="2"/>
    <x v="1"/>
    <x v="1"/>
    <x v="3"/>
    <s v="외식"/>
    <n v="21000"/>
    <n v="-21000"/>
    <x v="51"/>
    <s v="장진영 이체"/>
  </r>
  <r>
    <x v="575"/>
    <x v="223"/>
    <x v="1"/>
    <x v="10"/>
    <n v="2"/>
    <x v="1"/>
    <x v="1"/>
    <x v="12"/>
    <s v="취미"/>
    <n v="12000"/>
    <n v="-12000"/>
    <x v="234"/>
    <m/>
  </r>
  <r>
    <x v="576"/>
    <x v="223"/>
    <x v="1"/>
    <x v="10"/>
    <n v="2"/>
    <x v="1"/>
    <x v="1"/>
    <x v="7"/>
    <s v="택시"/>
    <n v="1550"/>
    <n v="-1550"/>
    <x v="68"/>
    <s v="예비군 이동"/>
  </r>
  <r>
    <x v="577"/>
    <x v="223"/>
    <x v="1"/>
    <x v="10"/>
    <n v="2"/>
    <x v="1"/>
    <x v="1"/>
    <x v="12"/>
    <s v="기타"/>
    <n v="2000"/>
    <n v="-2000"/>
    <x v="235"/>
    <s v="장진영 이체"/>
  </r>
  <r>
    <x v="578"/>
    <x v="224"/>
    <x v="1"/>
    <x v="10"/>
    <n v="3"/>
    <x v="1"/>
    <x v="2"/>
    <x v="2"/>
    <s v="용돈"/>
    <n v="-50"/>
    <n v="50"/>
    <x v="58"/>
    <s v="장례식 교통비 차액"/>
  </r>
  <r>
    <x v="579"/>
    <x v="224"/>
    <x v="1"/>
    <x v="10"/>
    <n v="3"/>
    <x v="1"/>
    <x v="3"/>
    <x v="3"/>
    <s v="외식"/>
    <n v="5000"/>
    <n v="-5000"/>
    <x v="193"/>
    <m/>
  </r>
  <r>
    <x v="580"/>
    <x v="224"/>
    <x v="1"/>
    <x v="10"/>
    <n v="3"/>
    <x v="1"/>
    <x v="3"/>
    <x v="3"/>
    <s v="외식"/>
    <n v="10500"/>
    <n v="-10500"/>
    <x v="236"/>
    <s v="이지민 이체"/>
  </r>
  <r>
    <x v="581"/>
    <x v="224"/>
    <x v="1"/>
    <x v="10"/>
    <n v="3"/>
    <x v="1"/>
    <x v="2"/>
    <x v="2"/>
    <s v="기타수입"/>
    <n v="-8000"/>
    <n v="8000"/>
    <x v="237"/>
    <m/>
  </r>
  <r>
    <x v="582"/>
    <x v="224"/>
    <x v="1"/>
    <x v="10"/>
    <n v="3"/>
    <x v="1"/>
    <x v="1"/>
    <x v="5"/>
    <s v="아이스크림_빙수"/>
    <n v="7000"/>
    <n v="-7000"/>
    <x v="197"/>
    <m/>
  </r>
  <r>
    <x v="583"/>
    <x v="225"/>
    <x v="1"/>
    <x v="10"/>
    <n v="4"/>
    <x v="1"/>
    <x v="1"/>
    <x v="7"/>
    <s v="대중교통"/>
    <n v="5600"/>
    <n v="-5600"/>
    <x v="33"/>
    <m/>
  </r>
  <r>
    <x v="584"/>
    <x v="225"/>
    <x v="1"/>
    <x v="10"/>
    <n v="4"/>
    <x v="1"/>
    <x v="1"/>
    <x v="1"/>
    <s v="주차"/>
    <n v="500"/>
    <n v="-500"/>
    <x v="238"/>
    <m/>
  </r>
  <r>
    <x v="585"/>
    <x v="225"/>
    <x v="1"/>
    <x v="10"/>
    <n v="4"/>
    <x v="1"/>
    <x v="3"/>
    <x v="3"/>
    <s v="외식"/>
    <n v="10200"/>
    <n v="-10200"/>
    <x v="239"/>
    <m/>
  </r>
  <r>
    <x v="586"/>
    <x v="226"/>
    <x v="1"/>
    <x v="10"/>
    <n v="5"/>
    <x v="1"/>
    <x v="3"/>
    <x v="3"/>
    <s v="외식"/>
    <n v="7500"/>
    <n v="-7500"/>
    <x v="207"/>
    <m/>
  </r>
  <r>
    <x v="587"/>
    <x v="226"/>
    <x v="1"/>
    <x v="10"/>
    <n v="5"/>
    <x v="1"/>
    <x v="1"/>
    <x v="5"/>
    <s v="커피_음료"/>
    <n v="2500"/>
    <n v="-2500"/>
    <x v="240"/>
    <m/>
  </r>
  <r>
    <x v="588"/>
    <x v="227"/>
    <x v="1"/>
    <x v="10"/>
    <n v="6"/>
    <x v="1"/>
    <x v="1"/>
    <x v="12"/>
    <s v="게임"/>
    <n v="45360"/>
    <n v="-45360"/>
    <x v="241"/>
    <s v="마리오카트"/>
  </r>
  <r>
    <x v="589"/>
    <x v="228"/>
    <x v="1"/>
    <x v="10"/>
    <n v="8"/>
    <x v="1"/>
    <x v="3"/>
    <x v="1"/>
    <s v="주유"/>
    <n v="50000"/>
    <n v="-50000"/>
    <x v="242"/>
    <m/>
  </r>
  <r>
    <x v="590"/>
    <x v="228"/>
    <x v="1"/>
    <x v="10"/>
    <n v="8"/>
    <x v="1"/>
    <x v="3"/>
    <x v="3"/>
    <s v="외식"/>
    <n v="5000"/>
    <n v="-5000"/>
    <x v="193"/>
    <m/>
  </r>
  <r>
    <x v="591"/>
    <x v="228"/>
    <x v="1"/>
    <x v="10"/>
    <n v="8"/>
    <x v="1"/>
    <x v="1"/>
    <x v="10"/>
    <s v="선물"/>
    <n v="100000"/>
    <n v="-100000"/>
    <x v="243"/>
    <m/>
  </r>
  <r>
    <x v="592"/>
    <x v="228"/>
    <x v="1"/>
    <x v="10"/>
    <n v="8"/>
    <x v="1"/>
    <x v="1"/>
    <x v="5"/>
    <s v="커피_음료"/>
    <n v="1000"/>
    <n v="-1000"/>
    <x v="211"/>
    <m/>
  </r>
  <r>
    <x v="593"/>
    <x v="228"/>
    <x v="1"/>
    <x v="10"/>
    <n v="8"/>
    <x v="1"/>
    <x v="3"/>
    <x v="3"/>
    <s v="외식"/>
    <n v="7000"/>
    <n v="-7000"/>
    <x v="223"/>
    <s v="장진영 이체"/>
  </r>
  <r>
    <x v="594"/>
    <x v="229"/>
    <x v="1"/>
    <x v="10"/>
    <n v="9"/>
    <x v="1"/>
    <x v="3"/>
    <x v="3"/>
    <s v="외식"/>
    <n v="7500"/>
    <n v="-7500"/>
    <x v="83"/>
    <m/>
  </r>
  <r>
    <x v="595"/>
    <x v="229"/>
    <x v="1"/>
    <x v="10"/>
    <n v="9"/>
    <x v="1"/>
    <x v="3"/>
    <x v="3"/>
    <s v="외식"/>
    <n v="9000"/>
    <n v="-9000"/>
    <x v="233"/>
    <m/>
  </r>
  <r>
    <x v="596"/>
    <x v="230"/>
    <x v="1"/>
    <x v="10"/>
    <n v="10"/>
    <x v="1"/>
    <x v="3"/>
    <x v="8"/>
    <s v="헤어샵"/>
    <n v="15000"/>
    <n v="-15000"/>
    <x v="95"/>
    <m/>
  </r>
  <r>
    <x v="597"/>
    <x v="230"/>
    <x v="1"/>
    <x v="10"/>
    <n v="10"/>
    <x v="1"/>
    <x v="1"/>
    <x v="7"/>
    <s v="전동킥보드"/>
    <n v="150"/>
    <n v="-150"/>
    <x v="244"/>
    <m/>
  </r>
  <r>
    <x v="598"/>
    <x v="230"/>
    <x v="1"/>
    <x v="10"/>
    <n v="10"/>
    <x v="1"/>
    <x v="3"/>
    <x v="3"/>
    <s v="외식"/>
    <n v="8000"/>
    <n v="-8000"/>
    <x v="245"/>
    <m/>
  </r>
  <r>
    <x v="599"/>
    <x v="230"/>
    <x v="1"/>
    <x v="10"/>
    <n v="10"/>
    <x v="1"/>
    <x v="1"/>
    <x v="5"/>
    <s v="커피_음료"/>
    <n v="5500"/>
    <n v="-5500"/>
    <x v="211"/>
    <m/>
  </r>
  <r>
    <x v="600"/>
    <x v="230"/>
    <x v="1"/>
    <x v="10"/>
    <n v="10"/>
    <x v="1"/>
    <x v="3"/>
    <x v="3"/>
    <s v="외식"/>
    <n v="7000"/>
    <n v="-7000"/>
    <x v="223"/>
    <m/>
  </r>
  <r>
    <x v="601"/>
    <x v="231"/>
    <x v="1"/>
    <x v="10"/>
    <n v="11"/>
    <x v="1"/>
    <x v="3"/>
    <x v="3"/>
    <s v="외식"/>
    <n v="9500"/>
    <n v="-9500"/>
    <x v="225"/>
    <m/>
  </r>
  <r>
    <x v="602"/>
    <x v="231"/>
    <x v="1"/>
    <x v="10"/>
    <n v="11"/>
    <x v="1"/>
    <x v="1"/>
    <x v="6"/>
    <s v="편의점"/>
    <n v="2200"/>
    <n v="-2200"/>
    <x v="206"/>
    <s v="아침"/>
  </r>
  <r>
    <x v="603"/>
    <x v="232"/>
    <x v="1"/>
    <x v="10"/>
    <n v="12"/>
    <x v="1"/>
    <x v="2"/>
    <x v="2"/>
    <s v="금융수입"/>
    <n v="-69"/>
    <n v="69"/>
    <x v="36"/>
    <m/>
  </r>
  <r>
    <x v="604"/>
    <x v="232"/>
    <x v="1"/>
    <x v="10"/>
    <n v="12"/>
    <x v="1"/>
    <x v="3"/>
    <x v="3"/>
    <s v="외식"/>
    <n v="4900"/>
    <n v="-4900"/>
    <x v="194"/>
    <m/>
  </r>
  <r>
    <x v="605"/>
    <x v="232"/>
    <x v="1"/>
    <x v="10"/>
    <n v="12"/>
    <x v="1"/>
    <x v="3"/>
    <x v="3"/>
    <s v="외식"/>
    <n v="10000"/>
    <n v="-10000"/>
    <x v="245"/>
    <s v="김예빈 이체"/>
  </r>
  <r>
    <x v="606"/>
    <x v="233"/>
    <x v="1"/>
    <x v="10"/>
    <n v="15"/>
    <x v="1"/>
    <x v="3"/>
    <x v="3"/>
    <s v="외식"/>
    <n v="5000"/>
    <n v="-5000"/>
    <x v="193"/>
    <m/>
  </r>
  <r>
    <x v="607"/>
    <x v="233"/>
    <x v="1"/>
    <x v="10"/>
    <n v="15"/>
    <x v="1"/>
    <x v="3"/>
    <x v="6"/>
    <s v="편의점"/>
    <n v="4500"/>
    <n v="-4500"/>
    <x v="206"/>
    <m/>
  </r>
  <r>
    <x v="608"/>
    <x v="234"/>
    <x v="1"/>
    <x v="10"/>
    <n v="16"/>
    <x v="1"/>
    <x v="3"/>
    <x v="3"/>
    <s v="외식"/>
    <n v="8000"/>
    <n v="-8000"/>
    <x v="236"/>
    <m/>
  </r>
  <r>
    <x v="609"/>
    <x v="234"/>
    <x v="1"/>
    <x v="10"/>
    <n v="16"/>
    <x v="1"/>
    <x v="3"/>
    <x v="3"/>
    <s v="외식"/>
    <n v="7500"/>
    <n v="-7500"/>
    <x v="225"/>
    <m/>
  </r>
  <r>
    <x v="610"/>
    <x v="234"/>
    <x v="1"/>
    <x v="10"/>
    <n v="16"/>
    <x v="1"/>
    <x v="1"/>
    <x v="10"/>
    <s v="선물"/>
    <n v="24000"/>
    <n v="-24000"/>
    <x v="17"/>
    <s v="장형준 선물"/>
  </r>
  <r>
    <x v="611"/>
    <x v="235"/>
    <x v="1"/>
    <x v="10"/>
    <n v="17"/>
    <x v="1"/>
    <x v="3"/>
    <x v="3"/>
    <s v="외식"/>
    <n v="7500"/>
    <n v="-7500"/>
    <x v="207"/>
    <m/>
  </r>
  <r>
    <x v="612"/>
    <x v="236"/>
    <x v="1"/>
    <x v="10"/>
    <n v="18"/>
    <x v="1"/>
    <x v="1"/>
    <x v="7"/>
    <s v="대중교통"/>
    <n v="6120"/>
    <n v="-6120"/>
    <x v="33"/>
    <m/>
  </r>
  <r>
    <x v="613"/>
    <x v="236"/>
    <x v="1"/>
    <x v="10"/>
    <n v="18"/>
    <x v="1"/>
    <x v="3"/>
    <x v="3"/>
    <s v="외식"/>
    <n v="7000"/>
    <n v="-7000"/>
    <x v="224"/>
    <m/>
  </r>
  <r>
    <x v="614"/>
    <x v="236"/>
    <x v="1"/>
    <x v="10"/>
    <n v="18"/>
    <x v="1"/>
    <x v="3"/>
    <x v="3"/>
    <s v="외식"/>
    <n v="7000"/>
    <n v="-7000"/>
    <x v="236"/>
    <m/>
  </r>
  <r>
    <x v="615"/>
    <x v="237"/>
    <x v="1"/>
    <x v="10"/>
    <n v="19"/>
    <x v="1"/>
    <x v="1"/>
    <x v="3"/>
    <s v="배달"/>
    <n v="17148"/>
    <n v="-17148"/>
    <x v="51"/>
    <s v="함종현 이체"/>
  </r>
  <r>
    <x v="616"/>
    <x v="237"/>
    <x v="1"/>
    <x v="10"/>
    <n v="19"/>
    <x v="1"/>
    <x v="3"/>
    <x v="3"/>
    <s v="외식"/>
    <n v="5800"/>
    <n v="-5800"/>
    <x v="83"/>
    <m/>
  </r>
  <r>
    <x v="617"/>
    <x v="237"/>
    <x v="1"/>
    <x v="10"/>
    <n v="19"/>
    <x v="1"/>
    <x v="1"/>
    <x v="1"/>
    <s v="주차"/>
    <n v="7700"/>
    <n v="-7700"/>
    <x v="109"/>
    <m/>
  </r>
  <r>
    <x v="618"/>
    <x v="237"/>
    <x v="1"/>
    <x v="10"/>
    <n v="19"/>
    <x v="1"/>
    <x v="2"/>
    <x v="2"/>
    <s v="용돈"/>
    <n v="-50000"/>
    <n v="50000"/>
    <x v="169"/>
    <s v="용돈입금"/>
  </r>
  <r>
    <x v="619"/>
    <x v="238"/>
    <x v="1"/>
    <x v="10"/>
    <n v="21"/>
    <x v="1"/>
    <x v="1"/>
    <x v="1"/>
    <s v="주유"/>
    <n v="40000"/>
    <n v="-40000"/>
    <x v="246"/>
    <m/>
  </r>
  <r>
    <x v="620"/>
    <x v="238"/>
    <x v="1"/>
    <x v="10"/>
    <n v="21"/>
    <x v="1"/>
    <x v="1"/>
    <x v="3"/>
    <s v="외식"/>
    <n v="51000"/>
    <n v="-51000"/>
    <x v="247"/>
    <s v="엄마생신"/>
  </r>
  <r>
    <x v="621"/>
    <x v="238"/>
    <x v="1"/>
    <x v="10"/>
    <n v="21"/>
    <x v="1"/>
    <x v="1"/>
    <x v="5"/>
    <s v="베이커리"/>
    <n v="19000"/>
    <n v="-19000"/>
    <x v="248"/>
    <m/>
  </r>
  <r>
    <x v="622"/>
    <x v="239"/>
    <x v="1"/>
    <x v="10"/>
    <n v="22"/>
    <x v="1"/>
    <x v="3"/>
    <x v="3"/>
    <s v="외식"/>
    <n v="13000"/>
    <n v="-13000"/>
    <x v="249"/>
    <m/>
  </r>
  <r>
    <x v="623"/>
    <x v="239"/>
    <x v="1"/>
    <x v="10"/>
    <n v="22"/>
    <x v="1"/>
    <x v="1"/>
    <x v="10"/>
    <s v="선물"/>
    <n v="13000"/>
    <n v="-13000"/>
    <x v="249"/>
    <s v="김예빈 생일"/>
  </r>
  <r>
    <x v="624"/>
    <x v="239"/>
    <x v="1"/>
    <x v="10"/>
    <n v="22"/>
    <x v="1"/>
    <x v="3"/>
    <x v="3"/>
    <s v="외식"/>
    <n v="5000"/>
    <n v="-5000"/>
    <x v="193"/>
    <m/>
  </r>
  <r>
    <x v="625"/>
    <x v="239"/>
    <x v="1"/>
    <x v="10"/>
    <n v="22"/>
    <x v="1"/>
    <x v="1"/>
    <x v="1"/>
    <s v="주차"/>
    <n v="1600"/>
    <n v="-1600"/>
    <x v="250"/>
    <m/>
  </r>
  <r>
    <x v="626"/>
    <x v="239"/>
    <x v="1"/>
    <x v="10"/>
    <n v="22"/>
    <x v="1"/>
    <x v="1"/>
    <x v="17"/>
    <s v="약국"/>
    <n v="4000"/>
    <n v="-4000"/>
    <x v="251"/>
    <s v="피부연고"/>
  </r>
  <r>
    <x v="627"/>
    <x v="240"/>
    <x v="1"/>
    <x v="10"/>
    <n v="23"/>
    <x v="1"/>
    <x v="3"/>
    <x v="3"/>
    <s v="외식"/>
    <n v="12000"/>
    <n v="-12000"/>
    <x v="252"/>
    <m/>
  </r>
  <r>
    <x v="628"/>
    <x v="240"/>
    <x v="1"/>
    <x v="10"/>
    <n v="23"/>
    <x v="1"/>
    <x v="3"/>
    <x v="3"/>
    <s v="외식"/>
    <n v="8500"/>
    <n v="-8500"/>
    <x v="214"/>
    <m/>
  </r>
  <r>
    <x v="629"/>
    <x v="241"/>
    <x v="1"/>
    <x v="10"/>
    <n v="24"/>
    <x v="1"/>
    <x v="3"/>
    <x v="3"/>
    <s v="외식"/>
    <n v="8000"/>
    <n v="-8000"/>
    <x v="233"/>
    <m/>
  </r>
  <r>
    <x v="630"/>
    <x v="241"/>
    <x v="1"/>
    <x v="10"/>
    <n v="24"/>
    <x v="1"/>
    <x v="3"/>
    <x v="3"/>
    <s v="외식"/>
    <n v="8000"/>
    <n v="-8000"/>
    <x v="253"/>
    <m/>
  </r>
  <r>
    <x v="631"/>
    <x v="242"/>
    <x v="1"/>
    <x v="10"/>
    <n v="25"/>
    <x v="1"/>
    <x v="3"/>
    <x v="3"/>
    <s v="외식"/>
    <n v="5500"/>
    <n v="-5500"/>
    <x v="220"/>
    <m/>
  </r>
  <r>
    <x v="632"/>
    <x v="242"/>
    <x v="1"/>
    <x v="10"/>
    <n v="25"/>
    <x v="6"/>
    <x v="2"/>
    <x v="2"/>
    <s v="금융수입"/>
    <n v="-11828"/>
    <n v="11828"/>
    <x v="163"/>
    <m/>
  </r>
  <r>
    <x v="633"/>
    <x v="242"/>
    <x v="1"/>
    <x v="10"/>
    <n v="25"/>
    <x v="1"/>
    <x v="3"/>
    <x v="3"/>
    <s v="외식"/>
    <n v="6000"/>
    <n v="-6000"/>
    <x v="193"/>
    <m/>
  </r>
  <r>
    <x v="634"/>
    <x v="242"/>
    <x v="1"/>
    <x v="10"/>
    <n v="25"/>
    <x v="1"/>
    <x v="1"/>
    <x v="5"/>
    <s v="커피_음료"/>
    <n v="1100"/>
    <n v="-1100"/>
    <x v="9"/>
    <m/>
  </r>
  <r>
    <x v="635"/>
    <x v="243"/>
    <x v="1"/>
    <x v="10"/>
    <n v="26"/>
    <x v="1"/>
    <x v="2"/>
    <x v="2"/>
    <s v="용돈"/>
    <n v="-50000"/>
    <n v="50000"/>
    <x v="58"/>
    <m/>
  </r>
  <r>
    <x v="636"/>
    <x v="243"/>
    <x v="1"/>
    <x v="10"/>
    <n v="26"/>
    <x v="1"/>
    <x v="3"/>
    <x v="3"/>
    <s v="외식"/>
    <n v="13250"/>
    <n v="-13250"/>
    <x v="131"/>
    <m/>
  </r>
  <r>
    <x v="637"/>
    <x v="243"/>
    <x v="1"/>
    <x v="10"/>
    <n v="26"/>
    <x v="1"/>
    <x v="3"/>
    <x v="3"/>
    <s v="외식"/>
    <n v="7900"/>
    <n v="-7900"/>
    <x v="254"/>
    <m/>
  </r>
  <r>
    <x v="638"/>
    <x v="244"/>
    <x v="1"/>
    <x v="10"/>
    <n v="27"/>
    <x v="1"/>
    <x v="1"/>
    <x v="6"/>
    <s v="편의점"/>
    <n v="1800"/>
    <n v="-1800"/>
    <x v="10"/>
    <m/>
  </r>
  <r>
    <x v="639"/>
    <x v="245"/>
    <x v="1"/>
    <x v="10"/>
    <n v="28"/>
    <x v="1"/>
    <x v="1"/>
    <x v="13"/>
    <s v="주점"/>
    <n v="38000"/>
    <n v="-38000"/>
    <x v="255"/>
    <m/>
  </r>
  <r>
    <x v="640"/>
    <x v="246"/>
    <x v="1"/>
    <x v="10"/>
    <n v="30"/>
    <x v="1"/>
    <x v="2"/>
    <x v="2"/>
    <s v="용돈"/>
    <n v="-50000"/>
    <n v="50000"/>
    <x v="256"/>
    <m/>
  </r>
  <r>
    <x v="641"/>
    <x v="246"/>
    <x v="1"/>
    <x v="10"/>
    <n v="30"/>
    <x v="1"/>
    <x v="3"/>
    <x v="3"/>
    <s v="외식"/>
    <n v="4500"/>
    <n v="-4500"/>
    <x v="257"/>
    <m/>
  </r>
  <r>
    <x v="642"/>
    <x v="246"/>
    <x v="1"/>
    <x v="10"/>
    <n v="30"/>
    <x v="1"/>
    <x v="4"/>
    <x v="4"/>
    <s v="서비스구독"/>
    <n v="2207"/>
    <n v="-2207"/>
    <x v="84"/>
    <m/>
  </r>
  <r>
    <x v="643"/>
    <x v="246"/>
    <x v="1"/>
    <x v="10"/>
    <n v="30"/>
    <x v="1"/>
    <x v="1"/>
    <x v="6"/>
    <s v="편의점"/>
    <n v="2600"/>
    <n v="-2600"/>
    <x v="206"/>
    <m/>
  </r>
  <r>
    <x v="644"/>
    <x v="246"/>
    <x v="1"/>
    <x v="10"/>
    <n v="30"/>
    <x v="1"/>
    <x v="3"/>
    <x v="3"/>
    <s v="외식"/>
    <n v="6500"/>
    <n v="-6500"/>
    <x v="223"/>
    <m/>
  </r>
  <r>
    <x v="645"/>
    <x v="247"/>
    <x v="1"/>
    <x v="10"/>
    <n v="31"/>
    <x v="1"/>
    <x v="3"/>
    <x v="3"/>
    <s v="외식"/>
    <n v="5000"/>
    <n v="-5000"/>
    <x v="83"/>
    <m/>
  </r>
  <r>
    <x v="646"/>
    <x v="247"/>
    <x v="1"/>
    <x v="10"/>
    <n v="31"/>
    <x v="1"/>
    <x v="3"/>
    <x v="3"/>
    <s v="외식"/>
    <n v="7500"/>
    <n v="-7500"/>
    <x v="223"/>
    <m/>
  </r>
  <r>
    <x v="647"/>
    <x v="248"/>
    <x v="1"/>
    <x v="11"/>
    <n v="1"/>
    <x v="1"/>
    <x v="0"/>
    <x v="0"/>
    <s v="내계좌이체"/>
    <n v="-700000"/>
    <n v="700000"/>
    <x v="137"/>
    <s v="6월생활비"/>
  </r>
  <r>
    <x v="648"/>
    <x v="248"/>
    <x v="1"/>
    <x v="11"/>
    <n v="1"/>
    <x v="6"/>
    <x v="0"/>
    <x v="0"/>
    <s v="내계좌이체"/>
    <n v="700000"/>
    <n v="-700000"/>
    <x v="78"/>
    <m/>
  </r>
  <r>
    <x v="649"/>
    <x v="248"/>
    <x v="1"/>
    <x v="11"/>
    <n v="1"/>
    <x v="1"/>
    <x v="3"/>
    <x v="3"/>
    <s v="외식"/>
    <n v="8500"/>
    <n v="-8500"/>
    <x v="228"/>
    <m/>
  </r>
  <r>
    <x v="650"/>
    <x v="249"/>
    <x v="1"/>
    <x v="11"/>
    <n v="2"/>
    <x v="1"/>
    <x v="3"/>
    <x v="1"/>
    <s v="주유"/>
    <n v="64000"/>
    <n v="-64000"/>
    <x v="258"/>
    <m/>
  </r>
  <r>
    <x v="651"/>
    <x v="249"/>
    <x v="1"/>
    <x v="11"/>
    <n v="2"/>
    <x v="1"/>
    <x v="3"/>
    <x v="3"/>
    <s v="외식"/>
    <n v="5900"/>
    <n v="-5900"/>
    <x v="194"/>
    <m/>
  </r>
  <r>
    <x v="652"/>
    <x v="249"/>
    <x v="1"/>
    <x v="11"/>
    <n v="2"/>
    <x v="1"/>
    <x v="3"/>
    <x v="3"/>
    <s v="외식"/>
    <n v="6500"/>
    <n v="-6500"/>
    <x v="224"/>
    <m/>
  </r>
  <r>
    <x v="653"/>
    <x v="249"/>
    <x v="1"/>
    <x v="11"/>
    <n v="2"/>
    <x v="1"/>
    <x v="1"/>
    <x v="6"/>
    <s v="편의점"/>
    <n v="4400"/>
    <n v="-4400"/>
    <x v="206"/>
    <m/>
  </r>
  <r>
    <x v="654"/>
    <x v="250"/>
    <x v="1"/>
    <x v="11"/>
    <n v="3"/>
    <x v="1"/>
    <x v="3"/>
    <x v="3"/>
    <s v="외식"/>
    <n v="7000"/>
    <n v="-7000"/>
    <x v="236"/>
    <m/>
  </r>
  <r>
    <x v="655"/>
    <x v="250"/>
    <x v="1"/>
    <x v="11"/>
    <n v="3"/>
    <x v="1"/>
    <x v="1"/>
    <x v="1"/>
    <s v="주차"/>
    <n v="150"/>
    <n v="-150"/>
    <x v="259"/>
    <m/>
  </r>
  <r>
    <x v="656"/>
    <x v="251"/>
    <x v="1"/>
    <x v="11"/>
    <n v="5"/>
    <x v="1"/>
    <x v="1"/>
    <x v="6"/>
    <s v="마트"/>
    <n v="4000"/>
    <n v="-4000"/>
    <x v="98"/>
    <m/>
  </r>
  <r>
    <x v="657"/>
    <x v="251"/>
    <x v="1"/>
    <x v="11"/>
    <n v="5"/>
    <x v="1"/>
    <x v="3"/>
    <x v="3"/>
    <s v="외식"/>
    <n v="7500"/>
    <n v="-7500"/>
    <x v="207"/>
    <m/>
  </r>
  <r>
    <x v="658"/>
    <x v="251"/>
    <x v="1"/>
    <x v="11"/>
    <n v="5"/>
    <x v="1"/>
    <x v="3"/>
    <x v="3"/>
    <s v="외식"/>
    <n v="7000"/>
    <n v="-7000"/>
    <x v="198"/>
    <m/>
  </r>
  <r>
    <x v="659"/>
    <x v="251"/>
    <x v="1"/>
    <x v="11"/>
    <n v="5"/>
    <x v="1"/>
    <x v="3"/>
    <x v="8"/>
    <s v="헤어샵"/>
    <n v="15000"/>
    <n v="-15000"/>
    <x v="95"/>
    <m/>
  </r>
  <r>
    <x v="660"/>
    <x v="251"/>
    <x v="1"/>
    <x v="11"/>
    <n v="5"/>
    <x v="1"/>
    <x v="1"/>
    <x v="5"/>
    <s v="커피_음료"/>
    <n v="5700"/>
    <n v="-5700"/>
    <x v="106"/>
    <m/>
  </r>
  <r>
    <x v="661"/>
    <x v="252"/>
    <x v="1"/>
    <x v="11"/>
    <n v="6"/>
    <x v="1"/>
    <x v="1"/>
    <x v="7"/>
    <s v="대중교통"/>
    <n v="2800"/>
    <n v="-2800"/>
    <x v="33"/>
    <m/>
  </r>
  <r>
    <x v="662"/>
    <x v="252"/>
    <x v="1"/>
    <x v="11"/>
    <n v="6"/>
    <x v="1"/>
    <x v="3"/>
    <x v="3"/>
    <s v="외식"/>
    <n v="9500"/>
    <n v="-9500"/>
    <x v="225"/>
    <m/>
  </r>
  <r>
    <x v="663"/>
    <x v="253"/>
    <x v="1"/>
    <x v="11"/>
    <n v="7"/>
    <x v="1"/>
    <x v="2"/>
    <x v="2"/>
    <s v="금융수입"/>
    <n v="-2280"/>
    <n v="2280"/>
    <x v="85"/>
    <m/>
  </r>
  <r>
    <x v="664"/>
    <x v="253"/>
    <x v="1"/>
    <x v="11"/>
    <n v="7"/>
    <x v="1"/>
    <x v="3"/>
    <x v="3"/>
    <s v="외식"/>
    <n v="8500"/>
    <n v="-8500"/>
    <x v="214"/>
    <m/>
  </r>
  <r>
    <x v="665"/>
    <x v="253"/>
    <x v="1"/>
    <x v="11"/>
    <n v="7"/>
    <x v="1"/>
    <x v="3"/>
    <x v="6"/>
    <s v="편의점"/>
    <n v="3200"/>
    <n v="-3200"/>
    <x v="206"/>
    <s v="저녁"/>
  </r>
  <r>
    <x v="666"/>
    <x v="253"/>
    <x v="1"/>
    <x v="11"/>
    <n v="7"/>
    <x v="6"/>
    <x v="1"/>
    <x v="12"/>
    <s v="공연"/>
    <n v="155800"/>
    <n v="-155800"/>
    <x v="260"/>
    <m/>
  </r>
  <r>
    <x v="667"/>
    <x v="254"/>
    <x v="1"/>
    <x v="11"/>
    <n v="8"/>
    <x v="1"/>
    <x v="3"/>
    <x v="3"/>
    <s v="외식"/>
    <n v="5600"/>
    <n v="-5600"/>
    <x v="257"/>
    <m/>
  </r>
  <r>
    <x v="668"/>
    <x v="254"/>
    <x v="1"/>
    <x v="11"/>
    <n v="8"/>
    <x v="1"/>
    <x v="3"/>
    <x v="3"/>
    <s v="외식"/>
    <n v="6000"/>
    <n v="-6000"/>
    <x v="193"/>
    <m/>
  </r>
  <r>
    <x v="669"/>
    <x v="254"/>
    <x v="1"/>
    <x v="11"/>
    <n v="8"/>
    <x v="1"/>
    <x v="2"/>
    <x v="2"/>
    <s v="기타수입"/>
    <n v="-10000"/>
    <n v="10000"/>
    <x v="15"/>
    <m/>
  </r>
  <r>
    <x v="670"/>
    <x v="255"/>
    <x v="1"/>
    <x v="11"/>
    <n v="9"/>
    <x v="1"/>
    <x v="3"/>
    <x v="3"/>
    <s v="외식"/>
    <n v="7500"/>
    <n v="-7500"/>
    <x v="223"/>
    <m/>
  </r>
  <r>
    <x v="671"/>
    <x v="256"/>
    <x v="1"/>
    <x v="11"/>
    <n v="12"/>
    <x v="1"/>
    <x v="3"/>
    <x v="3"/>
    <s v="외식"/>
    <n v="7000"/>
    <n v="-7000"/>
    <x v="224"/>
    <m/>
  </r>
  <r>
    <x v="672"/>
    <x v="256"/>
    <x v="1"/>
    <x v="11"/>
    <n v="12"/>
    <x v="1"/>
    <x v="1"/>
    <x v="5"/>
    <s v="커피_음료"/>
    <n v="2700"/>
    <n v="-2700"/>
    <x v="240"/>
    <m/>
  </r>
  <r>
    <x v="673"/>
    <x v="256"/>
    <x v="1"/>
    <x v="11"/>
    <n v="12"/>
    <x v="1"/>
    <x v="3"/>
    <x v="3"/>
    <s v="외식"/>
    <n v="8500"/>
    <n v="-8500"/>
    <x v="261"/>
    <m/>
  </r>
  <r>
    <x v="674"/>
    <x v="257"/>
    <x v="1"/>
    <x v="11"/>
    <n v="13"/>
    <x v="1"/>
    <x v="1"/>
    <x v="1"/>
    <s v="과태료"/>
    <n v="70000"/>
    <n v="-70000"/>
    <x v="262"/>
    <s v="신호위반 과태료"/>
  </r>
  <r>
    <x v="675"/>
    <x v="257"/>
    <x v="1"/>
    <x v="11"/>
    <n v="13"/>
    <x v="1"/>
    <x v="3"/>
    <x v="3"/>
    <s v="외식"/>
    <n v="11250"/>
    <n v="-11250"/>
    <x v="252"/>
    <m/>
  </r>
  <r>
    <x v="676"/>
    <x v="257"/>
    <x v="1"/>
    <x v="11"/>
    <n v="13"/>
    <x v="1"/>
    <x v="3"/>
    <x v="1"/>
    <s v="주유"/>
    <n v="54000"/>
    <n v="-54000"/>
    <x v="242"/>
    <m/>
  </r>
  <r>
    <x v="677"/>
    <x v="258"/>
    <x v="1"/>
    <x v="11"/>
    <n v="14"/>
    <x v="1"/>
    <x v="1"/>
    <x v="3"/>
    <s v="외식"/>
    <n v="10000"/>
    <n v="-10000"/>
    <x v="51"/>
    <m/>
  </r>
  <r>
    <x v="678"/>
    <x v="258"/>
    <x v="1"/>
    <x v="11"/>
    <n v="14"/>
    <x v="1"/>
    <x v="1"/>
    <x v="6"/>
    <s v="마트"/>
    <n v="26400"/>
    <n v="-26400"/>
    <x v="263"/>
    <m/>
  </r>
  <r>
    <x v="679"/>
    <x v="258"/>
    <x v="1"/>
    <x v="11"/>
    <n v="14"/>
    <x v="1"/>
    <x v="3"/>
    <x v="3"/>
    <s v="외식"/>
    <n v="7500"/>
    <n v="-7500"/>
    <x v="225"/>
    <m/>
  </r>
  <r>
    <x v="680"/>
    <x v="259"/>
    <x v="1"/>
    <x v="11"/>
    <n v="15"/>
    <x v="1"/>
    <x v="1"/>
    <x v="12"/>
    <s v="취미"/>
    <n v="9000"/>
    <n v="-9000"/>
    <x v="264"/>
    <m/>
  </r>
  <r>
    <x v="681"/>
    <x v="259"/>
    <x v="1"/>
    <x v="11"/>
    <n v="15"/>
    <x v="1"/>
    <x v="1"/>
    <x v="16"/>
    <s v="숙박비"/>
    <n v="26000"/>
    <n v="-26000"/>
    <x v="265"/>
    <m/>
  </r>
  <r>
    <x v="682"/>
    <x v="259"/>
    <x v="1"/>
    <x v="11"/>
    <n v="15"/>
    <x v="1"/>
    <x v="1"/>
    <x v="3"/>
    <s v="외식"/>
    <n v="9000"/>
    <n v="-9000"/>
    <x v="266"/>
    <m/>
  </r>
  <r>
    <x v="683"/>
    <x v="260"/>
    <x v="1"/>
    <x v="11"/>
    <n v="16"/>
    <x v="1"/>
    <x v="1"/>
    <x v="1"/>
    <s v="주차"/>
    <n v="2650"/>
    <n v="-2650"/>
    <x v="259"/>
    <m/>
  </r>
  <r>
    <x v="684"/>
    <x v="261"/>
    <x v="1"/>
    <x v="11"/>
    <n v="17"/>
    <x v="1"/>
    <x v="1"/>
    <x v="12"/>
    <s v="영화"/>
    <n v="30000"/>
    <n v="-30000"/>
    <x v="231"/>
    <m/>
  </r>
  <r>
    <x v="685"/>
    <x v="261"/>
    <x v="1"/>
    <x v="11"/>
    <n v="17"/>
    <x v="1"/>
    <x v="3"/>
    <x v="3"/>
    <s v="외식"/>
    <n v="4800"/>
    <n v="-4800"/>
    <x v="83"/>
    <m/>
  </r>
  <r>
    <x v="686"/>
    <x v="261"/>
    <x v="1"/>
    <x v="11"/>
    <n v="17"/>
    <x v="1"/>
    <x v="1"/>
    <x v="1"/>
    <s v="주차"/>
    <n v="1000"/>
    <n v="-1000"/>
    <x v="267"/>
    <m/>
  </r>
  <r>
    <x v="687"/>
    <x v="261"/>
    <x v="1"/>
    <x v="11"/>
    <n v="17"/>
    <x v="1"/>
    <x v="1"/>
    <x v="5"/>
    <s v="커피_음료"/>
    <n v="3200"/>
    <n v="-3200"/>
    <x v="106"/>
    <m/>
  </r>
  <r>
    <x v="688"/>
    <x v="262"/>
    <x v="1"/>
    <x v="11"/>
    <n v="20"/>
    <x v="1"/>
    <x v="1"/>
    <x v="16"/>
    <s v="관광"/>
    <n v="104000"/>
    <n v="-104000"/>
    <x v="268"/>
    <s v="숙박 37000, 저녁 11000, 뮤지엄산 38000 등"/>
  </r>
  <r>
    <x v="689"/>
    <x v="262"/>
    <x v="1"/>
    <x v="11"/>
    <n v="20"/>
    <x v="1"/>
    <x v="1"/>
    <x v="1"/>
    <s v="주유"/>
    <n v="50000"/>
    <n v="-50000"/>
    <x v="186"/>
    <m/>
  </r>
  <r>
    <x v="690"/>
    <x v="263"/>
    <x v="1"/>
    <x v="11"/>
    <n v="22"/>
    <x v="1"/>
    <x v="1"/>
    <x v="7"/>
    <s v="전동킥보드"/>
    <n v="1080"/>
    <n v="-1080"/>
    <x v="244"/>
    <m/>
  </r>
  <r>
    <x v="691"/>
    <x v="264"/>
    <x v="1"/>
    <x v="11"/>
    <n v="24"/>
    <x v="1"/>
    <x v="1"/>
    <x v="12"/>
    <s v="취미"/>
    <n v="10400"/>
    <n v="-10400"/>
    <x v="269"/>
    <m/>
  </r>
  <r>
    <x v="692"/>
    <x v="264"/>
    <x v="1"/>
    <x v="11"/>
    <n v="24"/>
    <x v="1"/>
    <x v="1"/>
    <x v="1"/>
    <s v="주차"/>
    <n v="300"/>
    <n v="-300"/>
    <x v="270"/>
    <m/>
  </r>
  <r>
    <x v="693"/>
    <x v="265"/>
    <x v="1"/>
    <x v="11"/>
    <n v="28"/>
    <x v="1"/>
    <x v="1"/>
    <x v="5"/>
    <s v="커피_음료"/>
    <n v="1400"/>
    <n v="-1400"/>
    <x v="106"/>
    <m/>
  </r>
  <r>
    <x v="694"/>
    <x v="265"/>
    <x v="1"/>
    <x v="11"/>
    <n v="28"/>
    <x v="1"/>
    <x v="3"/>
    <x v="3"/>
    <s v="외식"/>
    <n v="7500"/>
    <n v="-7500"/>
    <x v="223"/>
    <m/>
  </r>
  <r>
    <x v="695"/>
    <x v="266"/>
    <x v="1"/>
    <x v="11"/>
    <n v="29"/>
    <x v="1"/>
    <x v="3"/>
    <x v="8"/>
    <s v="헤어샵"/>
    <n v="15000"/>
    <n v="-15000"/>
    <x v="95"/>
    <m/>
  </r>
  <r>
    <x v="696"/>
    <x v="267"/>
    <x v="1"/>
    <x v="11"/>
    <n v="30"/>
    <x v="1"/>
    <x v="3"/>
    <x v="1"/>
    <s v="주유"/>
    <n v="20000"/>
    <n v="-20000"/>
    <x v="242"/>
    <m/>
  </r>
  <r>
    <x v="697"/>
    <x v="267"/>
    <x v="1"/>
    <x v="11"/>
    <n v="30"/>
    <x v="1"/>
    <x v="3"/>
    <x v="3"/>
    <s v="외식"/>
    <n v="7000"/>
    <n v="-7000"/>
    <x v="224"/>
    <m/>
  </r>
  <r>
    <x v="698"/>
    <x v="267"/>
    <x v="1"/>
    <x v="11"/>
    <n v="30"/>
    <x v="1"/>
    <x v="4"/>
    <x v="4"/>
    <s v="서비스구독"/>
    <n v="2049"/>
    <n v="-2049"/>
    <x v="84"/>
    <m/>
  </r>
  <r>
    <x v="699"/>
    <x v="268"/>
    <x v="1"/>
    <x v="0"/>
    <n v="2"/>
    <x v="1"/>
    <x v="0"/>
    <x v="0"/>
    <s v="내계좌이체"/>
    <n v="-400000"/>
    <n v="400000"/>
    <x v="137"/>
    <s v="7월생활비"/>
  </r>
  <r>
    <x v="700"/>
    <x v="268"/>
    <x v="1"/>
    <x v="0"/>
    <n v="2"/>
    <x v="6"/>
    <x v="0"/>
    <x v="0"/>
    <s v="내계좌이체"/>
    <n v="400000"/>
    <n v="-400000"/>
    <x v="78"/>
    <m/>
  </r>
  <r>
    <x v="701"/>
    <x v="268"/>
    <x v="1"/>
    <x v="0"/>
    <n v="2"/>
    <x v="6"/>
    <x v="2"/>
    <x v="2"/>
    <s v="금융수입"/>
    <n v="-3503"/>
    <n v="3503"/>
    <x v="163"/>
    <m/>
  </r>
  <r>
    <x v="702"/>
    <x v="269"/>
    <x v="1"/>
    <x v="0"/>
    <n v="3"/>
    <x v="1"/>
    <x v="1"/>
    <x v="6"/>
    <s v="편의점"/>
    <n v="1100"/>
    <n v="-1100"/>
    <x v="10"/>
    <s v="물"/>
  </r>
  <r>
    <x v="703"/>
    <x v="269"/>
    <x v="1"/>
    <x v="0"/>
    <n v="3"/>
    <x v="1"/>
    <x v="1"/>
    <x v="6"/>
    <s v="마트"/>
    <n v="13000"/>
    <n v="-13000"/>
    <x v="271"/>
    <s v="음료"/>
  </r>
  <r>
    <x v="704"/>
    <x v="269"/>
    <x v="1"/>
    <x v="0"/>
    <n v="3"/>
    <x v="1"/>
    <x v="1"/>
    <x v="3"/>
    <s v="외식"/>
    <n v="16000"/>
    <n v="-16000"/>
    <x v="272"/>
    <m/>
  </r>
  <r>
    <x v="705"/>
    <x v="270"/>
    <x v="1"/>
    <x v="0"/>
    <n v="4"/>
    <x v="1"/>
    <x v="3"/>
    <x v="3"/>
    <s v="외식"/>
    <n v="4500"/>
    <n v="-4500"/>
    <x v="257"/>
    <m/>
  </r>
  <r>
    <x v="706"/>
    <x v="271"/>
    <x v="1"/>
    <x v="0"/>
    <n v="5"/>
    <x v="1"/>
    <x v="2"/>
    <x v="2"/>
    <s v="용돈"/>
    <n v="-100000"/>
    <n v="100000"/>
    <x v="58"/>
    <m/>
  </r>
  <r>
    <x v="707"/>
    <x v="271"/>
    <x v="1"/>
    <x v="0"/>
    <n v="5"/>
    <x v="1"/>
    <x v="3"/>
    <x v="3"/>
    <s v="외식"/>
    <n v="6500"/>
    <n v="-6500"/>
    <x v="223"/>
    <m/>
  </r>
  <r>
    <x v="708"/>
    <x v="272"/>
    <x v="1"/>
    <x v="0"/>
    <n v="6"/>
    <x v="1"/>
    <x v="3"/>
    <x v="3"/>
    <s v="외식"/>
    <n v="7500"/>
    <n v="-7500"/>
    <x v="207"/>
    <m/>
  </r>
  <r>
    <x v="709"/>
    <x v="272"/>
    <x v="1"/>
    <x v="0"/>
    <n v="6"/>
    <x v="1"/>
    <x v="3"/>
    <x v="3"/>
    <s v="외식"/>
    <n v="4900"/>
    <n v="-4900"/>
    <x v="257"/>
    <m/>
  </r>
  <r>
    <x v="710"/>
    <x v="273"/>
    <x v="1"/>
    <x v="0"/>
    <n v="7"/>
    <x v="1"/>
    <x v="3"/>
    <x v="1"/>
    <s v="주유"/>
    <n v="58000"/>
    <n v="-58000"/>
    <x v="242"/>
    <m/>
  </r>
  <r>
    <x v="711"/>
    <x v="273"/>
    <x v="1"/>
    <x v="0"/>
    <n v="7"/>
    <x v="1"/>
    <x v="3"/>
    <x v="3"/>
    <s v="외식"/>
    <n v="5900"/>
    <n v="-5900"/>
    <x v="194"/>
    <m/>
  </r>
  <r>
    <x v="712"/>
    <x v="273"/>
    <x v="1"/>
    <x v="0"/>
    <n v="7"/>
    <x v="1"/>
    <x v="1"/>
    <x v="5"/>
    <s v="커피_음료"/>
    <n v="1600"/>
    <n v="-1600"/>
    <x v="106"/>
    <m/>
  </r>
  <r>
    <x v="713"/>
    <x v="273"/>
    <x v="1"/>
    <x v="0"/>
    <n v="7"/>
    <x v="1"/>
    <x v="3"/>
    <x v="3"/>
    <s v="외식"/>
    <n v="7500"/>
    <n v="-7500"/>
    <x v="223"/>
    <m/>
  </r>
  <r>
    <x v="714"/>
    <x v="274"/>
    <x v="1"/>
    <x v="0"/>
    <n v="8"/>
    <x v="1"/>
    <x v="1"/>
    <x v="5"/>
    <s v="아이스크림_빙수"/>
    <n v="7000"/>
    <n v="-7000"/>
    <x v="273"/>
    <s v="김예빈 이체"/>
  </r>
  <r>
    <x v="715"/>
    <x v="274"/>
    <x v="1"/>
    <x v="0"/>
    <n v="8"/>
    <x v="1"/>
    <x v="1"/>
    <x v="5"/>
    <s v="커피_음료"/>
    <n v="5400"/>
    <n v="-5400"/>
    <x v="274"/>
    <m/>
  </r>
  <r>
    <x v="716"/>
    <x v="274"/>
    <x v="1"/>
    <x v="0"/>
    <n v="8"/>
    <x v="1"/>
    <x v="1"/>
    <x v="1"/>
    <s v="주차"/>
    <n v="8000"/>
    <n v="-8000"/>
    <x v="275"/>
    <m/>
  </r>
  <r>
    <x v="717"/>
    <x v="274"/>
    <x v="1"/>
    <x v="0"/>
    <n v="8"/>
    <x v="1"/>
    <x v="1"/>
    <x v="3"/>
    <s v="외식"/>
    <n v="9000"/>
    <n v="-9000"/>
    <x v="276"/>
    <s v="김예빈 이체"/>
  </r>
  <r>
    <x v="718"/>
    <x v="275"/>
    <x v="1"/>
    <x v="0"/>
    <n v="12"/>
    <x v="1"/>
    <x v="3"/>
    <x v="3"/>
    <s v="외식"/>
    <n v="5300"/>
    <n v="-5300"/>
    <x v="83"/>
    <m/>
  </r>
  <r>
    <x v="719"/>
    <x v="275"/>
    <x v="1"/>
    <x v="0"/>
    <n v="12"/>
    <x v="1"/>
    <x v="3"/>
    <x v="3"/>
    <s v="외식"/>
    <n v="8000"/>
    <n v="-8000"/>
    <x v="236"/>
    <m/>
  </r>
  <r>
    <x v="720"/>
    <x v="276"/>
    <x v="1"/>
    <x v="0"/>
    <n v="13"/>
    <x v="1"/>
    <x v="1"/>
    <x v="12"/>
    <s v="게임"/>
    <n v="7700"/>
    <n v="-7700"/>
    <x v="102"/>
    <s v="쉘쇽라이브"/>
  </r>
  <r>
    <x v="721"/>
    <x v="277"/>
    <x v="1"/>
    <x v="0"/>
    <n v="14"/>
    <x v="1"/>
    <x v="3"/>
    <x v="3"/>
    <s v="외식"/>
    <n v="7500"/>
    <n v="-7500"/>
    <x v="223"/>
    <m/>
  </r>
  <r>
    <x v="722"/>
    <x v="278"/>
    <x v="1"/>
    <x v="0"/>
    <n v="15"/>
    <x v="1"/>
    <x v="1"/>
    <x v="3"/>
    <s v="외식"/>
    <n v="29400"/>
    <n v="-29400"/>
    <x v="277"/>
    <m/>
  </r>
  <r>
    <x v="723"/>
    <x v="278"/>
    <x v="1"/>
    <x v="0"/>
    <n v="15"/>
    <x v="1"/>
    <x v="1"/>
    <x v="5"/>
    <s v="아이스크림_빙수"/>
    <n v="4100"/>
    <n v="-4100"/>
    <x v="278"/>
    <m/>
  </r>
  <r>
    <x v="724"/>
    <x v="278"/>
    <x v="1"/>
    <x v="0"/>
    <n v="15"/>
    <x v="1"/>
    <x v="2"/>
    <x v="2"/>
    <s v="용돈"/>
    <n v="-7000"/>
    <n v="7000"/>
    <x v="192"/>
    <m/>
  </r>
  <r>
    <x v="725"/>
    <x v="278"/>
    <x v="1"/>
    <x v="0"/>
    <n v="15"/>
    <x v="1"/>
    <x v="1"/>
    <x v="12"/>
    <s v="취미"/>
    <n v="7000"/>
    <n v="-7000"/>
    <x v="279"/>
    <m/>
  </r>
  <r>
    <x v="726"/>
    <x v="279"/>
    <x v="1"/>
    <x v="0"/>
    <n v="16"/>
    <x v="1"/>
    <x v="1"/>
    <x v="5"/>
    <s v="커피_음료"/>
    <n v="1800"/>
    <n v="-1800"/>
    <x v="106"/>
    <m/>
  </r>
  <r>
    <x v="727"/>
    <x v="280"/>
    <x v="1"/>
    <x v="0"/>
    <n v="17"/>
    <x v="1"/>
    <x v="1"/>
    <x v="1"/>
    <s v="주차"/>
    <n v="1900"/>
    <n v="-1900"/>
    <x v="280"/>
    <m/>
  </r>
  <r>
    <x v="728"/>
    <x v="280"/>
    <x v="1"/>
    <x v="0"/>
    <n v="17"/>
    <x v="1"/>
    <x v="3"/>
    <x v="3"/>
    <s v="외식"/>
    <n v="10900"/>
    <n v="-10900"/>
    <x v="281"/>
    <s v="김예빈 이체"/>
  </r>
  <r>
    <x v="729"/>
    <x v="281"/>
    <x v="1"/>
    <x v="0"/>
    <n v="18"/>
    <x v="1"/>
    <x v="3"/>
    <x v="3"/>
    <s v="외식"/>
    <n v="9000"/>
    <n v="-9000"/>
    <x v="229"/>
    <m/>
  </r>
  <r>
    <x v="730"/>
    <x v="281"/>
    <x v="1"/>
    <x v="0"/>
    <n v="18"/>
    <x v="1"/>
    <x v="1"/>
    <x v="10"/>
    <s v="부조금"/>
    <n v="10000"/>
    <n v="-10000"/>
    <x v="282"/>
    <s v="박종민 이체"/>
  </r>
  <r>
    <x v="731"/>
    <x v="282"/>
    <x v="1"/>
    <x v="0"/>
    <n v="19"/>
    <x v="1"/>
    <x v="1"/>
    <x v="5"/>
    <s v="커피_음료"/>
    <n v="5200"/>
    <n v="-5200"/>
    <x v="106"/>
    <s v="체크할인 차액 제외"/>
  </r>
  <r>
    <x v="732"/>
    <x v="283"/>
    <x v="1"/>
    <x v="0"/>
    <n v="20"/>
    <x v="1"/>
    <x v="2"/>
    <x v="2"/>
    <s v="금융수입"/>
    <n v="-189"/>
    <n v="189"/>
    <x v="36"/>
    <m/>
  </r>
  <r>
    <x v="733"/>
    <x v="283"/>
    <x v="1"/>
    <x v="0"/>
    <n v="20"/>
    <x v="1"/>
    <x v="3"/>
    <x v="3"/>
    <s v="외식"/>
    <n v="6000"/>
    <n v="-6000"/>
    <x v="257"/>
    <m/>
  </r>
  <r>
    <x v="734"/>
    <x v="283"/>
    <x v="1"/>
    <x v="0"/>
    <n v="20"/>
    <x v="1"/>
    <x v="2"/>
    <x v="2"/>
    <s v="기타수입"/>
    <n v="-10000"/>
    <n v="10000"/>
    <x v="15"/>
    <m/>
  </r>
  <r>
    <x v="735"/>
    <x v="284"/>
    <x v="1"/>
    <x v="0"/>
    <n v="22"/>
    <x v="1"/>
    <x v="1"/>
    <x v="5"/>
    <s v="커피_음료"/>
    <n v="6100"/>
    <n v="-6100"/>
    <x v="283"/>
    <m/>
  </r>
  <r>
    <x v="736"/>
    <x v="284"/>
    <x v="1"/>
    <x v="0"/>
    <n v="22"/>
    <x v="1"/>
    <x v="1"/>
    <x v="5"/>
    <s v="커피_음료"/>
    <n v="9000"/>
    <n v="-9000"/>
    <x v="284"/>
    <m/>
  </r>
  <r>
    <x v="737"/>
    <x v="284"/>
    <x v="1"/>
    <x v="0"/>
    <n v="22"/>
    <x v="1"/>
    <x v="1"/>
    <x v="3"/>
    <s v="외식"/>
    <n v="11000"/>
    <n v="-11000"/>
    <x v="285"/>
    <m/>
  </r>
  <r>
    <x v="738"/>
    <x v="284"/>
    <x v="1"/>
    <x v="0"/>
    <n v="22"/>
    <x v="1"/>
    <x v="1"/>
    <x v="3"/>
    <s v="외식"/>
    <n v="22000"/>
    <n v="-22000"/>
    <x v="286"/>
    <m/>
  </r>
  <r>
    <x v="739"/>
    <x v="285"/>
    <x v="1"/>
    <x v="0"/>
    <n v="24"/>
    <x v="1"/>
    <x v="1"/>
    <x v="1"/>
    <s v="주차"/>
    <n v="1000"/>
    <n v="-1000"/>
    <x v="287"/>
    <m/>
  </r>
  <r>
    <x v="740"/>
    <x v="286"/>
    <x v="1"/>
    <x v="0"/>
    <n v="26"/>
    <x v="1"/>
    <x v="3"/>
    <x v="8"/>
    <s v="헤어샵"/>
    <n v="15000"/>
    <n v="-15000"/>
    <x v="95"/>
    <m/>
  </r>
  <r>
    <x v="741"/>
    <x v="286"/>
    <x v="1"/>
    <x v="0"/>
    <n v="26"/>
    <x v="1"/>
    <x v="3"/>
    <x v="3"/>
    <s v="외식"/>
    <n v="8500"/>
    <n v="-8500"/>
    <x v="288"/>
    <m/>
  </r>
  <r>
    <x v="742"/>
    <x v="287"/>
    <x v="1"/>
    <x v="0"/>
    <n v="28"/>
    <x v="1"/>
    <x v="3"/>
    <x v="1"/>
    <s v="주유"/>
    <n v="60000"/>
    <n v="-60000"/>
    <x v="242"/>
    <m/>
  </r>
  <r>
    <x v="743"/>
    <x v="287"/>
    <x v="1"/>
    <x v="0"/>
    <n v="28"/>
    <x v="1"/>
    <x v="3"/>
    <x v="3"/>
    <s v="외식"/>
    <n v="4000"/>
    <n v="-4000"/>
    <x v="83"/>
    <m/>
  </r>
  <r>
    <x v="744"/>
    <x v="287"/>
    <x v="1"/>
    <x v="0"/>
    <n v="28"/>
    <x v="1"/>
    <x v="1"/>
    <x v="3"/>
    <s v="외식"/>
    <n v="14500"/>
    <n v="-14500"/>
    <x v="289"/>
    <m/>
  </r>
  <r>
    <x v="745"/>
    <x v="288"/>
    <x v="1"/>
    <x v="0"/>
    <n v="29"/>
    <x v="1"/>
    <x v="1"/>
    <x v="3"/>
    <s v="외식"/>
    <n v="12900"/>
    <n v="-12900"/>
    <x v="290"/>
    <s v="권봄 이체"/>
  </r>
  <r>
    <x v="746"/>
    <x v="288"/>
    <x v="1"/>
    <x v="0"/>
    <n v="29"/>
    <x v="1"/>
    <x v="1"/>
    <x v="1"/>
    <s v="주차"/>
    <n v="6400"/>
    <n v="-6400"/>
    <x v="291"/>
    <m/>
  </r>
  <r>
    <x v="747"/>
    <x v="288"/>
    <x v="1"/>
    <x v="0"/>
    <n v="29"/>
    <x v="1"/>
    <x v="1"/>
    <x v="5"/>
    <s v="커피_음료"/>
    <n v="5100"/>
    <n v="-5100"/>
    <x v="211"/>
    <s v="김예빈 이체"/>
  </r>
  <r>
    <x v="748"/>
    <x v="289"/>
    <x v="1"/>
    <x v="0"/>
    <n v="30"/>
    <x v="1"/>
    <x v="4"/>
    <x v="4"/>
    <s v="서비스구독"/>
    <n v="1841"/>
    <n v="-1841"/>
    <x v="84"/>
    <m/>
  </r>
  <r>
    <x v="749"/>
    <x v="290"/>
    <x v="1"/>
    <x v="0"/>
    <n v="31"/>
    <x v="1"/>
    <x v="1"/>
    <x v="7"/>
    <s v="전동킥보드"/>
    <n v="720"/>
    <n v="-720"/>
    <x v="244"/>
    <m/>
  </r>
  <r>
    <x v="750"/>
    <x v="290"/>
    <x v="1"/>
    <x v="0"/>
    <n v="31"/>
    <x v="1"/>
    <x v="3"/>
    <x v="3"/>
    <s v="외식"/>
    <n v="7000"/>
    <n v="-7000"/>
    <x v="292"/>
    <m/>
  </r>
  <r>
    <x v="751"/>
    <x v="290"/>
    <x v="1"/>
    <x v="0"/>
    <n v="31"/>
    <x v="1"/>
    <x v="3"/>
    <x v="3"/>
    <s v="외식"/>
    <n v="9000"/>
    <n v="-9000"/>
    <x v="254"/>
    <m/>
  </r>
  <r>
    <x v="752"/>
    <x v="291"/>
    <x v="1"/>
    <x v="1"/>
    <n v="1"/>
    <x v="1"/>
    <x v="0"/>
    <x v="0"/>
    <s v="내계좌이체"/>
    <n v="-300000"/>
    <n v="300000"/>
    <x v="137"/>
    <s v="8월생활비"/>
  </r>
  <r>
    <x v="753"/>
    <x v="291"/>
    <x v="1"/>
    <x v="1"/>
    <n v="1"/>
    <x v="6"/>
    <x v="0"/>
    <x v="0"/>
    <s v="내계좌이체"/>
    <n v="300000"/>
    <n v="-300000"/>
    <x v="78"/>
    <m/>
  </r>
  <r>
    <x v="754"/>
    <x v="291"/>
    <x v="1"/>
    <x v="1"/>
    <n v="1"/>
    <x v="1"/>
    <x v="3"/>
    <x v="3"/>
    <s v="외식"/>
    <n v="7000"/>
    <n v="-7000"/>
    <x v="257"/>
    <m/>
  </r>
  <r>
    <x v="755"/>
    <x v="291"/>
    <x v="1"/>
    <x v="1"/>
    <n v="1"/>
    <x v="1"/>
    <x v="1"/>
    <x v="13"/>
    <s v="주점"/>
    <n v="36950"/>
    <n v="-36950"/>
    <x v="293"/>
    <m/>
  </r>
  <r>
    <x v="756"/>
    <x v="291"/>
    <x v="1"/>
    <x v="1"/>
    <n v="1"/>
    <x v="1"/>
    <x v="1"/>
    <x v="6"/>
    <s v="문구류"/>
    <n v="1800"/>
    <n v="-1800"/>
    <x v="193"/>
    <m/>
  </r>
  <r>
    <x v="757"/>
    <x v="291"/>
    <x v="1"/>
    <x v="1"/>
    <n v="1"/>
    <x v="1"/>
    <x v="1"/>
    <x v="10"/>
    <s v="선물"/>
    <n v="3000"/>
    <n v="-3000"/>
    <x v="294"/>
    <m/>
  </r>
  <r>
    <x v="758"/>
    <x v="292"/>
    <x v="1"/>
    <x v="1"/>
    <n v="2"/>
    <x v="1"/>
    <x v="3"/>
    <x v="3"/>
    <s v="외식"/>
    <n v="10000"/>
    <n v="-10000"/>
    <x v="232"/>
    <m/>
  </r>
  <r>
    <x v="759"/>
    <x v="292"/>
    <x v="1"/>
    <x v="1"/>
    <n v="2"/>
    <x v="1"/>
    <x v="3"/>
    <x v="3"/>
    <s v="외식"/>
    <n v="7200"/>
    <n v="-7200"/>
    <x v="83"/>
    <m/>
  </r>
  <r>
    <x v="760"/>
    <x v="293"/>
    <x v="1"/>
    <x v="1"/>
    <n v="3"/>
    <x v="1"/>
    <x v="1"/>
    <x v="7"/>
    <s v="대중교통"/>
    <n v="10400"/>
    <n v="-10400"/>
    <x v="33"/>
    <m/>
  </r>
  <r>
    <x v="761"/>
    <x v="293"/>
    <x v="1"/>
    <x v="1"/>
    <n v="3"/>
    <x v="1"/>
    <x v="1"/>
    <x v="7"/>
    <s v="전동킥보드"/>
    <n v="1440"/>
    <n v="-1440"/>
    <x v="244"/>
    <m/>
  </r>
  <r>
    <x v="762"/>
    <x v="294"/>
    <x v="1"/>
    <x v="1"/>
    <n v="4"/>
    <x v="1"/>
    <x v="1"/>
    <x v="5"/>
    <s v="커피_음료"/>
    <n v="5000"/>
    <n v="-5000"/>
    <x v="295"/>
    <s v="김예빈 이체"/>
  </r>
  <r>
    <x v="763"/>
    <x v="294"/>
    <x v="1"/>
    <x v="1"/>
    <n v="4"/>
    <x v="1"/>
    <x v="1"/>
    <x v="5"/>
    <s v="아이스크림_빙수"/>
    <n v="3900"/>
    <n v="-3900"/>
    <x v="113"/>
    <m/>
  </r>
  <r>
    <x v="764"/>
    <x v="294"/>
    <x v="1"/>
    <x v="1"/>
    <n v="4"/>
    <x v="1"/>
    <x v="1"/>
    <x v="7"/>
    <s v="전동킥보드"/>
    <n v="900"/>
    <n v="-900"/>
    <x v="244"/>
    <m/>
  </r>
  <r>
    <x v="765"/>
    <x v="294"/>
    <x v="1"/>
    <x v="1"/>
    <n v="4"/>
    <x v="1"/>
    <x v="1"/>
    <x v="3"/>
    <s v="외식"/>
    <n v="7800"/>
    <n v="-7800"/>
    <x v="296"/>
    <s v="김예빈 이체"/>
  </r>
  <r>
    <x v="766"/>
    <x v="295"/>
    <x v="1"/>
    <x v="1"/>
    <n v="5"/>
    <x v="1"/>
    <x v="1"/>
    <x v="6"/>
    <s v="마트"/>
    <n v="2000"/>
    <n v="-2000"/>
    <x v="98"/>
    <s v="소분통"/>
  </r>
  <r>
    <x v="767"/>
    <x v="295"/>
    <x v="1"/>
    <x v="1"/>
    <n v="5"/>
    <x v="1"/>
    <x v="1"/>
    <x v="5"/>
    <s v="커피_음료"/>
    <n v="800"/>
    <n v="-800"/>
    <x v="106"/>
    <m/>
  </r>
  <r>
    <x v="768"/>
    <x v="296"/>
    <x v="1"/>
    <x v="1"/>
    <n v="7"/>
    <x v="1"/>
    <x v="1"/>
    <x v="6"/>
    <s v="편의점"/>
    <n v="2100"/>
    <n v="-2100"/>
    <x v="193"/>
    <m/>
  </r>
  <r>
    <x v="769"/>
    <x v="296"/>
    <x v="1"/>
    <x v="1"/>
    <n v="7"/>
    <x v="1"/>
    <x v="3"/>
    <x v="3"/>
    <s v="외식"/>
    <n v="8000"/>
    <n v="-8000"/>
    <x v="236"/>
    <m/>
  </r>
  <r>
    <x v="770"/>
    <x v="296"/>
    <x v="1"/>
    <x v="1"/>
    <n v="7"/>
    <x v="1"/>
    <x v="1"/>
    <x v="12"/>
    <s v="전시_관람_체험"/>
    <n v="10000"/>
    <n v="-10000"/>
    <x v="297"/>
    <s v="문화역서울 헤드윅전시;김예빈 정산"/>
  </r>
  <r>
    <x v="771"/>
    <x v="297"/>
    <x v="1"/>
    <x v="1"/>
    <n v="8"/>
    <x v="1"/>
    <x v="0"/>
    <x v="0"/>
    <s v="내계좌이체"/>
    <n v="-200000"/>
    <n v="200000"/>
    <x v="137"/>
    <s v="주식매도"/>
  </r>
  <r>
    <x v="772"/>
    <x v="297"/>
    <x v="1"/>
    <x v="1"/>
    <n v="8"/>
    <x v="1"/>
    <x v="3"/>
    <x v="3"/>
    <s v="외식"/>
    <n v="12500"/>
    <n v="-12500"/>
    <x v="298"/>
    <s v="이호준 이체"/>
  </r>
  <r>
    <x v="773"/>
    <x v="297"/>
    <x v="1"/>
    <x v="1"/>
    <n v="8"/>
    <x v="1"/>
    <x v="3"/>
    <x v="6"/>
    <s v="편의점"/>
    <n v="2900"/>
    <n v="-2900"/>
    <x v="193"/>
    <m/>
  </r>
  <r>
    <x v="774"/>
    <x v="297"/>
    <x v="1"/>
    <x v="1"/>
    <n v="8"/>
    <x v="1"/>
    <x v="1"/>
    <x v="6"/>
    <s v="가구_가전"/>
    <n v="206400"/>
    <n v="-206400"/>
    <x v="167"/>
    <s v="타입커버 키보드"/>
  </r>
  <r>
    <x v="775"/>
    <x v="298"/>
    <x v="1"/>
    <x v="1"/>
    <n v="9"/>
    <x v="1"/>
    <x v="1"/>
    <x v="3"/>
    <s v="외식"/>
    <n v="12900"/>
    <n v="-12900"/>
    <x v="299"/>
    <s v="김예빈 정산"/>
  </r>
  <r>
    <x v="776"/>
    <x v="298"/>
    <x v="1"/>
    <x v="1"/>
    <n v="9"/>
    <x v="1"/>
    <x v="1"/>
    <x v="5"/>
    <s v="커피_음료"/>
    <n v="2500"/>
    <n v="-2500"/>
    <x v="300"/>
    <m/>
  </r>
  <r>
    <x v="777"/>
    <x v="298"/>
    <x v="1"/>
    <x v="1"/>
    <n v="9"/>
    <x v="1"/>
    <x v="1"/>
    <x v="5"/>
    <s v="아이스크림_빙수"/>
    <n v="4500"/>
    <n v="-4500"/>
    <x v="301"/>
    <s v="김예빈 정산"/>
  </r>
  <r>
    <x v="778"/>
    <x v="298"/>
    <x v="1"/>
    <x v="1"/>
    <n v="9"/>
    <x v="1"/>
    <x v="1"/>
    <x v="1"/>
    <s v="주차"/>
    <n v="3500"/>
    <n v="-3500"/>
    <x v="302"/>
    <s v="김예빈 정산"/>
  </r>
  <r>
    <x v="779"/>
    <x v="298"/>
    <x v="1"/>
    <x v="1"/>
    <n v="9"/>
    <x v="1"/>
    <x v="1"/>
    <x v="5"/>
    <s v="디저트_빵"/>
    <n v="3800"/>
    <n v="-3800"/>
    <x v="303"/>
    <s v="김예빈 정산"/>
  </r>
  <r>
    <x v="780"/>
    <x v="298"/>
    <x v="1"/>
    <x v="1"/>
    <n v="9"/>
    <x v="1"/>
    <x v="1"/>
    <x v="1"/>
    <s v="주차"/>
    <n v="1000"/>
    <n v="-1000"/>
    <x v="270"/>
    <m/>
  </r>
  <r>
    <x v="781"/>
    <x v="298"/>
    <x v="1"/>
    <x v="1"/>
    <n v="9"/>
    <x v="1"/>
    <x v="1"/>
    <x v="6"/>
    <s v="편의점"/>
    <n v="1100"/>
    <n v="-1100"/>
    <x v="304"/>
    <s v="김예빈 정산"/>
  </r>
  <r>
    <x v="782"/>
    <x v="298"/>
    <x v="1"/>
    <x v="1"/>
    <n v="9"/>
    <x v="1"/>
    <x v="1"/>
    <x v="4"/>
    <s v="수수료"/>
    <n v="1000"/>
    <n v="-1000"/>
    <x v="305"/>
    <m/>
  </r>
  <r>
    <x v="783"/>
    <x v="299"/>
    <x v="1"/>
    <x v="1"/>
    <n v="11"/>
    <x v="1"/>
    <x v="1"/>
    <x v="12"/>
    <s v="영화"/>
    <n v="6000"/>
    <n v="-6000"/>
    <x v="189"/>
    <m/>
  </r>
  <r>
    <x v="784"/>
    <x v="299"/>
    <x v="1"/>
    <x v="1"/>
    <n v="11"/>
    <x v="1"/>
    <x v="2"/>
    <x v="2"/>
    <s v="금융수입"/>
    <n v="-68"/>
    <n v="68"/>
    <x v="36"/>
    <m/>
  </r>
  <r>
    <x v="785"/>
    <x v="299"/>
    <x v="1"/>
    <x v="1"/>
    <n v="11"/>
    <x v="1"/>
    <x v="3"/>
    <x v="3"/>
    <s v="외식"/>
    <n v="7000"/>
    <n v="-7000"/>
    <x v="224"/>
    <s v="김예빈 정산"/>
  </r>
  <r>
    <x v="786"/>
    <x v="299"/>
    <x v="1"/>
    <x v="1"/>
    <n v="11"/>
    <x v="1"/>
    <x v="1"/>
    <x v="6"/>
    <s v="편의점"/>
    <n v="3200"/>
    <n v="-3200"/>
    <x v="193"/>
    <m/>
  </r>
  <r>
    <x v="787"/>
    <x v="299"/>
    <x v="1"/>
    <x v="1"/>
    <n v="11"/>
    <x v="1"/>
    <x v="1"/>
    <x v="3"/>
    <s v="외식"/>
    <n v="18950"/>
    <n v="-18950"/>
    <x v="306"/>
    <m/>
  </r>
  <r>
    <x v="788"/>
    <x v="300"/>
    <x v="1"/>
    <x v="1"/>
    <n v="14"/>
    <x v="1"/>
    <x v="2"/>
    <x v="2"/>
    <s v="금융수입"/>
    <n v="-4200"/>
    <n v="4200"/>
    <x v="85"/>
    <m/>
  </r>
  <r>
    <x v="789"/>
    <x v="300"/>
    <x v="1"/>
    <x v="1"/>
    <n v="14"/>
    <x v="1"/>
    <x v="1"/>
    <x v="1"/>
    <s v="주차"/>
    <n v="3100"/>
    <n v="-3100"/>
    <x v="302"/>
    <m/>
  </r>
  <r>
    <x v="790"/>
    <x v="300"/>
    <x v="1"/>
    <x v="1"/>
    <n v="14"/>
    <x v="1"/>
    <x v="1"/>
    <x v="6"/>
    <s v="편의점"/>
    <n v="2100"/>
    <n v="-2100"/>
    <x v="222"/>
    <m/>
  </r>
  <r>
    <x v="791"/>
    <x v="300"/>
    <x v="1"/>
    <x v="1"/>
    <n v="14"/>
    <x v="1"/>
    <x v="3"/>
    <x v="3"/>
    <s v="외식"/>
    <n v="12900"/>
    <n v="-12900"/>
    <x v="307"/>
    <m/>
  </r>
  <r>
    <x v="792"/>
    <x v="300"/>
    <x v="1"/>
    <x v="1"/>
    <n v="14"/>
    <x v="1"/>
    <x v="3"/>
    <x v="3"/>
    <s v="외식"/>
    <n v="6250"/>
    <n v="-6250"/>
    <x v="292"/>
    <m/>
  </r>
  <r>
    <x v="793"/>
    <x v="300"/>
    <x v="1"/>
    <x v="1"/>
    <n v="14"/>
    <x v="1"/>
    <x v="1"/>
    <x v="5"/>
    <s v="아이스크림_빙수"/>
    <n v="3300"/>
    <n v="-3300"/>
    <x v="197"/>
    <m/>
  </r>
  <r>
    <x v="794"/>
    <x v="300"/>
    <x v="1"/>
    <x v="1"/>
    <n v="14"/>
    <x v="1"/>
    <x v="3"/>
    <x v="1"/>
    <s v="주유"/>
    <n v="60000"/>
    <n v="-60000"/>
    <x v="186"/>
    <m/>
  </r>
  <r>
    <x v="795"/>
    <x v="301"/>
    <x v="1"/>
    <x v="1"/>
    <n v="15"/>
    <x v="1"/>
    <x v="1"/>
    <x v="12"/>
    <s v="취미"/>
    <n v="23800"/>
    <n v="-23800"/>
    <x v="122"/>
    <m/>
  </r>
  <r>
    <x v="796"/>
    <x v="302"/>
    <x v="1"/>
    <x v="1"/>
    <n v="16"/>
    <x v="1"/>
    <x v="3"/>
    <x v="3"/>
    <s v="외식"/>
    <n v="8000"/>
    <n v="-8000"/>
    <x v="308"/>
    <m/>
  </r>
  <r>
    <x v="797"/>
    <x v="302"/>
    <x v="1"/>
    <x v="1"/>
    <n v="16"/>
    <x v="1"/>
    <x v="1"/>
    <x v="5"/>
    <s v="커피_음료"/>
    <n v="4500"/>
    <n v="-4500"/>
    <x v="309"/>
    <m/>
  </r>
  <r>
    <x v="798"/>
    <x v="302"/>
    <x v="1"/>
    <x v="1"/>
    <n v="16"/>
    <x v="1"/>
    <x v="3"/>
    <x v="3"/>
    <s v="외식"/>
    <n v="8500"/>
    <n v="-8500"/>
    <x v="214"/>
    <m/>
  </r>
  <r>
    <x v="799"/>
    <x v="302"/>
    <x v="1"/>
    <x v="1"/>
    <n v="16"/>
    <x v="1"/>
    <x v="1"/>
    <x v="10"/>
    <s v="선물"/>
    <n v="2000"/>
    <n v="-2000"/>
    <x v="17"/>
    <s v="이모티콘"/>
  </r>
  <r>
    <x v="800"/>
    <x v="303"/>
    <x v="1"/>
    <x v="1"/>
    <n v="17"/>
    <x v="1"/>
    <x v="3"/>
    <x v="3"/>
    <s v="외식"/>
    <n v="6400"/>
    <n v="-6400"/>
    <x v="257"/>
    <m/>
  </r>
  <r>
    <x v="801"/>
    <x v="303"/>
    <x v="1"/>
    <x v="1"/>
    <n v="17"/>
    <x v="1"/>
    <x v="3"/>
    <x v="3"/>
    <s v="외식"/>
    <n v="9000"/>
    <n v="-9000"/>
    <x v="233"/>
    <m/>
  </r>
  <r>
    <x v="802"/>
    <x v="304"/>
    <x v="1"/>
    <x v="1"/>
    <n v="18"/>
    <x v="1"/>
    <x v="1"/>
    <x v="5"/>
    <s v="커피_음료"/>
    <n v="11400"/>
    <n v="-11400"/>
    <x v="211"/>
    <m/>
  </r>
  <r>
    <x v="803"/>
    <x v="304"/>
    <x v="1"/>
    <x v="1"/>
    <n v="18"/>
    <x v="1"/>
    <x v="3"/>
    <x v="3"/>
    <s v="외식"/>
    <n v="6000"/>
    <n v="-6000"/>
    <x v="310"/>
    <m/>
  </r>
  <r>
    <x v="804"/>
    <x v="305"/>
    <x v="1"/>
    <x v="1"/>
    <n v="19"/>
    <x v="1"/>
    <x v="1"/>
    <x v="1"/>
    <s v="주차"/>
    <n v="2000"/>
    <n v="-2000"/>
    <x v="311"/>
    <s v="김예빈 정산"/>
  </r>
  <r>
    <x v="805"/>
    <x v="305"/>
    <x v="1"/>
    <x v="1"/>
    <n v="19"/>
    <x v="1"/>
    <x v="1"/>
    <x v="12"/>
    <s v="영화"/>
    <n v="8000"/>
    <n v="-8000"/>
    <x v="312"/>
    <s v="김예빈 정산"/>
  </r>
  <r>
    <x v="806"/>
    <x v="305"/>
    <x v="1"/>
    <x v="1"/>
    <n v="19"/>
    <x v="1"/>
    <x v="1"/>
    <x v="3"/>
    <s v="외식"/>
    <n v="6150"/>
    <n v="-6150"/>
    <x v="215"/>
    <s v="김예빈 정산"/>
  </r>
  <r>
    <x v="807"/>
    <x v="305"/>
    <x v="1"/>
    <x v="1"/>
    <n v="19"/>
    <x v="1"/>
    <x v="1"/>
    <x v="3"/>
    <s v="외식"/>
    <n v="16300"/>
    <n v="-16300"/>
    <x v="313"/>
    <s v="김예빈 정산"/>
  </r>
  <r>
    <x v="808"/>
    <x v="306"/>
    <x v="1"/>
    <x v="1"/>
    <n v="20"/>
    <x v="1"/>
    <x v="2"/>
    <x v="2"/>
    <s v="용돈"/>
    <n v="-100000"/>
    <n v="100000"/>
    <x v="58"/>
    <m/>
  </r>
  <r>
    <x v="809"/>
    <x v="306"/>
    <x v="1"/>
    <x v="1"/>
    <n v="20"/>
    <x v="1"/>
    <x v="1"/>
    <x v="7"/>
    <s v="전동킥보드"/>
    <n v="900"/>
    <n v="-900"/>
    <x v="244"/>
    <m/>
  </r>
  <r>
    <x v="810"/>
    <x v="307"/>
    <x v="1"/>
    <x v="1"/>
    <n v="21"/>
    <x v="1"/>
    <x v="1"/>
    <x v="3"/>
    <s v="외식"/>
    <n v="8400"/>
    <n v="-8400"/>
    <x v="314"/>
    <m/>
  </r>
  <r>
    <x v="811"/>
    <x v="307"/>
    <x v="1"/>
    <x v="1"/>
    <n v="21"/>
    <x v="1"/>
    <x v="1"/>
    <x v="7"/>
    <s v="철도"/>
    <n v="2600"/>
    <n v="-2600"/>
    <x v="75"/>
    <m/>
  </r>
  <r>
    <x v="812"/>
    <x v="307"/>
    <x v="1"/>
    <x v="1"/>
    <n v="21"/>
    <x v="1"/>
    <x v="1"/>
    <x v="16"/>
    <s v="관광"/>
    <n v="67950"/>
    <n v="-67950"/>
    <x v="260"/>
    <m/>
  </r>
  <r>
    <x v="813"/>
    <x v="308"/>
    <x v="1"/>
    <x v="1"/>
    <n v="22"/>
    <x v="1"/>
    <x v="3"/>
    <x v="1"/>
    <s v="주유"/>
    <n v="60000"/>
    <n v="-60000"/>
    <x v="242"/>
    <m/>
  </r>
  <r>
    <x v="814"/>
    <x v="308"/>
    <x v="1"/>
    <x v="1"/>
    <n v="22"/>
    <x v="1"/>
    <x v="3"/>
    <x v="3"/>
    <s v="외식"/>
    <n v="7500"/>
    <n v="-7500"/>
    <x v="207"/>
    <m/>
  </r>
  <r>
    <x v="815"/>
    <x v="308"/>
    <x v="1"/>
    <x v="1"/>
    <n v="22"/>
    <x v="1"/>
    <x v="1"/>
    <x v="5"/>
    <s v="커피_음료"/>
    <n v="1800"/>
    <n v="-1800"/>
    <x v="106"/>
    <m/>
  </r>
  <r>
    <x v="816"/>
    <x v="308"/>
    <x v="1"/>
    <x v="1"/>
    <n v="22"/>
    <x v="1"/>
    <x v="2"/>
    <x v="2"/>
    <s v="기타수입"/>
    <n v="-10000"/>
    <n v="10000"/>
    <x v="15"/>
    <m/>
  </r>
  <r>
    <x v="817"/>
    <x v="308"/>
    <x v="1"/>
    <x v="1"/>
    <n v="22"/>
    <x v="1"/>
    <x v="0"/>
    <x v="0"/>
    <s v="내계좌이체"/>
    <n v="-200000"/>
    <n v="200000"/>
    <x v="315"/>
    <m/>
  </r>
  <r>
    <x v="818"/>
    <x v="308"/>
    <x v="1"/>
    <x v="1"/>
    <n v="22"/>
    <x v="1"/>
    <x v="3"/>
    <x v="3"/>
    <s v="외식"/>
    <n v="8000"/>
    <n v="-8000"/>
    <x v="292"/>
    <m/>
  </r>
  <r>
    <x v="819"/>
    <x v="309"/>
    <x v="1"/>
    <x v="1"/>
    <n v="23"/>
    <x v="1"/>
    <x v="3"/>
    <x v="3"/>
    <s v="외식"/>
    <n v="9000"/>
    <n v="-9000"/>
    <x v="229"/>
    <m/>
  </r>
  <r>
    <x v="820"/>
    <x v="309"/>
    <x v="1"/>
    <x v="1"/>
    <n v="23"/>
    <x v="1"/>
    <x v="1"/>
    <x v="6"/>
    <s v="편의점"/>
    <n v="2700"/>
    <n v="-2700"/>
    <x v="193"/>
    <m/>
  </r>
  <r>
    <x v="821"/>
    <x v="310"/>
    <x v="1"/>
    <x v="1"/>
    <n v="30"/>
    <x v="1"/>
    <x v="4"/>
    <x v="4"/>
    <s v="서비스구독"/>
    <n v="1497"/>
    <n v="-1497"/>
    <x v="84"/>
    <m/>
  </r>
  <r>
    <x v="822"/>
    <x v="311"/>
    <x v="1"/>
    <x v="1"/>
    <n v="31"/>
    <x v="1"/>
    <x v="1"/>
    <x v="12"/>
    <s v="공연"/>
    <n v="3000"/>
    <n v="-3000"/>
    <x v="316"/>
    <s v="김예빈 정산"/>
  </r>
  <r>
    <x v="823"/>
    <x v="311"/>
    <x v="1"/>
    <x v="1"/>
    <n v="31"/>
    <x v="1"/>
    <x v="1"/>
    <x v="3"/>
    <s v="외식"/>
    <n v="19500"/>
    <n v="-19500"/>
    <x v="317"/>
    <s v="김예빈 정산"/>
  </r>
  <r>
    <x v="824"/>
    <x v="311"/>
    <x v="1"/>
    <x v="1"/>
    <n v="31"/>
    <x v="1"/>
    <x v="1"/>
    <x v="5"/>
    <s v="커피_음료"/>
    <n v="6150"/>
    <n v="-6150"/>
    <x v="318"/>
    <s v="김예빈 정산"/>
  </r>
  <r>
    <x v="825"/>
    <x v="311"/>
    <x v="1"/>
    <x v="1"/>
    <n v="31"/>
    <x v="1"/>
    <x v="1"/>
    <x v="5"/>
    <s v="커피_음료"/>
    <n v="8650"/>
    <n v="-8650"/>
    <x v="319"/>
    <s v="김예빈 정산"/>
  </r>
  <r>
    <x v="826"/>
    <x v="312"/>
    <x v="1"/>
    <x v="2"/>
    <n v="1"/>
    <x v="1"/>
    <x v="5"/>
    <x v="9"/>
    <s v="용돈"/>
    <n v="-500000"/>
    <n v="500000"/>
    <x v="58"/>
    <m/>
  </r>
  <r>
    <x v="827"/>
    <x v="312"/>
    <x v="1"/>
    <x v="2"/>
    <n v="1"/>
    <x v="1"/>
    <x v="1"/>
    <x v="3"/>
    <s v="외식"/>
    <n v="6000"/>
    <n v="-6000"/>
    <x v="13"/>
    <s v="김예빈 정산"/>
  </r>
  <r>
    <x v="828"/>
    <x v="312"/>
    <x v="1"/>
    <x v="2"/>
    <n v="1"/>
    <x v="1"/>
    <x v="1"/>
    <x v="1"/>
    <s v="주차"/>
    <n v="90000"/>
    <n v="-90000"/>
    <x v="187"/>
    <s v="2학기 정기권"/>
  </r>
  <r>
    <x v="829"/>
    <x v="312"/>
    <x v="1"/>
    <x v="2"/>
    <n v="1"/>
    <x v="1"/>
    <x v="3"/>
    <x v="3"/>
    <s v="외식"/>
    <n v="5000"/>
    <n v="-5000"/>
    <x v="193"/>
    <m/>
  </r>
  <r>
    <x v="830"/>
    <x v="312"/>
    <x v="1"/>
    <x v="2"/>
    <n v="1"/>
    <x v="1"/>
    <x v="1"/>
    <x v="16"/>
    <s v="숙박비"/>
    <n v="16500"/>
    <n v="-16500"/>
    <x v="265"/>
    <s v="김예빈 정산"/>
  </r>
  <r>
    <x v="831"/>
    <x v="313"/>
    <x v="1"/>
    <x v="2"/>
    <n v="2"/>
    <x v="1"/>
    <x v="1"/>
    <x v="3"/>
    <s v="외식"/>
    <n v="12500"/>
    <n v="-12500"/>
    <x v="320"/>
    <s v="건대입구역;김예빈 정산"/>
  </r>
  <r>
    <x v="832"/>
    <x v="313"/>
    <x v="1"/>
    <x v="2"/>
    <n v="2"/>
    <x v="1"/>
    <x v="1"/>
    <x v="3"/>
    <s v="외식"/>
    <n v="6750"/>
    <n v="-6750"/>
    <x v="215"/>
    <s v="김예빈 정산"/>
  </r>
  <r>
    <x v="833"/>
    <x v="314"/>
    <x v="1"/>
    <x v="2"/>
    <n v="4"/>
    <x v="1"/>
    <x v="1"/>
    <x v="3"/>
    <s v="외식"/>
    <n v="9000"/>
    <n v="-9000"/>
    <x v="232"/>
    <m/>
  </r>
  <r>
    <x v="834"/>
    <x v="314"/>
    <x v="1"/>
    <x v="2"/>
    <n v="4"/>
    <x v="1"/>
    <x v="3"/>
    <x v="3"/>
    <s v="외식"/>
    <n v="6250"/>
    <n v="-6250"/>
    <x v="224"/>
    <m/>
  </r>
  <r>
    <x v="835"/>
    <x v="314"/>
    <x v="1"/>
    <x v="2"/>
    <n v="4"/>
    <x v="1"/>
    <x v="1"/>
    <x v="16"/>
    <s v="숙박비"/>
    <n v="15000"/>
    <n v="-15000"/>
    <x v="265"/>
    <m/>
  </r>
  <r>
    <x v="836"/>
    <x v="314"/>
    <x v="1"/>
    <x v="2"/>
    <n v="4"/>
    <x v="1"/>
    <x v="0"/>
    <x v="0"/>
    <s v="이체"/>
    <n v="-1"/>
    <n v="1"/>
    <x v="321"/>
    <m/>
  </r>
  <r>
    <x v="837"/>
    <x v="315"/>
    <x v="1"/>
    <x v="2"/>
    <n v="5"/>
    <x v="1"/>
    <x v="1"/>
    <x v="7"/>
    <s v="대중교통"/>
    <n v="17440"/>
    <n v="-17440"/>
    <x v="33"/>
    <m/>
  </r>
  <r>
    <x v="838"/>
    <x v="315"/>
    <x v="1"/>
    <x v="2"/>
    <n v="5"/>
    <x v="1"/>
    <x v="3"/>
    <x v="3"/>
    <s v="외식"/>
    <n v="5000"/>
    <n v="-5000"/>
    <x v="193"/>
    <m/>
  </r>
  <r>
    <x v="839"/>
    <x v="316"/>
    <x v="1"/>
    <x v="2"/>
    <n v="6"/>
    <x v="1"/>
    <x v="1"/>
    <x v="1"/>
    <s v="주차"/>
    <n v="2800"/>
    <n v="-2800"/>
    <x v="302"/>
    <m/>
  </r>
  <r>
    <x v="840"/>
    <x v="316"/>
    <x v="1"/>
    <x v="2"/>
    <n v="6"/>
    <x v="1"/>
    <x v="3"/>
    <x v="3"/>
    <s v="외식"/>
    <n v="6000"/>
    <n v="-6000"/>
    <x v="292"/>
    <m/>
  </r>
  <r>
    <x v="841"/>
    <x v="316"/>
    <x v="1"/>
    <x v="2"/>
    <n v="6"/>
    <x v="1"/>
    <x v="1"/>
    <x v="6"/>
    <s v="편의점"/>
    <n v="2200"/>
    <n v="-2200"/>
    <x v="206"/>
    <m/>
  </r>
  <r>
    <x v="842"/>
    <x v="317"/>
    <x v="1"/>
    <x v="2"/>
    <n v="7"/>
    <x v="1"/>
    <x v="3"/>
    <x v="3"/>
    <s v="외식"/>
    <n v="4900"/>
    <n v="-4900"/>
    <x v="257"/>
    <m/>
  </r>
  <r>
    <x v="843"/>
    <x v="317"/>
    <x v="1"/>
    <x v="2"/>
    <n v="7"/>
    <x v="1"/>
    <x v="1"/>
    <x v="12"/>
    <s v="게임"/>
    <n v="4000"/>
    <n v="-4000"/>
    <x v="322"/>
    <m/>
  </r>
  <r>
    <x v="844"/>
    <x v="317"/>
    <x v="1"/>
    <x v="2"/>
    <n v="7"/>
    <x v="1"/>
    <x v="3"/>
    <x v="6"/>
    <s v="편의점"/>
    <n v="2600"/>
    <n v="-2600"/>
    <x v="206"/>
    <m/>
  </r>
  <r>
    <x v="845"/>
    <x v="317"/>
    <x v="1"/>
    <x v="2"/>
    <n v="7"/>
    <x v="1"/>
    <x v="3"/>
    <x v="6"/>
    <s v="편의점"/>
    <n v="1400"/>
    <n v="-1400"/>
    <x v="206"/>
    <m/>
  </r>
  <r>
    <x v="846"/>
    <x v="318"/>
    <x v="1"/>
    <x v="2"/>
    <n v="8"/>
    <x v="1"/>
    <x v="3"/>
    <x v="3"/>
    <s v="외식"/>
    <n v="4500"/>
    <n v="-4500"/>
    <x v="83"/>
    <m/>
  </r>
  <r>
    <x v="847"/>
    <x v="318"/>
    <x v="1"/>
    <x v="2"/>
    <n v="8"/>
    <x v="1"/>
    <x v="1"/>
    <x v="3"/>
    <s v="외식"/>
    <n v="19400"/>
    <n v="-19400"/>
    <x v="323"/>
    <m/>
  </r>
  <r>
    <x v="848"/>
    <x v="318"/>
    <x v="1"/>
    <x v="2"/>
    <n v="8"/>
    <x v="1"/>
    <x v="1"/>
    <x v="16"/>
    <s v="숙박비"/>
    <n v="10900"/>
    <n v="-10900"/>
    <x v="265"/>
    <m/>
  </r>
  <r>
    <x v="849"/>
    <x v="319"/>
    <x v="1"/>
    <x v="2"/>
    <n v="9"/>
    <x v="1"/>
    <x v="1"/>
    <x v="6"/>
    <s v="편의점"/>
    <n v="1950"/>
    <n v="-1950"/>
    <x v="324"/>
    <s v="아빠 소주"/>
  </r>
  <r>
    <x v="850"/>
    <x v="320"/>
    <x v="1"/>
    <x v="2"/>
    <n v="11"/>
    <x v="1"/>
    <x v="1"/>
    <x v="10"/>
    <s v="선물"/>
    <n v="100000"/>
    <n v="-100000"/>
    <x v="94"/>
    <s v="생일"/>
  </r>
  <r>
    <x v="851"/>
    <x v="320"/>
    <x v="1"/>
    <x v="2"/>
    <n v="11"/>
    <x v="1"/>
    <x v="1"/>
    <x v="6"/>
    <s v="마트"/>
    <n v="1000"/>
    <n v="-1000"/>
    <x v="98"/>
    <s v="편지지"/>
  </r>
  <r>
    <x v="852"/>
    <x v="320"/>
    <x v="1"/>
    <x v="2"/>
    <n v="11"/>
    <x v="1"/>
    <x v="3"/>
    <x v="3"/>
    <s v="외식"/>
    <n v="5000"/>
    <n v="-5000"/>
    <x v="220"/>
    <m/>
  </r>
  <r>
    <x v="853"/>
    <x v="321"/>
    <x v="1"/>
    <x v="2"/>
    <n v="12"/>
    <x v="1"/>
    <x v="3"/>
    <x v="3"/>
    <s v="외식"/>
    <n v="1000"/>
    <n v="-1000"/>
    <x v="193"/>
    <m/>
  </r>
  <r>
    <x v="854"/>
    <x v="321"/>
    <x v="1"/>
    <x v="2"/>
    <n v="12"/>
    <x v="1"/>
    <x v="3"/>
    <x v="3"/>
    <s v="외식"/>
    <n v="8000"/>
    <n v="-8000"/>
    <x v="233"/>
    <m/>
  </r>
  <r>
    <x v="855"/>
    <x v="322"/>
    <x v="1"/>
    <x v="2"/>
    <n v="13"/>
    <x v="1"/>
    <x v="1"/>
    <x v="5"/>
    <s v="아이스크림_빙수"/>
    <n v="6750"/>
    <n v="-6750"/>
    <x v="273"/>
    <m/>
  </r>
  <r>
    <x v="856"/>
    <x v="322"/>
    <x v="1"/>
    <x v="2"/>
    <n v="13"/>
    <x v="1"/>
    <x v="3"/>
    <x v="5"/>
    <s v="디저트_빵"/>
    <n v="4600"/>
    <n v="-4600"/>
    <x v="193"/>
    <m/>
  </r>
  <r>
    <x v="857"/>
    <x v="322"/>
    <x v="1"/>
    <x v="2"/>
    <n v="13"/>
    <x v="1"/>
    <x v="1"/>
    <x v="3"/>
    <s v="외식"/>
    <n v="9000"/>
    <n v="-9000"/>
    <x v="325"/>
    <m/>
  </r>
  <r>
    <x v="858"/>
    <x v="323"/>
    <x v="1"/>
    <x v="2"/>
    <n v="14"/>
    <x v="1"/>
    <x v="3"/>
    <x v="3"/>
    <s v="외식"/>
    <n v="7000"/>
    <n v="-7000"/>
    <x v="224"/>
    <m/>
  </r>
  <r>
    <x v="859"/>
    <x v="323"/>
    <x v="1"/>
    <x v="2"/>
    <n v="14"/>
    <x v="1"/>
    <x v="3"/>
    <x v="3"/>
    <s v="외식"/>
    <n v="1000"/>
    <n v="-1000"/>
    <x v="193"/>
    <m/>
  </r>
  <r>
    <x v="860"/>
    <x v="323"/>
    <x v="1"/>
    <x v="2"/>
    <n v="14"/>
    <x v="1"/>
    <x v="1"/>
    <x v="12"/>
    <s v="게임"/>
    <n v="3000"/>
    <n v="-3000"/>
    <x v="322"/>
    <m/>
  </r>
  <r>
    <x v="861"/>
    <x v="323"/>
    <x v="1"/>
    <x v="2"/>
    <n v="14"/>
    <x v="1"/>
    <x v="3"/>
    <x v="3"/>
    <s v="외식"/>
    <n v="7500"/>
    <n v="-7500"/>
    <x v="225"/>
    <m/>
  </r>
  <r>
    <x v="862"/>
    <x v="324"/>
    <x v="1"/>
    <x v="2"/>
    <n v="15"/>
    <x v="1"/>
    <x v="3"/>
    <x v="3"/>
    <s v="외식"/>
    <n v="9000"/>
    <n v="-9000"/>
    <x v="326"/>
    <m/>
  </r>
  <r>
    <x v="863"/>
    <x v="324"/>
    <x v="1"/>
    <x v="2"/>
    <n v="15"/>
    <x v="1"/>
    <x v="3"/>
    <x v="3"/>
    <s v="외식"/>
    <n v="1000"/>
    <n v="-1000"/>
    <x v="193"/>
    <m/>
  </r>
  <r>
    <x v="864"/>
    <x v="325"/>
    <x v="1"/>
    <x v="2"/>
    <n v="17"/>
    <x v="1"/>
    <x v="1"/>
    <x v="6"/>
    <s v="편의점"/>
    <n v="200"/>
    <n v="-200"/>
    <x v="324"/>
    <m/>
  </r>
  <r>
    <x v="865"/>
    <x v="325"/>
    <x v="1"/>
    <x v="2"/>
    <n v="17"/>
    <x v="1"/>
    <x v="1"/>
    <x v="14"/>
    <s v="옷"/>
    <n v="79610"/>
    <n v="-79610"/>
    <x v="154"/>
    <m/>
  </r>
  <r>
    <x v="866"/>
    <x v="326"/>
    <x v="1"/>
    <x v="2"/>
    <n v="18"/>
    <x v="1"/>
    <x v="3"/>
    <x v="3"/>
    <s v="외식"/>
    <n v="7000"/>
    <n v="-7000"/>
    <x v="198"/>
    <m/>
  </r>
  <r>
    <x v="867"/>
    <x v="326"/>
    <x v="1"/>
    <x v="2"/>
    <n v="18"/>
    <x v="1"/>
    <x v="3"/>
    <x v="8"/>
    <s v="헤어샵"/>
    <n v="15000"/>
    <n v="-15000"/>
    <x v="95"/>
    <m/>
  </r>
  <r>
    <x v="868"/>
    <x v="327"/>
    <x v="1"/>
    <x v="2"/>
    <n v="19"/>
    <x v="1"/>
    <x v="3"/>
    <x v="3"/>
    <s v="외식"/>
    <n v="4600"/>
    <n v="-4600"/>
    <x v="83"/>
    <m/>
  </r>
  <r>
    <x v="869"/>
    <x v="327"/>
    <x v="1"/>
    <x v="2"/>
    <n v="19"/>
    <x v="1"/>
    <x v="1"/>
    <x v="1"/>
    <s v="세차"/>
    <n v="11300"/>
    <n v="-11300"/>
    <x v="327"/>
    <s v="현금인출 수수료 1300"/>
  </r>
  <r>
    <x v="870"/>
    <x v="327"/>
    <x v="1"/>
    <x v="2"/>
    <n v="19"/>
    <x v="1"/>
    <x v="3"/>
    <x v="3"/>
    <s v="외식"/>
    <n v="6500"/>
    <n v="-6500"/>
    <x v="224"/>
    <m/>
  </r>
  <r>
    <x v="871"/>
    <x v="327"/>
    <x v="1"/>
    <x v="2"/>
    <n v="19"/>
    <x v="1"/>
    <x v="3"/>
    <x v="3"/>
    <s v="외식"/>
    <n v="1000"/>
    <n v="-1000"/>
    <x v="193"/>
    <m/>
  </r>
  <r>
    <x v="872"/>
    <x v="327"/>
    <x v="1"/>
    <x v="2"/>
    <n v="19"/>
    <x v="1"/>
    <x v="2"/>
    <x v="2"/>
    <s v="금융수입"/>
    <n v="-100000"/>
    <n v="100000"/>
    <x v="328"/>
    <m/>
  </r>
  <r>
    <x v="873"/>
    <x v="328"/>
    <x v="1"/>
    <x v="2"/>
    <n v="20"/>
    <x v="1"/>
    <x v="3"/>
    <x v="3"/>
    <s v="외식"/>
    <n v="6000"/>
    <n v="-6000"/>
    <x v="220"/>
    <m/>
  </r>
  <r>
    <x v="874"/>
    <x v="328"/>
    <x v="1"/>
    <x v="2"/>
    <n v="20"/>
    <x v="1"/>
    <x v="1"/>
    <x v="16"/>
    <s v="숙박비"/>
    <n v="15500"/>
    <n v="-15500"/>
    <x v="265"/>
    <s v="10.12 2000원 환급"/>
  </r>
  <r>
    <x v="875"/>
    <x v="328"/>
    <x v="1"/>
    <x v="2"/>
    <n v="20"/>
    <x v="1"/>
    <x v="1"/>
    <x v="5"/>
    <s v="디저트_빵"/>
    <n v="2000"/>
    <n v="-2000"/>
    <x v="329"/>
    <m/>
  </r>
  <r>
    <x v="876"/>
    <x v="328"/>
    <x v="1"/>
    <x v="2"/>
    <n v="20"/>
    <x v="1"/>
    <x v="3"/>
    <x v="3"/>
    <s v="외식"/>
    <n v="11500"/>
    <n v="-11500"/>
    <x v="330"/>
    <m/>
  </r>
  <r>
    <x v="877"/>
    <x v="328"/>
    <x v="1"/>
    <x v="2"/>
    <n v="20"/>
    <x v="1"/>
    <x v="1"/>
    <x v="5"/>
    <s v="디저트_빵"/>
    <n v="3000"/>
    <n v="-3000"/>
    <x v="331"/>
    <m/>
  </r>
  <r>
    <x v="878"/>
    <x v="328"/>
    <x v="1"/>
    <x v="2"/>
    <n v="20"/>
    <x v="1"/>
    <x v="1"/>
    <x v="15"/>
    <s v="책"/>
    <n v="3175"/>
    <n v="-3175"/>
    <x v="332"/>
    <m/>
  </r>
  <r>
    <x v="879"/>
    <x v="329"/>
    <x v="1"/>
    <x v="2"/>
    <n v="21"/>
    <x v="1"/>
    <x v="3"/>
    <x v="3"/>
    <s v="외식"/>
    <n v="8600"/>
    <n v="-8600"/>
    <x v="227"/>
    <m/>
  </r>
  <r>
    <x v="880"/>
    <x v="329"/>
    <x v="1"/>
    <x v="2"/>
    <n v="21"/>
    <x v="1"/>
    <x v="3"/>
    <x v="3"/>
    <s v="외식"/>
    <n v="16875"/>
    <n v="-16875"/>
    <x v="333"/>
    <m/>
  </r>
  <r>
    <x v="881"/>
    <x v="329"/>
    <x v="1"/>
    <x v="2"/>
    <n v="21"/>
    <x v="1"/>
    <x v="1"/>
    <x v="7"/>
    <s v="전동킥보드"/>
    <n v="2420"/>
    <n v="-2420"/>
    <x v="148"/>
    <m/>
  </r>
  <r>
    <x v="882"/>
    <x v="330"/>
    <x v="1"/>
    <x v="2"/>
    <n v="22"/>
    <x v="1"/>
    <x v="1"/>
    <x v="5"/>
    <s v="아이스크림_빙수"/>
    <n v="800"/>
    <n v="-800"/>
    <x v="334"/>
    <m/>
  </r>
  <r>
    <x v="883"/>
    <x v="330"/>
    <x v="1"/>
    <x v="2"/>
    <n v="22"/>
    <x v="1"/>
    <x v="3"/>
    <x v="3"/>
    <s v="외식"/>
    <n v="6200"/>
    <n v="-6200"/>
    <x v="215"/>
    <m/>
  </r>
  <r>
    <x v="884"/>
    <x v="330"/>
    <x v="1"/>
    <x v="2"/>
    <n v="22"/>
    <x v="1"/>
    <x v="1"/>
    <x v="16"/>
    <s v="숙박비"/>
    <n v="12500"/>
    <n v="-12500"/>
    <x v="265"/>
    <m/>
  </r>
  <r>
    <x v="885"/>
    <x v="330"/>
    <x v="1"/>
    <x v="2"/>
    <n v="22"/>
    <x v="1"/>
    <x v="3"/>
    <x v="3"/>
    <s v="외식"/>
    <n v="8000"/>
    <n v="-8000"/>
    <x v="335"/>
    <m/>
  </r>
  <r>
    <x v="886"/>
    <x v="331"/>
    <x v="1"/>
    <x v="2"/>
    <n v="23"/>
    <x v="1"/>
    <x v="0"/>
    <x v="0"/>
    <s v="내계좌이체"/>
    <n v="-100000"/>
    <n v="100000"/>
    <x v="137"/>
    <m/>
  </r>
  <r>
    <x v="887"/>
    <x v="331"/>
    <x v="1"/>
    <x v="2"/>
    <n v="23"/>
    <x v="6"/>
    <x v="0"/>
    <x v="0"/>
    <s v="내계좌이체"/>
    <n v="100000"/>
    <n v="-100000"/>
    <x v="78"/>
    <m/>
  </r>
  <r>
    <x v="888"/>
    <x v="331"/>
    <x v="1"/>
    <x v="2"/>
    <n v="23"/>
    <x v="1"/>
    <x v="1"/>
    <x v="12"/>
    <s v="취미"/>
    <n v="20150"/>
    <n v="-20150"/>
    <x v="122"/>
    <m/>
  </r>
  <r>
    <x v="889"/>
    <x v="331"/>
    <x v="1"/>
    <x v="2"/>
    <n v="23"/>
    <x v="1"/>
    <x v="1"/>
    <x v="3"/>
    <s v="외식"/>
    <n v="8900"/>
    <n v="-8900"/>
    <x v="90"/>
    <m/>
  </r>
  <r>
    <x v="890"/>
    <x v="331"/>
    <x v="1"/>
    <x v="2"/>
    <n v="23"/>
    <x v="1"/>
    <x v="1"/>
    <x v="3"/>
    <s v="외식"/>
    <n v="8900"/>
    <n v="-8900"/>
    <x v="13"/>
    <m/>
  </r>
  <r>
    <x v="891"/>
    <x v="331"/>
    <x v="1"/>
    <x v="2"/>
    <n v="23"/>
    <x v="1"/>
    <x v="1"/>
    <x v="5"/>
    <s v="디저트_빵"/>
    <n v="3000"/>
    <n v="-3000"/>
    <x v="336"/>
    <m/>
  </r>
  <r>
    <x v="892"/>
    <x v="331"/>
    <x v="1"/>
    <x v="2"/>
    <n v="23"/>
    <x v="1"/>
    <x v="1"/>
    <x v="13"/>
    <s v="주점"/>
    <n v="17250"/>
    <n v="-17250"/>
    <x v="337"/>
    <m/>
  </r>
  <r>
    <x v="893"/>
    <x v="331"/>
    <x v="1"/>
    <x v="2"/>
    <n v="23"/>
    <x v="6"/>
    <x v="0"/>
    <x v="0"/>
    <s v="이체"/>
    <n v="-72550"/>
    <n v="72550"/>
    <x v="338"/>
    <m/>
  </r>
  <r>
    <x v="894"/>
    <x v="331"/>
    <x v="1"/>
    <x v="2"/>
    <n v="23"/>
    <x v="1"/>
    <x v="1"/>
    <x v="12"/>
    <s v="기타"/>
    <n v="2000"/>
    <n v="-2000"/>
    <x v="235"/>
    <m/>
  </r>
  <r>
    <x v="895"/>
    <x v="332"/>
    <x v="1"/>
    <x v="2"/>
    <n v="25"/>
    <x v="1"/>
    <x v="3"/>
    <x v="3"/>
    <s v="외식"/>
    <n v="4500"/>
    <n v="-4500"/>
    <x v="220"/>
    <m/>
  </r>
  <r>
    <x v="896"/>
    <x v="333"/>
    <x v="1"/>
    <x v="2"/>
    <n v="26"/>
    <x v="1"/>
    <x v="3"/>
    <x v="3"/>
    <s v="외식"/>
    <n v="5000"/>
    <n v="-5000"/>
    <x v="339"/>
    <m/>
  </r>
  <r>
    <x v="897"/>
    <x v="333"/>
    <x v="1"/>
    <x v="2"/>
    <n v="26"/>
    <x v="1"/>
    <x v="3"/>
    <x v="3"/>
    <s v="외식"/>
    <n v="1000"/>
    <n v="-1000"/>
    <x v="193"/>
    <m/>
  </r>
  <r>
    <x v="898"/>
    <x v="333"/>
    <x v="1"/>
    <x v="2"/>
    <n v="26"/>
    <x v="1"/>
    <x v="1"/>
    <x v="5"/>
    <s v="커피_음료"/>
    <n v="3400"/>
    <n v="-3400"/>
    <x v="340"/>
    <m/>
  </r>
  <r>
    <x v="899"/>
    <x v="334"/>
    <x v="1"/>
    <x v="2"/>
    <n v="27"/>
    <x v="1"/>
    <x v="1"/>
    <x v="5"/>
    <s v="아이스크림_빙수"/>
    <n v="1800"/>
    <n v="-1800"/>
    <x v="334"/>
    <m/>
  </r>
  <r>
    <x v="900"/>
    <x v="334"/>
    <x v="1"/>
    <x v="2"/>
    <n v="27"/>
    <x v="1"/>
    <x v="3"/>
    <x v="3"/>
    <s v="외식"/>
    <n v="3900"/>
    <n v="-3900"/>
    <x v="257"/>
    <m/>
  </r>
  <r>
    <x v="901"/>
    <x v="334"/>
    <x v="1"/>
    <x v="2"/>
    <n v="27"/>
    <x v="1"/>
    <x v="3"/>
    <x v="3"/>
    <s v="외식"/>
    <n v="6000"/>
    <n v="-6000"/>
    <x v="310"/>
    <m/>
  </r>
  <r>
    <x v="902"/>
    <x v="335"/>
    <x v="1"/>
    <x v="2"/>
    <n v="28"/>
    <x v="6"/>
    <x v="0"/>
    <x v="0"/>
    <s v="이체"/>
    <n v="-200000"/>
    <n v="200000"/>
    <x v="58"/>
    <s v="보증금상환"/>
  </r>
  <r>
    <x v="903"/>
    <x v="335"/>
    <x v="1"/>
    <x v="2"/>
    <n v="28"/>
    <x v="6"/>
    <x v="1"/>
    <x v="6"/>
    <s v="전자제품"/>
    <n v="144350"/>
    <n v="-144350"/>
    <x v="341"/>
    <s v="보조모니터"/>
  </r>
  <r>
    <x v="904"/>
    <x v="336"/>
    <x v="1"/>
    <x v="2"/>
    <n v="29"/>
    <x v="1"/>
    <x v="2"/>
    <x v="2"/>
    <s v="금융수입"/>
    <n v="-2500"/>
    <n v="2500"/>
    <x v="85"/>
    <m/>
  </r>
  <r>
    <x v="905"/>
    <x v="336"/>
    <x v="1"/>
    <x v="2"/>
    <n v="29"/>
    <x v="1"/>
    <x v="0"/>
    <x v="0"/>
    <s v="이체"/>
    <n v="-100"/>
    <n v="100"/>
    <x v="58"/>
    <s v="KFC결제잔액"/>
  </r>
  <r>
    <x v="906"/>
    <x v="337"/>
    <x v="1"/>
    <x v="2"/>
    <n v="30"/>
    <x v="1"/>
    <x v="4"/>
    <x v="4"/>
    <s v="서비스구독"/>
    <n v="1528"/>
    <n v="-1528"/>
    <x v="84"/>
    <m/>
  </r>
  <r>
    <x v="907"/>
    <x v="338"/>
    <x v="1"/>
    <x v="3"/>
    <n v="1"/>
    <x v="1"/>
    <x v="5"/>
    <x v="9"/>
    <s v="용돈"/>
    <n v="-500000"/>
    <n v="500000"/>
    <x v="58"/>
    <s v="10월 생활비"/>
  </r>
  <r>
    <x v="908"/>
    <x v="339"/>
    <x v="1"/>
    <x v="3"/>
    <n v="2"/>
    <x v="1"/>
    <x v="3"/>
    <x v="3"/>
    <s v="외식"/>
    <n v="6000"/>
    <n v="-6000"/>
    <x v="83"/>
    <m/>
  </r>
  <r>
    <x v="909"/>
    <x v="339"/>
    <x v="1"/>
    <x v="3"/>
    <n v="2"/>
    <x v="6"/>
    <x v="2"/>
    <x v="2"/>
    <s v="금융수입"/>
    <n v="-1950"/>
    <n v="1950"/>
    <x v="163"/>
    <m/>
  </r>
  <r>
    <x v="910"/>
    <x v="339"/>
    <x v="1"/>
    <x v="3"/>
    <n v="2"/>
    <x v="1"/>
    <x v="3"/>
    <x v="3"/>
    <s v="외식"/>
    <n v="7000"/>
    <n v="-7000"/>
    <x v="292"/>
    <m/>
  </r>
  <r>
    <x v="911"/>
    <x v="340"/>
    <x v="1"/>
    <x v="3"/>
    <n v="3"/>
    <x v="1"/>
    <x v="3"/>
    <x v="3"/>
    <s v="외식"/>
    <n v="12900"/>
    <n v="-12900"/>
    <x v="307"/>
    <m/>
  </r>
  <r>
    <x v="912"/>
    <x v="340"/>
    <x v="1"/>
    <x v="3"/>
    <n v="3"/>
    <x v="1"/>
    <x v="1"/>
    <x v="5"/>
    <s v="커피_음료"/>
    <n v="1800"/>
    <n v="-1800"/>
    <x v="106"/>
    <m/>
  </r>
  <r>
    <x v="913"/>
    <x v="340"/>
    <x v="1"/>
    <x v="3"/>
    <n v="3"/>
    <x v="1"/>
    <x v="3"/>
    <x v="3"/>
    <s v="외식"/>
    <n v="5200"/>
    <n v="-5200"/>
    <x v="215"/>
    <m/>
  </r>
  <r>
    <x v="914"/>
    <x v="341"/>
    <x v="1"/>
    <x v="3"/>
    <n v="4"/>
    <x v="1"/>
    <x v="3"/>
    <x v="3"/>
    <s v="외식"/>
    <n v="3900"/>
    <n v="-3900"/>
    <x v="257"/>
    <m/>
  </r>
  <r>
    <x v="915"/>
    <x v="341"/>
    <x v="1"/>
    <x v="3"/>
    <n v="4"/>
    <x v="1"/>
    <x v="3"/>
    <x v="3"/>
    <s v="외식"/>
    <n v="7000"/>
    <n v="-7000"/>
    <x v="224"/>
    <m/>
  </r>
  <r>
    <x v="916"/>
    <x v="342"/>
    <x v="1"/>
    <x v="3"/>
    <n v="5"/>
    <x v="1"/>
    <x v="3"/>
    <x v="3"/>
    <s v="외식"/>
    <n v="7000"/>
    <n v="-7000"/>
    <x v="224"/>
    <m/>
  </r>
  <r>
    <x v="917"/>
    <x v="342"/>
    <x v="1"/>
    <x v="3"/>
    <n v="5"/>
    <x v="1"/>
    <x v="3"/>
    <x v="3"/>
    <s v="외식"/>
    <n v="1000"/>
    <n v="-1000"/>
    <x v="193"/>
    <m/>
  </r>
  <r>
    <x v="918"/>
    <x v="342"/>
    <x v="1"/>
    <x v="3"/>
    <n v="5"/>
    <x v="1"/>
    <x v="1"/>
    <x v="10"/>
    <s v="선물"/>
    <n v="4500"/>
    <n v="-4500"/>
    <x v="17"/>
    <s v="송준규"/>
  </r>
  <r>
    <x v="919"/>
    <x v="343"/>
    <x v="1"/>
    <x v="3"/>
    <n v="6"/>
    <x v="1"/>
    <x v="1"/>
    <x v="7"/>
    <s v="대중교통"/>
    <n v="16520"/>
    <n v="-16520"/>
    <x v="33"/>
    <m/>
  </r>
  <r>
    <x v="920"/>
    <x v="343"/>
    <x v="1"/>
    <x v="3"/>
    <n v="6"/>
    <x v="1"/>
    <x v="1"/>
    <x v="3"/>
    <s v="외식"/>
    <n v="39966"/>
    <n v="-39966"/>
    <x v="342"/>
    <s v="호준생일"/>
  </r>
  <r>
    <x v="921"/>
    <x v="343"/>
    <x v="1"/>
    <x v="3"/>
    <n v="6"/>
    <x v="1"/>
    <x v="3"/>
    <x v="3"/>
    <s v="외식"/>
    <n v="7500"/>
    <n v="-7500"/>
    <x v="207"/>
    <m/>
  </r>
  <r>
    <x v="922"/>
    <x v="343"/>
    <x v="1"/>
    <x v="3"/>
    <n v="6"/>
    <x v="1"/>
    <x v="1"/>
    <x v="6"/>
    <s v="편의점"/>
    <n v="1500"/>
    <n v="-1500"/>
    <x v="193"/>
    <s v="호올스"/>
  </r>
  <r>
    <x v="923"/>
    <x v="343"/>
    <x v="1"/>
    <x v="3"/>
    <n v="6"/>
    <x v="1"/>
    <x v="1"/>
    <x v="5"/>
    <s v="커피_음료"/>
    <n v="1500"/>
    <n v="-1500"/>
    <x v="106"/>
    <m/>
  </r>
  <r>
    <x v="924"/>
    <x v="343"/>
    <x v="1"/>
    <x v="3"/>
    <n v="6"/>
    <x v="1"/>
    <x v="1"/>
    <x v="12"/>
    <s v="게임"/>
    <n v="3000"/>
    <n v="-3000"/>
    <x v="343"/>
    <m/>
  </r>
  <r>
    <x v="925"/>
    <x v="344"/>
    <x v="1"/>
    <x v="3"/>
    <n v="7"/>
    <x v="1"/>
    <x v="1"/>
    <x v="1"/>
    <s v="과태료"/>
    <n v="32000"/>
    <n v="-32000"/>
    <x v="344"/>
    <m/>
  </r>
  <r>
    <x v="926"/>
    <x v="344"/>
    <x v="1"/>
    <x v="3"/>
    <n v="7"/>
    <x v="1"/>
    <x v="3"/>
    <x v="3"/>
    <s v="외식"/>
    <n v="12000"/>
    <n v="-12000"/>
    <x v="330"/>
    <m/>
  </r>
  <r>
    <x v="927"/>
    <x v="345"/>
    <x v="1"/>
    <x v="3"/>
    <n v="8"/>
    <x v="1"/>
    <x v="3"/>
    <x v="3"/>
    <s v="외식"/>
    <n v="6000"/>
    <n v="-6000"/>
    <x v="310"/>
    <m/>
  </r>
  <r>
    <x v="928"/>
    <x v="346"/>
    <x v="1"/>
    <x v="3"/>
    <n v="9"/>
    <x v="1"/>
    <x v="1"/>
    <x v="10"/>
    <s v="선물"/>
    <n v="2000"/>
    <n v="-2000"/>
    <x v="345"/>
    <m/>
  </r>
  <r>
    <x v="929"/>
    <x v="347"/>
    <x v="1"/>
    <x v="3"/>
    <n v="10"/>
    <x v="1"/>
    <x v="3"/>
    <x v="1"/>
    <s v="주유"/>
    <n v="60000"/>
    <n v="-60000"/>
    <x v="242"/>
    <m/>
  </r>
  <r>
    <x v="930"/>
    <x v="347"/>
    <x v="1"/>
    <x v="3"/>
    <n v="10"/>
    <x v="1"/>
    <x v="3"/>
    <x v="3"/>
    <s v="외식"/>
    <n v="11000"/>
    <n v="-11000"/>
    <x v="232"/>
    <m/>
  </r>
  <r>
    <x v="931"/>
    <x v="347"/>
    <x v="1"/>
    <x v="3"/>
    <n v="10"/>
    <x v="1"/>
    <x v="3"/>
    <x v="3"/>
    <s v="외식"/>
    <n v="5500"/>
    <n v="-5500"/>
    <x v="220"/>
    <m/>
  </r>
  <r>
    <x v="932"/>
    <x v="347"/>
    <x v="1"/>
    <x v="3"/>
    <n v="10"/>
    <x v="1"/>
    <x v="3"/>
    <x v="3"/>
    <s v="외식"/>
    <n v="1000"/>
    <n v="-1000"/>
    <x v="193"/>
    <m/>
  </r>
  <r>
    <x v="933"/>
    <x v="347"/>
    <x v="1"/>
    <x v="3"/>
    <n v="10"/>
    <x v="1"/>
    <x v="2"/>
    <x v="2"/>
    <s v="기타수입"/>
    <n v="-10000"/>
    <n v="10000"/>
    <x v="15"/>
    <m/>
  </r>
  <r>
    <x v="934"/>
    <x v="347"/>
    <x v="1"/>
    <x v="3"/>
    <n v="10"/>
    <x v="1"/>
    <x v="1"/>
    <x v="3"/>
    <s v="커피_음료"/>
    <n v="4750"/>
    <n v="-4750"/>
    <x v="211"/>
    <m/>
  </r>
  <r>
    <x v="935"/>
    <x v="348"/>
    <x v="1"/>
    <x v="3"/>
    <n v="11"/>
    <x v="1"/>
    <x v="1"/>
    <x v="5"/>
    <s v="아이스크림_빙수"/>
    <n v="1600"/>
    <n v="-1600"/>
    <x v="334"/>
    <m/>
  </r>
  <r>
    <x v="936"/>
    <x v="348"/>
    <x v="1"/>
    <x v="3"/>
    <n v="11"/>
    <x v="1"/>
    <x v="3"/>
    <x v="3"/>
    <s v="외식"/>
    <n v="8000"/>
    <n v="-8000"/>
    <x v="236"/>
    <m/>
  </r>
  <r>
    <x v="937"/>
    <x v="348"/>
    <x v="1"/>
    <x v="3"/>
    <n v="11"/>
    <x v="1"/>
    <x v="3"/>
    <x v="6"/>
    <s v="편의점"/>
    <n v="2900"/>
    <n v="-2900"/>
    <x v="206"/>
    <m/>
  </r>
  <r>
    <x v="938"/>
    <x v="349"/>
    <x v="1"/>
    <x v="3"/>
    <n v="12"/>
    <x v="1"/>
    <x v="3"/>
    <x v="3"/>
    <s v="외식"/>
    <n v="7000"/>
    <n v="-7000"/>
    <x v="230"/>
    <m/>
  </r>
  <r>
    <x v="939"/>
    <x v="349"/>
    <x v="1"/>
    <x v="3"/>
    <n v="12"/>
    <x v="1"/>
    <x v="3"/>
    <x v="3"/>
    <s v="외식"/>
    <n v="1000"/>
    <n v="-1000"/>
    <x v="193"/>
    <m/>
  </r>
  <r>
    <x v="940"/>
    <x v="349"/>
    <x v="1"/>
    <x v="3"/>
    <n v="12"/>
    <x v="1"/>
    <x v="1"/>
    <x v="5"/>
    <s v="커피_음료"/>
    <n v="3500"/>
    <n v="-3500"/>
    <x v="197"/>
    <m/>
  </r>
  <r>
    <x v="941"/>
    <x v="349"/>
    <x v="1"/>
    <x v="3"/>
    <n v="12"/>
    <x v="1"/>
    <x v="3"/>
    <x v="3"/>
    <s v="외식"/>
    <n v="7500"/>
    <n v="-7500"/>
    <x v="310"/>
    <m/>
  </r>
  <r>
    <x v="942"/>
    <x v="350"/>
    <x v="1"/>
    <x v="3"/>
    <n v="13"/>
    <x v="1"/>
    <x v="3"/>
    <x v="3"/>
    <s v="외식"/>
    <n v="6300"/>
    <n v="-6300"/>
    <x v="83"/>
    <m/>
  </r>
  <r>
    <x v="943"/>
    <x v="350"/>
    <x v="1"/>
    <x v="3"/>
    <n v="13"/>
    <x v="1"/>
    <x v="3"/>
    <x v="3"/>
    <s v="외식"/>
    <n v="6500"/>
    <n v="-6500"/>
    <x v="224"/>
    <m/>
  </r>
  <r>
    <x v="944"/>
    <x v="350"/>
    <x v="1"/>
    <x v="3"/>
    <n v="13"/>
    <x v="1"/>
    <x v="1"/>
    <x v="5"/>
    <s v="커피_음료"/>
    <n v="6500"/>
    <n v="-6500"/>
    <x v="106"/>
    <m/>
  </r>
  <r>
    <x v="945"/>
    <x v="351"/>
    <x v="1"/>
    <x v="3"/>
    <n v="14"/>
    <x v="1"/>
    <x v="3"/>
    <x v="3"/>
    <s v="외식"/>
    <n v="10000"/>
    <n v="-10000"/>
    <x v="346"/>
    <m/>
  </r>
  <r>
    <x v="946"/>
    <x v="351"/>
    <x v="1"/>
    <x v="3"/>
    <n v="14"/>
    <x v="1"/>
    <x v="3"/>
    <x v="3"/>
    <s v="외식"/>
    <n v="5500"/>
    <n v="-5500"/>
    <x v="198"/>
    <m/>
  </r>
  <r>
    <x v="947"/>
    <x v="352"/>
    <x v="1"/>
    <x v="3"/>
    <n v="16"/>
    <x v="1"/>
    <x v="3"/>
    <x v="8"/>
    <s v="헤어샵"/>
    <n v="15000"/>
    <n v="-15000"/>
    <x v="95"/>
    <m/>
  </r>
  <r>
    <x v="948"/>
    <x v="352"/>
    <x v="1"/>
    <x v="3"/>
    <n v="16"/>
    <x v="1"/>
    <x v="1"/>
    <x v="1"/>
    <s v="주차"/>
    <n v="450"/>
    <n v="-450"/>
    <x v="259"/>
    <m/>
  </r>
  <r>
    <x v="949"/>
    <x v="352"/>
    <x v="1"/>
    <x v="3"/>
    <n v="16"/>
    <x v="1"/>
    <x v="3"/>
    <x v="3"/>
    <s v="외식"/>
    <n v="9500"/>
    <n v="-9500"/>
    <x v="225"/>
    <m/>
  </r>
  <r>
    <x v="950"/>
    <x v="353"/>
    <x v="1"/>
    <x v="3"/>
    <n v="17"/>
    <x v="1"/>
    <x v="3"/>
    <x v="3"/>
    <s v="외식"/>
    <n v="1000"/>
    <n v="-1000"/>
    <x v="193"/>
    <m/>
  </r>
  <r>
    <x v="951"/>
    <x v="353"/>
    <x v="1"/>
    <x v="3"/>
    <n v="17"/>
    <x v="1"/>
    <x v="3"/>
    <x v="3"/>
    <s v="외식"/>
    <n v="8000"/>
    <n v="-8000"/>
    <x v="233"/>
    <m/>
  </r>
  <r>
    <x v="952"/>
    <x v="353"/>
    <x v="1"/>
    <x v="3"/>
    <n v="17"/>
    <x v="1"/>
    <x v="2"/>
    <x v="2"/>
    <s v="기타수입"/>
    <n v="-35900"/>
    <n v="35900"/>
    <x v="86"/>
    <s v="서피스 키보드"/>
  </r>
  <r>
    <x v="953"/>
    <x v="353"/>
    <x v="1"/>
    <x v="3"/>
    <n v="17"/>
    <x v="1"/>
    <x v="3"/>
    <x v="3"/>
    <s v="외식"/>
    <n v="8500"/>
    <n v="-8500"/>
    <x v="254"/>
    <m/>
  </r>
  <r>
    <x v="954"/>
    <x v="354"/>
    <x v="1"/>
    <x v="3"/>
    <n v="18"/>
    <x v="1"/>
    <x v="3"/>
    <x v="3"/>
    <s v="외식"/>
    <n v="5500"/>
    <n v="-5500"/>
    <x v="198"/>
    <m/>
  </r>
  <r>
    <x v="955"/>
    <x v="354"/>
    <x v="1"/>
    <x v="3"/>
    <n v="18"/>
    <x v="1"/>
    <x v="3"/>
    <x v="3"/>
    <s v="외식"/>
    <n v="7500"/>
    <n v="-7500"/>
    <x v="292"/>
    <m/>
  </r>
  <r>
    <x v="956"/>
    <x v="354"/>
    <x v="1"/>
    <x v="3"/>
    <n v="18"/>
    <x v="1"/>
    <x v="1"/>
    <x v="5"/>
    <s v="커피_음료"/>
    <n v="4000"/>
    <n v="-4000"/>
    <x v="197"/>
    <m/>
  </r>
  <r>
    <x v="957"/>
    <x v="355"/>
    <x v="1"/>
    <x v="3"/>
    <n v="19"/>
    <x v="1"/>
    <x v="3"/>
    <x v="3"/>
    <s v="외식"/>
    <n v="1000"/>
    <n v="-1000"/>
    <x v="193"/>
    <m/>
  </r>
  <r>
    <x v="958"/>
    <x v="355"/>
    <x v="1"/>
    <x v="3"/>
    <n v="19"/>
    <x v="1"/>
    <x v="3"/>
    <x v="3"/>
    <s v="외식"/>
    <n v="8500"/>
    <n v="-8500"/>
    <x v="347"/>
    <m/>
  </r>
  <r>
    <x v="959"/>
    <x v="355"/>
    <x v="1"/>
    <x v="3"/>
    <n v="19"/>
    <x v="1"/>
    <x v="3"/>
    <x v="6"/>
    <s v="편의점"/>
    <n v="5200"/>
    <n v="-5200"/>
    <x v="206"/>
    <m/>
  </r>
  <r>
    <x v="960"/>
    <x v="356"/>
    <x v="1"/>
    <x v="3"/>
    <n v="20"/>
    <x v="1"/>
    <x v="3"/>
    <x v="3"/>
    <s v="외식"/>
    <n v="4500"/>
    <n v="-4500"/>
    <x v="220"/>
    <m/>
  </r>
  <r>
    <x v="961"/>
    <x v="356"/>
    <x v="1"/>
    <x v="3"/>
    <n v="20"/>
    <x v="1"/>
    <x v="3"/>
    <x v="3"/>
    <s v="외식"/>
    <n v="6000"/>
    <n v="-6000"/>
    <x v="193"/>
    <m/>
  </r>
  <r>
    <x v="962"/>
    <x v="357"/>
    <x v="1"/>
    <x v="3"/>
    <n v="21"/>
    <x v="1"/>
    <x v="3"/>
    <x v="3"/>
    <s v="외식"/>
    <n v="11500"/>
    <n v="-11500"/>
    <x v="252"/>
    <m/>
  </r>
  <r>
    <x v="963"/>
    <x v="357"/>
    <x v="1"/>
    <x v="3"/>
    <n v="21"/>
    <x v="1"/>
    <x v="1"/>
    <x v="5"/>
    <s v="커피_음료"/>
    <n v="8000"/>
    <n v="-8000"/>
    <x v="217"/>
    <m/>
  </r>
  <r>
    <x v="964"/>
    <x v="357"/>
    <x v="1"/>
    <x v="3"/>
    <n v="21"/>
    <x v="1"/>
    <x v="3"/>
    <x v="1"/>
    <s v="주유"/>
    <n v="60000"/>
    <n v="-60000"/>
    <x v="348"/>
    <m/>
  </r>
  <r>
    <x v="965"/>
    <x v="357"/>
    <x v="1"/>
    <x v="3"/>
    <n v="21"/>
    <x v="1"/>
    <x v="1"/>
    <x v="10"/>
    <s v="선물"/>
    <n v="11200"/>
    <n v="-11200"/>
    <x v="17"/>
    <m/>
  </r>
  <r>
    <x v="966"/>
    <x v="358"/>
    <x v="1"/>
    <x v="3"/>
    <n v="22"/>
    <x v="1"/>
    <x v="3"/>
    <x v="3"/>
    <s v="외식"/>
    <n v="8000"/>
    <n v="-8000"/>
    <x v="349"/>
    <m/>
  </r>
  <r>
    <x v="967"/>
    <x v="358"/>
    <x v="1"/>
    <x v="3"/>
    <n v="22"/>
    <x v="1"/>
    <x v="3"/>
    <x v="3"/>
    <s v="외식"/>
    <n v="6500"/>
    <n v="-6500"/>
    <x v="292"/>
    <m/>
  </r>
  <r>
    <x v="968"/>
    <x v="359"/>
    <x v="1"/>
    <x v="3"/>
    <n v="23"/>
    <x v="1"/>
    <x v="3"/>
    <x v="3"/>
    <s v="포장"/>
    <n v="4500"/>
    <n v="-4500"/>
    <x v="83"/>
    <m/>
  </r>
  <r>
    <x v="969"/>
    <x v="359"/>
    <x v="1"/>
    <x v="3"/>
    <n v="23"/>
    <x v="1"/>
    <x v="3"/>
    <x v="3"/>
    <s v="외식"/>
    <n v="10500"/>
    <n v="-10500"/>
    <x v="307"/>
    <m/>
  </r>
  <r>
    <x v="970"/>
    <x v="359"/>
    <x v="1"/>
    <x v="3"/>
    <n v="23"/>
    <x v="1"/>
    <x v="1"/>
    <x v="17"/>
    <s v="약국"/>
    <n v="3000"/>
    <n v="-3000"/>
    <x v="196"/>
    <m/>
  </r>
  <r>
    <x v="971"/>
    <x v="360"/>
    <x v="1"/>
    <x v="3"/>
    <n v="24"/>
    <x v="1"/>
    <x v="3"/>
    <x v="3"/>
    <s v="외식"/>
    <n v="6000"/>
    <n v="-6000"/>
    <x v="257"/>
    <m/>
  </r>
  <r>
    <x v="972"/>
    <x v="360"/>
    <x v="1"/>
    <x v="3"/>
    <n v="24"/>
    <x v="1"/>
    <x v="3"/>
    <x v="3"/>
    <s v="외식"/>
    <n v="1000"/>
    <n v="-1000"/>
    <x v="193"/>
    <m/>
  </r>
  <r>
    <x v="973"/>
    <x v="360"/>
    <x v="1"/>
    <x v="3"/>
    <n v="24"/>
    <x v="1"/>
    <x v="3"/>
    <x v="3"/>
    <s v="외식"/>
    <n v="6000"/>
    <n v="-6000"/>
    <x v="310"/>
    <m/>
  </r>
  <r>
    <x v="974"/>
    <x v="361"/>
    <x v="1"/>
    <x v="3"/>
    <n v="25"/>
    <x v="1"/>
    <x v="3"/>
    <x v="3"/>
    <s v="외식"/>
    <n v="6000"/>
    <n v="-6000"/>
    <x v="193"/>
    <m/>
  </r>
  <r>
    <x v="975"/>
    <x v="361"/>
    <x v="1"/>
    <x v="3"/>
    <n v="25"/>
    <x v="1"/>
    <x v="3"/>
    <x v="3"/>
    <s v="외식"/>
    <n v="6000"/>
    <n v="-6000"/>
    <x v="193"/>
    <m/>
  </r>
  <r>
    <x v="976"/>
    <x v="362"/>
    <x v="1"/>
    <x v="3"/>
    <n v="26"/>
    <x v="1"/>
    <x v="3"/>
    <x v="3"/>
    <s v="외식"/>
    <n v="7400"/>
    <n v="-7400"/>
    <x v="261"/>
    <m/>
  </r>
  <r>
    <x v="977"/>
    <x v="362"/>
    <x v="1"/>
    <x v="3"/>
    <n v="26"/>
    <x v="1"/>
    <x v="3"/>
    <x v="3"/>
    <s v="외식"/>
    <n v="10500"/>
    <n v="-10500"/>
    <x v="254"/>
    <m/>
  </r>
  <r>
    <x v="978"/>
    <x v="363"/>
    <x v="1"/>
    <x v="3"/>
    <n v="27"/>
    <x v="1"/>
    <x v="3"/>
    <x v="3"/>
    <s v="외식"/>
    <n v="8000"/>
    <n v="-8000"/>
    <x v="233"/>
    <m/>
  </r>
  <r>
    <x v="979"/>
    <x v="364"/>
    <x v="1"/>
    <x v="3"/>
    <n v="28"/>
    <x v="1"/>
    <x v="3"/>
    <x v="1"/>
    <s v="주유"/>
    <n v="50000"/>
    <n v="-50000"/>
    <x v="350"/>
    <m/>
  </r>
  <r>
    <x v="980"/>
    <x v="364"/>
    <x v="1"/>
    <x v="3"/>
    <n v="28"/>
    <x v="1"/>
    <x v="1"/>
    <x v="5"/>
    <s v="디저트_빵"/>
    <n v="5000"/>
    <n v="-5000"/>
    <x v="351"/>
    <m/>
  </r>
  <r>
    <x v="981"/>
    <x v="364"/>
    <x v="1"/>
    <x v="3"/>
    <n v="28"/>
    <x v="1"/>
    <x v="1"/>
    <x v="16"/>
    <s v="숙박비"/>
    <n v="22000"/>
    <n v="-22000"/>
    <x v="265"/>
    <m/>
  </r>
  <r>
    <x v="982"/>
    <x v="364"/>
    <x v="1"/>
    <x v="3"/>
    <n v="28"/>
    <x v="1"/>
    <x v="1"/>
    <x v="6"/>
    <s v="마트"/>
    <n v="13900"/>
    <n v="-13900"/>
    <x v="263"/>
    <m/>
  </r>
  <r>
    <x v="983"/>
    <x v="364"/>
    <x v="1"/>
    <x v="3"/>
    <n v="28"/>
    <x v="1"/>
    <x v="0"/>
    <x v="0"/>
    <s v="내계좌이체"/>
    <n v="-200000"/>
    <n v="200000"/>
    <x v="338"/>
    <m/>
  </r>
  <r>
    <x v="984"/>
    <x v="364"/>
    <x v="1"/>
    <x v="3"/>
    <n v="28"/>
    <x v="1"/>
    <x v="1"/>
    <x v="3"/>
    <s v="외식"/>
    <n v="13500"/>
    <n v="-13500"/>
    <x v="352"/>
    <m/>
  </r>
  <r>
    <x v="985"/>
    <x v="365"/>
    <x v="1"/>
    <x v="3"/>
    <n v="30"/>
    <x v="1"/>
    <x v="3"/>
    <x v="3"/>
    <s v="외식"/>
    <n v="6900"/>
    <n v="-6900"/>
    <x v="194"/>
    <m/>
  </r>
  <r>
    <x v="986"/>
    <x v="365"/>
    <x v="1"/>
    <x v="3"/>
    <n v="30"/>
    <x v="1"/>
    <x v="1"/>
    <x v="12"/>
    <s v="테마파크"/>
    <n v="27500"/>
    <n v="-27500"/>
    <x v="353"/>
    <m/>
  </r>
  <r>
    <x v="987"/>
    <x v="365"/>
    <x v="1"/>
    <x v="3"/>
    <n v="30"/>
    <x v="1"/>
    <x v="1"/>
    <x v="12"/>
    <s v="테마파크"/>
    <n v="15150"/>
    <n v="-15150"/>
    <x v="353"/>
    <m/>
  </r>
  <r>
    <x v="988"/>
    <x v="365"/>
    <x v="1"/>
    <x v="3"/>
    <n v="30"/>
    <x v="1"/>
    <x v="1"/>
    <x v="1"/>
    <s v="주차"/>
    <n v="3000"/>
    <n v="-3000"/>
    <x v="354"/>
    <m/>
  </r>
  <r>
    <x v="989"/>
    <x v="365"/>
    <x v="1"/>
    <x v="3"/>
    <n v="30"/>
    <x v="1"/>
    <x v="1"/>
    <x v="6"/>
    <s v="편의점"/>
    <n v="1800"/>
    <n v="-1800"/>
    <x v="222"/>
    <m/>
  </r>
  <r>
    <x v="990"/>
    <x v="365"/>
    <x v="1"/>
    <x v="3"/>
    <n v="30"/>
    <x v="1"/>
    <x v="4"/>
    <x v="4"/>
    <s v="서비스구독"/>
    <n v="1528"/>
    <n v="-1528"/>
    <x v="84"/>
    <m/>
  </r>
  <r>
    <x v="991"/>
    <x v="366"/>
    <x v="1"/>
    <x v="3"/>
    <n v="31"/>
    <x v="1"/>
    <x v="1"/>
    <x v="6"/>
    <s v="편의점"/>
    <n v="1500"/>
    <n v="-1500"/>
    <x v="10"/>
    <s v="김규빈 이체"/>
  </r>
  <r>
    <x v="992"/>
    <x v="366"/>
    <x v="1"/>
    <x v="3"/>
    <n v="31"/>
    <x v="1"/>
    <x v="1"/>
    <x v="12"/>
    <s v="기타"/>
    <n v="2760"/>
    <n v="-2760"/>
    <x v="355"/>
    <m/>
  </r>
  <r>
    <x v="993"/>
    <x v="366"/>
    <x v="1"/>
    <x v="3"/>
    <n v="31"/>
    <x v="1"/>
    <x v="3"/>
    <x v="3"/>
    <s v="외식"/>
    <n v="6500"/>
    <n v="-6500"/>
    <x v="224"/>
    <m/>
  </r>
  <r>
    <x v="994"/>
    <x v="366"/>
    <x v="1"/>
    <x v="3"/>
    <n v="31"/>
    <x v="1"/>
    <x v="1"/>
    <x v="13"/>
    <s v="주점"/>
    <n v="18136"/>
    <n v="-18136"/>
    <x v="356"/>
    <m/>
  </r>
  <r>
    <x v="995"/>
    <x v="366"/>
    <x v="1"/>
    <x v="3"/>
    <n v="31"/>
    <x v="1"/>
    <x v="1"/>
    <x v="5"/>
    <s v="디저트_빵"/>
    <n v="4625"/>
    <n v="-4625"/>
    <x v="211"/>
    <s v="이효비 이체"/>
  </r>
  <r>
    <x v="996"/>
    <x v="366"/>
    <x v="1"/>
    <x v="3"/>
    <n v="31"/>
    <x v="1"/>
    <x v="1"/>
    <x v="12"/>
    <s v="기타"/>
    <n v="5000"/>
    <n v="-5000"/>
    <x v="357"/>
    <m/>
  </r>
  <r>
    <x v="997"/>
    <x v="367"/>
    <x v="1"/>
    <x v="4"/>
    <n v="1"/>
    <x v="1"/>
    <x v="5"/>
    <x v="9"/>
    <s v="용돈"/>
    <n v="-500000"/>
    <n v="500000"/>
    <x v="58"/>
    <s v="11월 용돈"/>
  </r>
  <r>
    <x v="998"/>
    <x v="367"/>
    <x v="1"/>
    <x v="4"/>
    <n v="1"/>
    <x v="1"/>
    <x v="3"/>
    <x v="3"/>
    <s v="외식"/>
    <n v="5000"/>
    <n v="-5000"/>
    <x v="193"/>
    <m/>
  </r>
  <r>
    <x v="999"/>
    <x v="367"/>
    <x v="1"/>
    <x v="4"/>
    <n v="1"/>
    <x v="1"/>
    <x v="3"/>
    <x v="3"/>
    <s v="외식"/>
    <n v="9000"/>
    <n v="-9000"/>
    <x v="254"/>
    <m/>
  </r>
  <r>
    <x v="1000"/>
    <x v="368"/>
    <x v="1"/>
    <x v="4"/>
    <n v="2"/>
    <x v="1"/>
    <x v="3"/>
    <x v="3"/>
    <s v="외식"/>
    <n v="8500"/>
    <n v="-8500"/>
    <x v="214"/>
    <m/>
  </r>
  <r>
    <x v="1001"/>
    <x v="369"/>
    <x v="1"/>
    <x v="4"/>
    <n v="3"/>
    <x v="1"/>
    <x v="1"/>
    <x v="7"/>
    <s v="대중교통"/>
    <n v="6360"/>
    <n v="-6360"/>
    <x v="33"/>
    <m/>
  </r>
  <r>
    <x v="1002"/>
    <x v="369"/>
    <x v="1"/>
    <x v="4"/>
    <n v="3"/>
    <x v="1"/>
    <x v="3"/>
    <x v="3"/>
    <s v="외식"/>
    <n v="10500"/>
    <n v="-10500"/>
    <x v="221"/>
    <m/>
  </r>
  <r>
    <x v="1003"/>
    <x v="369"/>
    <x v="1"/>
    <x v="4"/>
    <n v="3"/>
    <x v="1"/>
    <x v="3"/>
    <x v="3"/>
    <s v="외식"/>
    <n v="5500"/>
    <n v="-5500"/>
    <x v="198"/>
    <m/>
  </r>
  <r>
    <x v="1004"/>
    <x v="370"/>
    <x v="1"/>
    <x v="4"/>
    <n v="6"/>
    <x v="1"/>
    <x v="3"/>
    <x v="3"/>
    <s v="외식"/>
    <n v="7500"/>
    <n v="-7500"/>
    <x v="207"/>
    <m/>
  </r>
  <r>
    <x v="1005"/>
    <x v="370"/>
    <x v="1"/>
    <x v="4"/>
    <n v="6"/>
    <x v="1"/>
    <x v="1"/>
    <x v="5"/>
    <s v="커피_음료"/>
    <n v="2800"/>
    <n v="-2800"/>
    <x v="193"/>
    <s v="숭마 카페"/>
  </r>
  <r>
    <x v="1006"/>
    <x v="371"/>
    <x v="1"/>
    <x v="4"/>
    <n v="7"/>
    <x v="1"/>
    <x v="3"/>
    <x v="3"/>
    <s v="외식"/>
    <n v="4500"/>
    <n v="-4500"/>
    <x v="339"/>
    <m/>
  </r>
  <r>
    <x v="1007"/>
    <x v="371"/>
    <x v="1"/>
    <x v="4"/>
    <n v="7"/>
    <x v="1"/>
    <x v="3"/>
    <x v="3"/>
    <s v="외식"/>
    <n v="9900"/>
    <n v="-9900"/>
    <x v="307"/>
    <m/>
  </r>
  <r>
    <x v="1008"/>
    <x v="371"/>
    <x v="1"/>
    <x v="4"/>
    <n v="7"/>
    <x v="1"/>
    <x v="2"/>
    <x v="2"/>
    <s v="기타수입"/>
    <n v="-10000"/>
    <n v="10000"/>
    <x v="15"/>
    <m/>
  </r>
  <r>
    <x v="1009"/>
    <x v="372"/>
    <x v="1"/>
    <x v="4"/>
    <n v="8"/>
    <x v="1"/>
    <x v="0"/>
    <x v="0"/>
    <s v="내계좌이체"/>
    <n v="-187"/>
    <n v="187"/>
    <x v="358"/>
    <s v="우리은행 잔액"/>
  </r>
  <r>
    <x v="1010"/>
    <x v="372"/>
    <x v="1"/>
    <x v="4"/>
    <n v="8"/>
    <x v="1"/>
    <x v="3"/>
    <x v="1"/>
    <s v="주유"/>
    <n v="66000"/>
    <n v="-66000"/>
    <x v="242"/>
    <m/>
  </r>
  <r>
    <x v="1011"/>
    <x v="372"/>
    <x v="1"/>
    <x v="4"/>
    <n v="8"/>
    <x v="1"/>
    <x v="3"/>
    <x v="3"/>
    <s v="외식"/>
    <n v="9000"/>
    <n v="-9000"/>
    <x v="232"/>
    <m/>
  </r>
  <r>
    <x v="1012"/>
    <x v="372"/>
    <x v="1"/>
    <x v="4"/>
    <n v="8"/>
    <x v="1"/>
    <x v="3"/>
    <x v="3"/>
    <s v="외식"/>
    <n v="5000"/>
    <n v="-5000"/>
    <x v="193"/>
    <m/>
  </r>
  <r>
    <x v="1013"/>
    <x v="373"/>
    <x v="1"/>
    <x v="4"/>
    <n v="9"/>
    <x v="1"/>
    <x v="3"/>
    <x v="3"/>
    <s v="외식"/>
    <n v="7000"/>
    <n v="-7000"/>
    <x v="224"/>
    <m/>
  </r>
  <r>
    <x v="1014"/>
    <x v="373"/>
    <x v="1"/>
    <x v="4"/>
    <n v="9"/>
    <x v="1"/>
    <x v="3"/>
    <x v="3"/>
    <s v="외식"/>
    <n v="1000"/>
    <n v="-1000"/>
    <x v="193"/>
    <m/>
  </r>
  <r>
    <x v="1015"/>
    <x v="373"/>
    <x v="1"/>
    <x v="4"/>
    <n v="9"/>
    <x v="1"/>
    <x v="3"/>
    <x v="3"/>
    <s v="외식"/>
    <n v="7500"/>
    <n v="-7500"/>
    <x v="310"/>
    <m/>
  </r>
  <r>
    <x v="1016"/>
    <x v="374"/>
    <x v="1"/>
    <x v="4"/>
    <n v="10"/>
    <x v="1"/>
    <x v="1"/>
    <x v="5"/>
    <s v="커피_음료"/>
    <n v="3500"/>
    <n v="-3500"/>
    <x v="309"/>
    <m/>
  </r>
  <r>
    <x v="1017"/>
    <x v="374"/>
    <x v="1"/>
    <x v="4"/>
    <n v="10"/>
    <x v="1"/>
    <x v="3"/>
    <x v="3"/>
    <s v="외식"/>
    <n v="9000"/>
    <n v="-9000"/>
    <x v="254"/>
    <m/>
  </r>
  <r>
    <x v="1018"/>
    <x v="374"/>
    <x v="1"/>
    <x v="4"/>
    <n v="10"/>
    <x v="1"/>
    <x v="3"/>
    <x v="3"/>
    <s v="외식"/>
    <n v="7750"/>
    <n v="-7750"/>
    <x v="335"/>
    <m/>
  </r>
  <r>
    <x v="1019"/>
    <x v="375"/>
    <x v="1"/>
    <x v="4"/>
    <n v="11"/>
    <x v="1"/>
    <x v="1"/>
    <x v="6"/>
    <s v="편의점"/>
    <n v="3100"/>
    <n v="-3100"/>
    <x v="10"/>
    <m/>
  </r>
  <r>
    <x v="1020"/>
    <x v="375"/>
    <x v="1"/>
    <x v="4"/>
    <n v="11"/>
    <x v="1"/>
    <x v="2"/>
    <x v="2"/>
    <s v="금융수입"/>
    <n v="-66"/>
    <n v="66"/>
    <x v="36"/>
    <m/>
  </r>
  <r>
    <x v="1021"/>
    <x v="375"/>
    <x v="1"/>
    <x v="4"/>
    <n v="11"/>
    <x v="1"/>
    <x v="3"/>
    <x v="3"/>
    <s v="외식"/>
    <n v="10000"/>
    <n v="-10000"/>
    <x v="221"/>
    <m/>
  </r>
  <r>
    <x v="1022"/>
    <x v="376"/>
    <x v="1"/>
    <x v="4"/>
    <n v="13"/>
    <x v="1"/>
    <x v="3"/>
    <x v="3"/>
    <s v="외식"/>
    <n v="5500"/>
    <n v="-5500"/>
    <x v="198"/>
    <m/>
  </r>
  <r>
    <x v="1023"/>
    <x v="376"/>
    <x v="1"/>
    <x v="4"/>
    <n v="13"/>
    <x v="1"/>
    <x v="3"/>
    <x v="3"/>
    <s v="외식"/>
    <n v="7500"/>
    <n v="-7500"/>
    <x v="292"/>
    <m/>
  </r>
  <r>
    <x v="1024"/>
    <x v="376"/>
    <x v="1"/>
    <x v="4"/>
    <n v="13"/>
    <x v="1"/>
    <x v="1"/>
    <x v="5"/>
    <s v="커피_음료"/>
    <n v="2300"/>
    <n v="-2300"/>
    <x v="240"/>
    <m/>
  </r>
  <r>
    <x v="1025"/>
    <x v="377"/>
    <x v="1"/>
    <x v="4"/>
    <n v="14"/>
    <x v="1"/>
    <x v="3"/>
    <x v="3"/>
    <s v="외식"/>
    <n v="7500"/>
    <n v="-7500"/>
    <x v="225"/>
    <m/>
  </r>
  <r>
    <x v="1026"/>
    <x v="377"/>
    <x v="1"/>
    <x v="4"/>
    <n v="14"/>
    <x v="1"/>
    <x v="3"/>
    <x v="3"/>
    <s v="외식"/>
    <n v="8500"/>
    <n v="-8500"/>
    <x v="254"/>
    <m/>
  </r>
  <r>
    <x v="1027"/>
    <x v="378"/>
    <x v="1"/>
    <x v="4"/>
    <n v="15"/>
    <x v="1"/>
    <x v="3"/>
    <x v="3"/>
    <s v="외식"/>
    <n v="2500"/>
    <n v="-2500"/>
    <x v="193"/>
    <m/>
  </r>
  <r>
    <x v="1028"/>
    <x v="378"/>
    <x v="1"/>
    <x v="4"/>
    <n v="15"/>
    <x v="1"/>
    <x v="3"/>
    <x v="3"/>
    <s v="외식"/>
    <n v="7900"/>
    <n v="-7900"/>
    <x v="261"/>
    <m/>
  </r>
  <r>
    <x v="1029"/>
    <x v="379"/>
    <x v="1"/>
    <x v="4"/>
    <n v="16"/>
    <x v="1"/>
    <x v="3"/>
    <x v="1"/>
    <s v="주유"/>
    <n v="65000"/>
    <n v="-65000"/>
    <x v="242"/>
    <m/>
  </r>
  <r>
    <x v="1030"/>
    <x v="379"/>
    <x v="1"/>
    <x v="4"/>
    <n v="16"/>
    <x v="1"/>
    <x v="3"/>
    <x v="3"/>
    <s v="외식"/>
    <n v="7500"/>
    <n v="-7500"/>
    <x v="230"/>
    <m/>
  </r>
  <r>
    <x v="1031"/>
    <x v="379"/>
    <x v="1"/>
    <x v="4"/>
    <n v="16"/>
    <x v="1"/>
    <x v="1"/>
    <x v="5"/>
    <s v="커피_음료"/>
    <n v="1900"/>
    <n v="-1900"/>
    <x v="309"/>
    <m/>
  </r>
  <r>
    <x v="1032"/>
    <x v="379"/>
    <x v="1"/>
    <x v="4"/>
    <n v="16"/>
    <x v="1"/>
    <x v="3"/>
    <x v="3"/>
    <s v="외식"/>
    <n v="7500"/>
    <n v="-7500"/>
    <x v="310"/>
    <m/>
  </r>
  <r>
    <x v="1033"/>
    <x v="380"/>
    <x v="1"/>
    <x v="4"/>
    <n v="17"/>
    <x v="1"/>
    <x v="3"/>
    <x v="3"/>
    <s v="외식"/>
    <n v="5000"/>
    <n v="-5000"/>
    <x v="193"/>
    <m/>
  </r>
  <r>
    <x v="1034"/>
    <x v="380"/>
    <x v="1"/>
    <x v="4"/>
    <n v="17"/>
    <x v="1"/>
    <x v="3"/>
    <x v="3"/>
    <s v="외식"/>
    <n v="6000"/>
    <n v="-6000"/>
    <x v="193"/>
    <m/>
  </r>
  <r>
    <x v="1035"/>
    <x v="381"/>
    <x v="1"/>
    <x v="4"/>
    <n v="18"/>
    <x v="1"/>
    <x v="3"/>
    <x v="3"/>
    <s v="외식"/>
    <n v="14500"/>
    <n v="-14500"/>
    <x v="252"/>
    <m/>
  </r>
  <r>
    <x v="1036"/>
    <x v="381"/>
    <x v="1"/>
    <x v="4"/>
    <n v="18"/>
    <x v="1"/>
    <x v="3"/>
    <x v="8"/>
    <s v="헤어샵"/>
    <n v="15000"/>
    <n v="-15000"/>
    <x v="95"/>
    <m/>
  </r>
  <r>
    <x v="1037"/>
    <x v="381"/>
    <x v="1"/>
    <x v="4"/>
    <n v="18"/>
    <x v="1"/>
    <x v="3"/>
    <x v="6"/>
    <s v="편의점"/>
    <n v="1600"/>
    <n v="-1600"/>
    <x v="206"/>
    <m/>
  </r>
  <r>
    <x v="1038"/>
    <x v="382"/>
    <x v="1"/>
    <x v="4"/>
    <n v="20"/>
    <x v="1"/>
    <x v="3"/>
    <x v="3"/>
    <s v="외식"/>
    <n v="8000"/>
    <n v="-8000"/>
    <x v="359"/>
    <m/>
  </r>
  <r>
    <x v="1039"/>
    <x v="382"/>
    <x v="1"/>
    <x v="4"/>
    <n v="20"/>
    <x v="1"/>
    <x v="1"/>
    <x v="10"/>
    <s v="선물"/>
    <n v="11400"/>
    <n v="-11400"/>
    <x v="17"/>
    <m/>
  </r>
  <r>
    <x v="1040"/>
    <x v="382"/>
    <x v="1"/>
    <x v="4"/>
    <n v="20"/>
    <x v="1"/>
    <x v="3"/>
    <x v="3"/>
    <s v="외식"/>
    <n v="9500"/>
    <n v="-9500"/>
    <x v="254"/>
    <m/>
  </r>
  <r>
    <x v="1041"/>
    <x v="383"/>
    <x v="1"/>
    <x v="4"/>
    <n v="21"/>
    <x v="1"/>
    <x v="3"/>
    <x v="3"/>
    <s v="외식"/>
    <n v="5500"/>
    <n v="-5500"/>
    <x v="220"/>
    <m/>
  </r>
  <r>
    <x v="1042"/>
    <x v="383"/>
    <x v="1"/>
    <x v="4"/>
    <n v="21"/>
    <x v="1"/>
    <x v="3"/>
    <x v="3"/>
    <s v="외식"/>
    <n v="6000"/>
    <n v="-6000"/>
    <x v="193"/>
    <m/>
  </r>
  <r>
    <x v="1043"/>
    <x v="384"/>
    <x v="1"/>
    <x v="4"/>
    <n v="22"/>
    <x v="1"/>
    <x v="2"/>
    <x v="2"/>
    <s v="기타수입"/>
    <n v="-10000"/>
    <n v="10000"/>
    <x v="15"/>
    <m/>
  </r>
  <r>
    <x v="1044"/>
    <x v="384"/>
    <x v="1"/>
    <x v="4"/>
    <n v="22"/>
    <x v="1"/>
    <x v="3"/>
    <x v="6"/>
    <s v="편의점"/>
    <n v="2400"/>
    <n v="-2400"/>
    <x v="206"/>
    <m/>
  </r>
  <r>
    <x v="1045"/>
    <x v="384"/>
    <x v="1"/>
    <x v="4"/>
    <n v="22"/>
    <x v="1"/>
    <x v="1"/>
    <x v="6"/>
    <s v="편의점"/>
    <n v="1300"/>
    <n v="-1300"/>
    <x v="206"/>
    <m/>
  </r>
  <r>
    <x v="1046"/>
    <x v="384"/>
    <x v="1"/>
    <x v="4"/>
    <n v="22"/>
    <x v="1"/>
    <x v="3"/>
    <x v="3"/>
    <s v="외식"/>
    <n v="8300"/>
    <n v="-8300"/>
    <x v="47"/>
    <m/>
  </r>
  <r>
    <x v="1047"/>
    <x v="385"/>
    <x v="1"/>
    <x v="4"/>
    <n v="23"/>
    <x v="1"/>
    <x v="3"/>
    <x v="3"/>
    <s v="외식"/>
    <n v="8000"/>
    <n v="-8000"/>
    <x v="360"/>
    <m/>
  </r>
  <r>
    <x v="1048"/>
    <x v="385"/>
    <x v="1"/>
    <x v="4"/>
    <n v="23"/>
    <x v="1"/>
    <x v="3"/>
    <x v="3"/>
    <s v="외식"/>
    <n v="1000"/>
    <n v="-1000"/>
    <x v="193"/>
    <m/>
  </r>
  <r>
    <x v="1049"/>
    <x v="385"/>
    <x v="1"/>
    <x v="4"/>
    <n v="23"/>
    <x v="1"/>
    <x v="3"/>
    <x v="3"/>
    <s v="외식"/>
    <n v="8000"/>
    <n v="-8000"/>
    <x v="233"/>
    <m/>
  </r>
  <r>
    <x v="1050"/>
    <x v="386"/>
    <x v="1"/>
    <x v="4"/>
    <n v="24"/>
    <x v="1"/>
    <x v="3"/>
    <x v="3"/>
    <s v="외식"/>
    <n v="7300"/>
    <n v="-7300"/>
    <x v="83"/>
    <m/>
  </r>
  <r>
    <x v="1051"/>
    <x v="386"/>
    <x v="1"/>
    <x v="4"/>
    <n v="24"/>
    <x v="1"/>
    <x v="1"/>
    <x v="5"/>
    <s v="베이커리"/>
    <n v="9500"/>
    <n v="-9500"/>
    <x v="361"/>
    <m/>
  </r>
  <r>
    <x v="1052"/>
    <x v="386"/>
    <x v="1"/>
    <x v="4"/>
    <n v="24"/>
    <x v="1"/>
    <x v="3"/>
    <x v="3"/>
    <s v="외식"/>
    <n v="6000"/>
    <n v="-6000"/>
    <x v="292"/>
    <m/>
  </r>
  <r>
    <x v="1053"/>
    <x v="387"/>
    <x v="1"/>
    <x v="4"/>
    <n v="25"/>
    <x v="1"/>
    <x v="3"/>
    <x v="3"/>
    <s v="외식"/>
    <n v="10750"/>
    <n v="-10750"/>
    <x v="221"/>
    <m/>
  </r>
  <r>
    <x v="1054"/>
    <x v="387"/>
    <x v="1"/>
    <x v="4"/>
    <n v="25"/>
    <x v="1"/>
    <x v="1"/>
    <x v="6"/>
    <s v="편의점"/>
    <n v="900"/>
    <n v="-900"/>
    <x v="206"/>
    <s v="젤리"/>
  </r>
  <r>
    <x v="1055"/>
    <x v="388"/>
    <x v="1"/>
    <x v="4"/>
    <n v="27"/>
    <x v="1"/>
    <x v="3"/>
    <x v="1"/>
    <s v="주유"/>
    <n v="60000"/>
    <n v="-60000"/>
    <x v="242"/>
    <m/>
  </r>
  <r>
    <x v="1056"/>
    <x v="388"/>
    <x v="1"/>
    <x v="4"/>
    <n v="27"/>
    <x v="1"/>
    <x v="3"/>
    <x v="3"/>
    <s v="외식"/>
    <n v="5600"/>
    <n v="-5600"/>
    <x v="83"/>
    <m/>
  </r>
  <r>
    <x v="1057"/>
    <x v="389"/>
    <x v="1"/>
    <x v="4"/>
    <n v="28"/>
    <x v="1"/>
    <x v="3"/>
    <x v="3"/>
    <s v="외식"/>
    <n v="6500"/>
    <n v="-6500"/>
    <x v="224"/>
    <m/>
  </r>
  <r>
    <x v="1058"/>
    <x v="389"/>
    <x v="1"/>
    <x v="4"/>
    <n v="28"/>
    <x v="1"/>
    <x v="3"/>
    <x v="3"/>
    <s v="외식"/>
    <n v="11900"/>
    <n v="-11900"/>
    <x v="307"/>
    <m/>
  </r>
  <r>
    <x v="1059"/>
    <x v="390"/>
    <x v="1"/>
    <x v="4"/>
    <n v="29"/>
    <x v="1"/>
    <x v="3"/>
    <x v="3"/>
    <s v="외식"/>
    <n v="9000"/>
    <n v="-9000"/>
    <x v="232"/>
    <m/>
  </r>
  <r>
    <x v="1060"/>
    <x v="390"/>
    <x v="1"/>
    <x v="4"/>
    <n v="29"/>
    <x v="1"/>
    <x v="3"/>
    <x v="6"/>
    <s v="편의점"/>
    <n v="2400"/>
    <n v="-2400"/>
    <x v="206"/>
    <m/>
  </r>
  <r>
    <x v="1061"/>
    <x v="391"/>
    <x v="1"/>
    <x v="4"/>
    <n v="30"/>
    <x v="1"/>
    <x v="3"/>
    <x v="3"/>
    <s v="외식"/>
    <n v="7500"/>
    <n v="-7500"/>
    <x v="207"/>
    <m/>
  </r>
  <r>
    <x v="1062"/>
    <x v="391"/>
    <x v="1"/>
    <x v="4"/>
    <n v="30"/>
    <x v="1"/>
    <x v="4"/>
    <x v="4"/>
    <s v="서비스구독"/>
    <n v="1425"/>
    <n v="-1425"/>
    <x v="84"/>
    <m/>
  </r>
  <r>
    <x v="1063"/>
    <x v="391"/>
    <x v="1"/>
    <x v="4"/>
    <n v="30"/>
    <x v="1"/>
    <x v="3"/>
    <x v="3"/>
    <s v="외식"/>
    <n v="7500"/>
    <n v="-7500"/>
    <x v="225"/>
    <m/>
  </r>
  <r>
    <x v="1064"/>
    <x v="392"/>
    <x v="1"/>
    <x v="5"/>
    <n v="1"/>
    <x v="1"/>
    <x v="5"/>
    <x v="9"/>
    <s v="용돈"/>
    <n v="-503619"/>
    <n v="503619"/>
    <x v="58"/>
    <s v="12월 생활비, 스타벅스 차액 400원, 아빠선물 차액 3219원"/>
  </r>
  <r>
    <x v="1065"/>
    <x v="392"/>
    <x v="1"/>
    <x v="5"/>
    <n v="1"/>
    <x v="1"/>
    <x v="3"/>
    <x v="3"/>
    <s v="외식"/>
    <n v="6100"/>
    <n v="-6100"/>
    <x v="83"/>
    <m/>
  </r>
  <r>
    <x v="1066"/>
    <x v="392"/>
    <x v="1"/>
    <x v="5"/>
    <n v="1"/>
    <x v="1"/>
    <x v="3"/>
    <x v="3"/>
    <s v="외식"/>
    <n v="5500"/>
    <n v="-5500"/>
    <x v="220"/>
    <m/>
  </r>
  <r>
    <x v="1067"/>
    <x v="392"/>
    <x v="1"/>
    <x v="5"/>
    <n v="1"/>
    <x v="1"/>
    <x v="3"/>
    <x v="3"/>
    <s v="외식"/>
    <n v="9000"/>
    <n v="-9000"/>
    <x v="254"/>
    <m/>
  </r>
  <r>
    <x v="1068"/>
    <x v="393"/>
    <x v="1"/>
    <x v="5"/>
    <n v="2"/>
    <x v="1"/>
    <x v="3"/>
    <x v="3"/>
    <s v="외식"/>
    <n v="8500"/>
    <n v="-8500"/>
    <x v="359"/>
    <m/>
  </r>
  <r>
    <x v="1069"/>
    <x v="393"/>
    <x v="1"/>
    <x v="5"/>
    <n v="2"/>
    <x v="1"/>
    <x v="3"/>
    <x v="3"/>
    <s v="외식"/>
    <n v="6400"/>
    <n v="-6400"/>
    <x v="83"/>
    <m/>
  </r>
  <r>
    <x v="1070"/>
    <x v="394"/>
    <x v="1"/>
    <x v="5"/>
    <n v="4"/>
    <x v="1"/>
    <x v="1"/>
    <x v="5"/>
    <s v="아이스크림_빙수"/>
    <n v="300"/>
    <n v="-300"/>
    <x v="334"/>
    <m/>
  </r>
  <r>
    <x v="1071"/>
    <x v="394"/>
    <x v="1"/>
    <x v="5"/>
    <n v="4"/>
    <x v="1"/>
    <x v="3"/>
    <x v="3"/>
    <s v="외식"/>
    <n v="5500"/>
    <n v="-5500"/>
    <x v="198"/>
    <m/>
  </r>
  <r>
    <x v="1072"/>
    <x v="394"/>
    <x v="1"/>
    <x v="5"/>
    <n v="4"/>
    <x v="1"/>
    <x v="3"/>
    <x v="3"/>
    <s v="외식"/>
    <n v="7500"/>
    <n v="-7500"/>
    <x v="225"/>
    <m/>
  </r>
  <r>
    <x v="1073"/>
    <x v="395"/>
    <x v="1"/>
    <x v="5"/>
    <n v="5"/>
    <x v="1"/>
    <x v="1"/>
    <x v="7"/>
    <s v="대중교통"/>
    <n v="1520"/>
    <n v="-1520"/>
    <x v="33"/>
    <m/>
  </r>
  <r>
    <x v="1074"/>
    <x v="395"/>
    <x v="1"/>
    <x v="5"/>
    <n v="5"/>
    <x v="1"/>
    <x v="3"/>
    <x v="3"/>
    <s v="외식"/>
    <n v="1000"/>
    <n v="-1000"/>
    <x v="193"/>
    <m/>
  </r>
  <r>
    <x v="1075"/>
    <x v="395"/>
    <x v="1"/>
    <x v="5"/>
    <n v="5"/>
    <x v="1"/>
    <x v="1"/>
    <x v="5"/>
    <s v="디저트_빵"/>
    <n v="3800"/>
    <n v="-3800"/>
    <x v="362"/>
    <m/>
  </r>
  <r>
    <x v="1076"/>
    <x v="395"/>
    <x v="1"/>
    <x v="5"/>
    <n v="5"/>
    <x v="1"/>
    <x v="3"/>
    <x v="3"/>
    <s v="외식"/>
    <n v="8000"/>
    <n v="-8000"/>
    <x v="233"/>
    <m/>
  </r>
  <r>
    <x v="1077"/>
    <x v="395"/>
    <x v="1"/>
    <x v="5"/>
    <n v="5"/>
    <x v="1"/>
    <x v="3"/>
    <x v="3"/>
    <s v="외식"/>
    <n v="8000"/>
    <n v="-8000"/>
    <x v="292"/>
    <m/>
  </r>
  <r>
    <x v="1078"/>
    <x v="395"/>
    <x v="1"/>
    <x v="5"/>
    <n v="5"/>
    <x v="1"/>
    <x v="1"/>
    <x v="6"/>
    <s v="전자제품"/>
    <n v="49700"/>
    <n v="-49700"/>
    <x v="167"/>
    <s v="서피스펜"/>
  </r>
  <r>
    <x v="1079"/>
    <x v="396"/>
    <x v="1"/>
    <x v="5"/>
    <n v="6"/>
    <x v="1"/>
    <x v="3"/>
    <x v="1"/>
    <s v="주유"/>
    <n v="56000"/>
    <n v="-56000"/>
    <x v="242"/>
    <m/>
  </r>
  <r>
    <x v="1080"/>
    <x v="396"/>
    <x v="1"/>
    <x v="5"/>
    <n v="6"/>
    <x v="1"/>
    <x v="3"/>
    <x v="6"/>
    <s v="편의점"/>
    <n v="1100"/>
    <n v="-1100"/>
    <x v="206"/>
    <m/>
  </r>
  <r>
    <x v="1081"/>
    <x v="396"/>
    <x v="1"/>
    <x v="5"/>
    <n v="6"/>
    <x v="1"/>
    <x v="3"/>
    <x v="3"/>
    <s v="외식"/>
    <n v="8500"/>
    <n v="-8500"/>
    <x v="310"/>
    <m/>
  </r>
  <r>
    <x v="1082"/>
    <x v="397"/>
    <x v="1"/>
    <x v="5"/>
    <n v="7"/>
    <x v="1"/>
    <x v="3"/>
    <x v="3"/>
    <s v="외식"/>
    <n v="7500"/>
    <n v="-7500"/>
    <x v="207"/>
    <m/>
  </r>
  <r>
    <x v="1083"/>
    <x v="397"/>
    <x v="1"/>
    <x v="5"/>
    <n v="7"/>
    <x v="1"/>
    <x v="1"/>
    <x v="5"/>
    <s v="커피_음료"/>
    <n v="1500"/>
    <n v="-1500"/>
    <x v="193"/>
    <m/>
  </r>
  <r>
    <x v="1084"/>
    <x v="397"/>
    <x v="1"/>
    <x v="5"/>
    <n v="7"/>
    <x v="1"/>
    <x v="3"/>
    <x v="3"/>
    <s v="외식"/>
    <n v="8500"/>
    <n v="-8500"/>
    <x v="254"/>
    <m/>
  </r>
  <r>
    <x v="1085"/>
    <x v="398"/>
    <x v="1"/>
    <x v="5"/>
    <n v="8"/>
    <x v="1"/>
    <x v="1"/>
    <x v="6"/>
    <s v="편의점"/>
    <n v="1900"/>
    <n v="-1900"/>
    <x v="10"/>
    <s v="아빠소주"/>
  </r>
  <r>
    <x v="1086"/>
    <x v="398"/>
    <x v="1"/>
    <x v="5"/>
    <n v="8"/>
    <x v="1"/>
    <x v="3"/>
    <x v="3"/>
    <s v="외식"/>
    <n v="7000"/>
    <n v="-7000"/>
    <x v="230"/>
    <m/>
  </r>
  <r>
    <x v="1087"/>
    <x v="399"/>
    <x v="1"/>
    <x v="5"/>
    <n v="9"/>
    <x v="1"/>
    <x v="3"/>
    <x v="3"/>
    <s v="외식"/>
    <n v="12500"/>
    <n v="-12500"/>
    <x v="359"/>
    <m/>
  </r>
  <r>
    <x v="1088"/>
    <x v="400"/>
    <x v="1"/>
    <x v="5"/>
    <n v="10"/>
    <x v="1"/>
    <x v="1"/>
    <x v="8"/>
    <s v="화장품"/>
    <n v="6962"/>
    <n v="-6962"/>
    <x v="188"/>
    <m/>
  </r>
  <r>
    <x v="1089"/>
    <x v="401"/>
    <x v="1"/>
    <x v="5"/>
    <n v="11"/>
    <x v="1"/>
    <x v="3"/>
    <x v="3"/>
    <s v="외식"/>
    <n v="10000"/>
    <n v="-10000"/>
    <x v="221"/>
    <m/>
  </r>
  <r>
    <x v="1090"/>
    <x v="402"/>
    <x v="1"/>
    <x v="5"/>
    <n v="12"/>
    <x v="1"/>
    <x v="3"/>
    <x v="3"/>
    <s v="외식"/>
    <n v="7500"/>
    <n v="-7500"/>
    <x v="207"/>
    <m/>
  </r>
  <r>
    <x v="1091"/>
    <x v="402"/>
    <x v="1"/>
    <x v="5"/>
    <n v="12"/>
    <x v="1"/>
    <x v="1"/>
    <x v="6"/>
    <s v="편의점"/>
    <n v="2700"/>
    <n v="-2700"/>
    <x v="222"/>
    <s v="우유"/>
  </r>
  <r>
    <x v="1092"/>
    <x v="402"/>
    <x v="1"/>
    <x v="5"/>
    <n v="12"/>
    <x v="1"/>
    <x v="1"/>
    <x v="5"/>
    <s v="커피_음료"/>
    <n v="1500"/>
    <n v="-1500"/>
    <x v="193"/>
    <m/>
  </r>
  <r>
    <x v="1093"/>
    <x v="402"/>
    <x v="1"/>
    <x v="5"/>
    <n v="12"/>
    <x v="1"/>
    <x v="3"/>
    <x v="3"/>
    <s v="외식"/>
    <n v="8500"/>
    <n v="-8500"/>
    <x v="254"/>
    <m/>
  </r>
  <r>
    <x v="1094"/>
    <x v="403"/>
    <x v="1"/>
    <x v="5"/>
    <n v="13"/>
    <x v="1"/>
    <x v="3"/>
    <x v="3"/>
    <s v="외식"/>
    <n v="3300"/>
    <n v="-3300"/>
    <x v="83"/>
    <m/>
  </r>
  <r>
    <x v="1095"/>
    <x v="403"/>
    <x v="1"/>
    <x v="5"/>
    <n v="13"/>
    <x v="1"/>
    <x v="3"/>
    <x v="6"/>
    <s v="편의점"/>
    <n v="1100"/>
    <n v="-1100"/>
    <x v="206"/>
    <m/>
  </r>
  <r>
    <x v="1096"/>
    <x v="404"/>
    <x v="1"/>
    <x v="5"/>
    <n v="14"/>
    <x v="1"/>
    <x v="3"/>
    <x v="3"/>
    <s v="외식"/>
    <n v="7500"/>
    <n v="-7500"/>
    <x v="224"/>
    <m/>
  </r>
  <r>
    <x v="1097"/>
    <x v="404"/>
    <x v="1"/>
    <x v="5"/>
    <n v="14"/>
    <x v="1"/>
    <x v="1"/>
    <x v="16"/>
    <s v="숙박비"/>
    <n v="3580"/>
    <n v="-3580"/>
    <x v="265"/>
    <s v="8920원 캐시백 정산"/>
  </r>
  <r>
    <x v="1098"/>
    <x v="405"/>
    <x v="1"/>
    <x v="5"/>
    <n v="15"/>
    <x v="1"/>
    <x v="3"/>
    <x v="8"/>
    <s v="헤어샵"/>
    <n v="15000"/>
    <n v="-15000"/>
    <x v="95"/>
    <m/>
  </r>
  <r>
    <x v="1099"/>
    <x v="405"/>
    <x v="1"/>
    <x v="5"/>
    <n v="15"/>
    <x v="1"/>
    <x v="3"/>
    <x v="3"/>
    <s v="외식"/>
    <n v="22400"/>
    <n v="-22400"/>
    <x v="307"/>
    <s v="엄마껏까지"/>
  </r>
  <r>
    <x v="1100"/>
    <x v="406"/>
    <x v="1"/>
    <x v="5"/>
    <n v="16"/>
    <x v="1"/>
    <x v="1"/>
    <x v="3"/>
    <s v="외식"/>
    <n v="9200"/>
    <n v="-9200"/>
    <x v="90"/>
    <m/>
  </r>
  <r>
    <x v="1101"/>
    <x v="406"/>
    <x v="1"/>
    <x v="5"/>
    <n v="16"/>
    <x v="1"/>
    <x v="1"/>
    <x v="5"/>
    <s v="커피_음료"/>
    <n v="1300"/>
    <n v="-1300"/>
    <x v="106"/>
    <m/>
  </r>
  <r>
    <x v="1102"/>
    <x v="406"/>
    <x v="1"/>
    <x v="5"/>
    <n v="16"/>
    <x v="1"/>
    <x v="1"/>
    <x v="3"/>
    <s v="외식"/>
    <n v="8650"/>
    <n v="-8650"/>
    <x v="343"/>
    <m/>
  </r>
  <r>
    <x v="1103"/>
    <x v="406"/>
    <x v="1"/>
    <x v="5"/>
    <n v="16"/>
    <x v="1"/>
    <x v="1"/>
    <x v="12"/>
    <s v="게임"/>
    <n v="3000"/>
    <n v="-3000"/>
    <x v="343"/>
    <m/>
  </r>
  <r>
    <x v="1104"/>
    <x v="406"/>
    <x v="1"/>
    <x v="5"/>
    <n v="16"/>
    <x v="1"/>
    <x v="1"/>
    <x v="3"/>
    <s v="외식"/>
    <n v="4750"/>
    <n v="-4750"/>
    <x v="71"/>
    <m/>
  </r>
  <r>
    <x v="1105"/>
    <x v="407"/>
    <x v="1"/>
    <x v="5"/>
    <n v="18"/>
    <x v="1"/>
    <x v="1"/>
    <x v="12"/>
    <s v="기타"/>
    <n v="15000"/>
    <n v="-15000"/>
    <x v="363"/>
    <m/>
  </r>
  <r>
    <x v="1106"/>
    <x v="408"/>
    <x v="1"/>
    <x v="5"/>
    <n v="19"/>
    <x v="1"/>
    <x v="1"/>
    <x v="3"/>
    <s v="외식"/>
    <n v="9000"/>
    <n v="-9000"/>
    <x v="247"/>
    <m/>
  </r>
  <r>
    <x v="1107"/>
    <x v="408"/>
    <x v="1"/>
    <x v="5"/>
    <n v="19"/>
    <x v="1"/>
    <x v="1"/>
    <x v="12"/>
    <s v="기타"/>
    <n v="50000"/>
    <n v="-50000"/>
    <x v="364"/>
    <m/>
  </r>
  <r>
    <x v="1108"/>
    <x v="409"/>
    <x v="1"/>
    <x v="5"/>
    <n v="21"/>
    <x v="1"/>
    <x v="1"/>
    <x v="5"/>
    <s v="커피_음료"/>
    <n v="5500"/>
    <n v="-5500"/>
    <x v="365"/>
    <m/>
  </r>
  <r>
    <x v="1109"/>
    <x v="409"/>
    <x v="1"/>
    <x v="5"/>
    <n v="21"/>
    <x v="1"/>
    <x v="1"/>
    <x v="5"/>
    <s v="디저트_빵"/>
    <n v="3500"/>
    <n v="-3500"/>
    <x v="362"/>
    <m/>
  </r>
  <r>
    <x v="1110"/>
    <x v="409"/>
    <x v="1"/>
    <x v="5"/>
    <n v="21"/>
    <x v="1"/>
    <x v="1"/>
    <x v="3"/>
    <s v="외식"/>
    <n v="6200"/>
    <n v="-6200"/>
    <x v="215"/>
    <m/>
  </r>
  <r>
    <x v="1111"/>
    <x v="409"/>
    <x v="1"/>
    <x v="5"/>
    <n v="21"/>
    <x v="1"/>
    <x v="1"/>
    <x v="3"/>
    <s v="외식"/>
    <n v="5700"/>
    <n v="-5700"/>
    <x v="261"/>
    <m/>
  </r>
  <r>
    <x v="1112"/>
    <x v="410"/>
    <x v="1"/>
    <x v="5"/>
    <n v="22"/>
    <x v="1"/>
    <x v="1"/>
    <x v="5"/>
    <s v="커피_음료"/>
    <n v="1800"/>
    <n v="-1800"/>
    <x v="366"/>
    <m/>
  </r>
  <r>
    <x v="1113"/>
    <x v="410"/>
    <x v="1"/>
    <x v="5"/>
    <n v="22"/>
    <x v="1"/>
    <x v="1"/>
    <x v="12"/>
    <s v="게임"/>
    <n v="2500"/>
    <n v="-2500"/>
    <x v="241"/>
    <m/>
  </r>
  <r>
    <x v="1114"/>
    <x v="410"/>
    <x v="1"/>
    <x v="5"/>
    <n v="22"/>
    <x v="1"/>
    <x v="1"/>
    <x v="12"/>
    <s v="전시_관람_체험"/>
    <n v="15000"/>
    <n v="-15000"/>
    <x v="367"/>
    <s v="LUX전시"/>
  </r>
  <r>
    <x v="1115"/>
    <x v="410"/>
    <x v="1"/>
    <x v="5"/>
    <n v="22"/>
    <x v="1"/>
    <x v="1"/>
    <x v="3"/>
    <s v="외식"/>
    <n v="12000"/>
    <n v="-12000"/>
    <x v="368"/>
    <m/>
  </r>
  <r>
    <x v="1116"/>
    <x v="410"/>
    <x v="1"/>
    <x v="5"/>
    <n v="22"/>
    <x v="1"/>
    <x v="1"/>
    <x v="12"/>
    <s v="취미"/>
    <n v="3000"/>
    <n v="-3000"/>
    <x v="369"/>
    <m/>
  </r>
  <r>
    <x v="1117"/>
    <x v="410"/>
    <x v="1"/>
    <x v="5"/>
    <n v="22"/>
    <x v="1"/>
    <x v="1"/>
    <x v="5"/>
    <s v="커피_음료"/>
    <n v="8350"/>
    <n v="-8350"/>
    <x v="370"/>
    <m/>
  </r>
  <r>
    <x v="1118"/>
    <x v="410"/>
    <x v="1"/>
    <x v="5"/>
    <n v="22"/>
    <x v="1"/>
    <x v="1"/>
    <x v="16"/>
    <s v="숙박비"/>
    <n v="12500"/>
    <n v="-12500"/>
    <x v="265"/>
    <s v="1000원 환급 정산"/>
  </r>
  <r>
    <x v="1119"/>
    <x v="410"/>
    <x v="1"/>
    <x v="5"/>
    <n v="22"/>
    <x v="1"/>
    <x v="1"/>
    <x v="6"/>
    <s v="마트"/>
    <n v="10400"/>
    <n v="-10400"/>
    <x v="263"/>
    <m/>
  </r>
  <r>
    <x v="1120"/>
    <x v="411"/>
    <x v="1"/>
    <x v="5"/>
    <n v="26"/>
    <x v="1"/>
    <x v="1"/>
    <x v="12"/>
    <s v="기타"/>
    <n v="29200"/>
    <n v="-29200"/>
    <x v="371"/>
    <s v="범계 저녁 코노 플스방 정산"/>
  </r>
  <r>
    <x v="1121"/>
    <x v="412"/>
    <x v="1"/>
    <x v="5"/>
    <n v="27"/>
    <x v="1"/>
    <x v="1"/>
    <x v="10"/>
    <s v="선물"/>
    <n v="50000"/>
    <n v="-50000"/>
    <x v="372"/>
    <m/>
  </r>
  <r>
    <x v="1122"/>
    <x v="412"/>
    <x v="1"/>
    <x v="5"/>
    <n v="27"/>
    <x v="1"/>
    <x v="1"/>
    <x v="10"/>
    <s v="선물"/>
    <n v="3500"/>
    <n v="-3500"/>
    <x v="211"/>
    <m/>
  </r>
  <r>
    <x v="1123"/>
    <x v="413"/>
    <x v="1"/>
    <x v="5"/>
    <n v="29"/>
    <x v="1"/>
    <x v="1"/>
    <x v="10"/>
    <s v="선물"/>
    <n v="7500"/>
    <n v="-7500"/>
    <x v="373"/>
    <m/>
  </r>
  <r>
    <x v="1124"/>
    <x v="414"/>
    <x v="1"/>
    <x v="5"/>
    <n v="30"/>
    <x v="1"/>
    <x v="1"/>
    <x v="12"/>
    <s v="기타"/>
    <n v="32767"/>
    <n v="-32767"/>
    <x v="374"/>
    <s v="저녁 보드카페 인생네컷 정산"/>
  </r>
  <r>
    <x v="1125"/>
    <x v="414"/>
    <x v="1"/>
    <x v="5"/>
    <n v="30"/>
    <x v="1"/>
    <x v="4"/>
    <x v="4"/>
    <s v="서비스구독"/>
    <n v="1426"/>
    <n v="-1426"/>
    <x v="84"/>
    <m/>
  </r>
  <r>
    <x v="1126"/>
    <x v="415"/>
    <x v="2"/>
    <x v="6"/>
    <n v="2"/>
    <x v="1"/>
    <x v="1"/>
    <x v="6"/>
    <s v="편의점"/>
    <n v="4700"/>
    <n v="-4700"/>
    <x v="10"/>
    <m/>
  </r>
  <r>
    <x v="1127"/>
    <x v="416"/>
    <x v="2"/>
    <x v="6"/>
    <n v="3"/>
    <x v="3"/>
    <x v="2"/>
    <x v="2"/>
    <s v="용돈"/>
    <n v="-1000000"/>
    <n v="1000000"/>
    <x v="132"/>
    <m/>
  </r>
  <r>
    <x v="1128"/>
    <x v="416"/>
    <x v="2"/>
    <x v="6"/>
    <n v="3"/>
    <x v="1"/>
    <x v="1"/>
    <x v="6"/>
    <s v="편의점"/>
    <n v="2000"/>
    <n v="-2000"/>
    <x v="222"/>
    <s v="사이다"/>
  </r>
  <r>
    <x v="1129"/>
    <x v="416"/>
    <x v="2"/>
    <x v="6"/>
    <n v="3"/>
    <x v="1"/>
    <x v="3"/>
    <x v="3"/>
    <s v="외식"/>
    <n v="11200"/>
    <n v="-11200"/>
    <x v="254"/>
    <m/>
  </r>
  <r>
    <x v="1130"/>
    <x v="417"/>
    <x v="2"/>
    <x v="6"/>
    <n v="4"/>
    <x v="1"/>
    <x v="1"/>
    <x v="7"/>
    <s v="대중교통"/>
    <n v="22360"/>
    <n v="-22360"/>
    <x v="33"/>
    <m/>
  </r>
  <r>
    <x v="1131"/>
    <x v="417"/>
    <x v="2"/>
    <x v="6"/>
    <n v="4"/>
    <x v="1"/>
    <x v="0"/>
    <x v="0"/>
    <s v="이체"/>
    <n v="-82900"/>
    <n v="82900"/>
    <x v="375"/>
    <m/>
  </r>
  <r>
    <x v="1132"/>
    <x v="418"/>
    <x v="2"/>
    <x v="6"/>
    <n v="5"/>
    <x v="1"/>
    <x v="3"/>
    <x v="6"/>
    <s v="편의점"/>
    <n v="2500"/>
    <n v="-2500"/>
    <x v="10"/>
    <m/>
  </r>
  <r>
    <x v="1133"/>
    <x v="418"/>
    <x v="2"/>
    <x v="6"/>
    <n v="5"/>
    <x v="1"/>
    <x v="2"/>
    <x v="2"/>
    <s v="용돈"/>
    <n v="-500000"/>
    <n v="500000"/>
    <x v="58"/>
    <m/>
  </r>
  <r>
    <x v="1134"/>
    <x v="418"/>
    <x v="2"/>
    <x v="6"/>
    <n v="5"/>
    <x v="1"/>
    <x v="1"/>
    <x v="6"/>
    <s v="마트"/>
    <n v="10000"/>
    <n v="-10000"/>
    <x v="376"/>
    <m/>
  </r>
  <r>
    <x v="1135"/>
    <x v="418"/>
    <x v="2"/>
    <x v="6"/>
    <n v="5"/>
    <x v="1"/>
    <x v="1"/>
    <x v="6"/>
    <s v="마트"/>
    <n v="9000"/>
    <n v="-9000"/>
    <x v="98"/>
    <m/>
  </r>
  <r>
    <x v="1136"/>
    <x v="418"/>
    <x v="2"/>
    <x v="6"/>
    <n v="5"/>
    <x v="1"/>
    <x v="3"/>
    <x v="3"/>
    <s v="외식"/>
    <n v="3800"/>
    <n v="-3800"/>
    <x v="83"/>
    <m/>
  </r>
  <r>
    <x v="1137"/>
    <x v="418"/>
    <x v="2"/>
    <x v="6"/>
    <n v="5"/>
    <x v="1"/>
    <x v="1"/>
    <x v="6"/>
    <s v="세탁"/>
    <n v="10000"/>
    <n v="-10000"/>
    <x v="377"/>
    <m/>
  </r>
  <r>
    <x v="1138"/>
    <x v="419"/>
    <x v="2"/>
    <x v="6"/>
    <n v="6"/>
    <x v="1"/>
    <x v="0"/>
    <x v="0"/>
    <s v="이체"/>
    <n v="14700"/>
    <n v="-14700"/>
    <x v="10"/>
    <s v="심부름"/>
  </r>
  <r>
    <x v="1139"/>
    <x v="419"/>
    <x v="2"/>
    <x v="6"/>
    <n v="6"/>
    <x v="1"/>
    <x v="1"/>
    <x v="12"/>
    <s v="기타"/>
    <n v="20000"/>
    <n v="-20000"/>
    <x v="378"/>
    <s v="5000원 현금"/>
  </r>
  <r>
    <x v="1140"/>
    <x v="419"/>
    <x v="2"/>
    <x v="6"/>
    <n v="6"/>
    <x v="1"/>
    <x v="1"/>
    <x v="5"/>
    <s v="커피_음료"/>
    <n v="2000"/>
    <n v="-2000"/>
    <x v="106"/>
    <m/>
  </r>
  <r>
    <x v="1141"/>
    <x v="419"/>
    <x v="2"/>
    <x v="6"/>
    <n v="6"/>
    <x v="1"/>
    <x v="1"/>
    <x v="13"/>
    <s v="주점"/>
    <n v="12000"/>
    <n v="-12000"/>
    <x v="337"/>
    <m/>
  </r>
  <r>
    <x v="1142"/>
    <x v="419"/>
    <x v="2"/>
    <x v="6"/>
    <n v="6"/>
    <x v="1"/>
    <x v="1"/>
    <x v="4"/>
    <s v="인터넷쇼핑"/>
    <n v="15540"/>
    <n v="-15540"/>
    <x v="379"/>
    <s v="컨트롤러, 당근 30000만 정산"/>
  </r>
  <r>
    <x v="1143"/>
    <x v="420"/>
    <x v="2"/>
    <x v="6"/>
    <n v="8"/>
    <x v="1"/>
    <x v="1"/>
    <x v="6"/>
    <s v="편의점"/>
    <n v="18380"/>
    <n v="-18380"/>
    <x v="324"/>
    <m/>
  </r>
  <r>
    <x v="1144"/>
    <x v="420"/>
    <x v="2"/>
    <x v="6"/>
    <n v="8"/>
    <x v="1"/>
    <x v="1"/>
    <x v="5"/>
    <s v="아이스크림_빙수"/>
    <n v="3800"/>
    <n v="-3800"/>
    <x v="334"/>
    <m/>
  </r>
  <r>
    <x v="1145"/>
    <x v="420"/>
    <x v="2"/>
    <x v="6"/>
    <n v="8"/>
    <x v="1"/>
    <x v="2"/>
    <x v="2"/>
    <s v="기타수입"/>
    <n v="-10000"/>
    <n v="10000"/>
    <x v="15"/>
    <m/>
  </r>
  <r>
    <x v="1146"/>
    <x v="420"/>
    <x v="2"/>
    <x v="6"/>
    <n v="8"/>
    <x v="1"/>
    <x v="3"/>
    <x v="3"/>
    <s v="외식"/>
    <n v="9500"/>
    <n v="-9500"/>
    <x v="225"/>
    <m/>
  </r>
  <r>
    <x v="1147"/>
    <x v="420"/>
    <x v="2"/>
    <x v="6"/>
    <n v="8"/>
    <x v="1"/>
    <x v="1"/>
    <x v="3"/>
    <s v="외식"/>
    <n v="9500"/>
    <n v="-9500"/>
    <x v="225"/>
    <s v="예빈이 점심"/>
  </r>
  <r>
    <x v="1148"/>
    <x v="420"/>
    <x v="2"/>
    <x v="6"/>
    <n v="8"/>
    <x v="1"/>
    <x v="3"/>
    <x v="1"/>
    <s v="주유"/>
    <n v="50000"/>
    <n v="-50000"/>
    <x v="186"/>
    <m/>
  </r>
  <r>
    <x v="1149"/>
    <x v="421"/>
    <x v="2"/>
    <x v="6"/>
    <n v="9"/>
    <x v="1"/>
    <x v="1"/>
    <x v="17"/>
    <s v="병원"/>
    <n v="5200"/>
    <n v="-5200"/>
    <x v="380"/>
    <s v="피부과"/>
  </r>
  <r>
    <x v="1150"/>
    <x v="421"/>
    <x v="2"/>
    <x v="6"/>
    <n v="9"/>
    <x v="1"/>
    <x v="1"/>
    <x v="17"/>
    <s v="약국"/>
    <n v="1800"/>
    <n v="-1800"/>
    <x v="381"/>
    <m/>
  </r>
  <r>
    <x v="1151"/>
    <x v="421"/>
    <x v="2"/>
    <x v="6"/>
    <n v="9"/>
    <x v="1"/>
    <x v="3"/>
    <x v="3"/>
    <s v="외식"/>
    <n v="8900"/>
    <n v="-8900"/>
    <x v="261"/>
    <m/>
  </r>
  <r>
    <x v="1152"/>
    <x v="422"/>
    <x v="2"/>
    <x v="6"/>
    <n v="10"/>
    <x v="1"/>
    <x v="3"/>
    <x v="6"/>
    <s v="편의점"/>
    <n v="7800"/>
    <n v="-7800"/>
    <x v="10"/>
    <s v="부탄가스"/>
  </r>
  <r>
    <x v="1153"/>
    <x v="422"/>
    <x v="2"/>
    <x v="6"/>
    <n v="10"/>
    <x v="1"/>
    <x v="3"/>
    <x v="6"/>
    <s v="마트"/>
    <n v="29180"/>
    <n v="-29180"/>
    <x v="382"/>
    <m/>
  </r>
  <r>
    <x v="1154"/>
    <x v="423"/>
    <x v="2"/>
    <x v="6"/>
    <n v="11"/>
    <x v="1"/>
    <x v="1"/>
    <x v="6"/>
    <s v="가구_가전"/>
    <n v="33900"/>
    <n v="-33900"/>
    <x v="167"/>
    <s v="선반"/>
  </r>
  <r>
    <x v="1155"/>
    <x v="424"/>
    <x v="2"/>
    <x v="6"/>
    <n v="13"/>
    <x v="1"/>
    <x v="1"/>
    <x v="6"/>
    <s v="마트"/>
    <n v="10200"/>
    <n v="-10200"/>
    <x v="98"/>
    <m/>
  </r>
  <r>
    <x v="1156"/>
    <x v="424"/>
    <x v="2"/>
    <x v="6"/>
    <n v="13"/>
    <x v="1"/>
    <x v="3"/>
    <x v="8"/>
    <s v="헤어샵"/>
    <n v="15000"/>
    <n v="-15000"/>
    <x v="95"/>
    <m/>
  </r>
  <r>
    <x v="1157"/>
    <x v="424"/>
    <x v="2"/>
    <x v="6"/>
    <n v="13"/>
    <x v="1"/>
    <x v="3"/>
    <x v="3"/>
    <s v="외식"/>
    <n v="6500"/>
    <n v="-6500"/>
    <x v="383"/>
    <m/>
  </r>
  <r>
    <x v="1158"/>
    <x v="425"/>
    <x v="2"/>
    <x v="6"/>
    <n v="14"/>
    <x v="1"/>
    <x v="3"/>
    <x v="6"/>
    <s v="편의점"/>
    <n v="4100"/>
    <n v="-4100"/>
    <x v="10"/>
    <s v="우유"/>
  </r>
  <r>
    <x v="1159"/>
    <x v="426"/>
    <x v="2"/>
    <x v="6"/>
    <n v="15"/>
    <x v="1"/>
    <x v="1"/>
    <x v="6"/>
    <s v="가구_가전"/>
    <n v="34590"/>
    <n v="-34590"/>
    <x v="89"/>
    <s v="시계"/>
  </r>
  <r>
    <x v="1160"/>
    <x v="427"/>
    <x v="2"/>
    <x v="6"/>
    <n v="16"/>
    <x v="1"/>
    <x v="3"/>
    <x v="3"/>
    <s v="외식"/>
    <n v="7500"/>
    <n v="-7500"/>
    <x v="207"/>
    <m/>
  </r>
  <r>
    <x v="1161"/>
    <x v="427"/>
    <x v="2"/>
    <x v="6"/>
    <n v="16"/>
    <x v="1"/>
    <x v="3"/>
    <x v="6"/>
    <s v="마트"/>
    <n v="12990"/>
    <n v="-12990"/>
    <x v="382"/>
    <m/>
  </r>
  <r>
    <x v="1162"/>
    <x v="427"/>
    <x v="2"/>
    <x v="6"/>
    <n v="16"/>
    <x v="1"/>
    <x v="1"/>
    <x v="5"/>
    <s v="커피_음료"/>
    <n v="1500"/>
    <n v="-1500"/>
    <x v="340"/>
    <m/>
  </r>
  <r>
    <x v="1163"/>
    <x v="428"/>
    <x v="2"/>
    <x v="6"/>
    <n v="17"/>
    <x v="3"/>
    <x v="0"/>
    <x v="0"/>
    <s v="내계좌이체"/>
    <n v="1000000"/>
    <n v="-1000000"/>
    <x v="137"/>
    <m/>
  </r>
  <r>
    <x v="1164"/>
    <x v="428"/>
    <x v="2"/>
    <x v="6"/>
    <n v="17"/>
    <x v="6"/>
    <x v="0"/>
    <x v="0"/>
    <s v="내계좌이체"/>
    <n v="-1000000"/>
    <n v="1000000"/>
    <x v="137"/>
    <m/>
  </r>
  <r>
    <x v="1165"/>
    <x v="429"/>
    <x v="2"/>
    <x v="6"/>
    <n v="18"/>
    <x v="1"/>
    <x v="3"/>
    <x v="3"/>
    <s v="외식"/>
    <n v="4600"/>
    <n v="-4600"/>
    <x v="83"/>
    <m/>
  </r>
  <r>
    <x v="1166"/>
    <x v="429"/>
    <x v="2"/>
    <x v="6"/>
    <n v="18"/>
    <x v="1"/>
    <x v="2"/>
    <x v="2"/>
    <s v="기타수입"/>
    <n v="-30000"/>
    <n v="30000"/>
    <x v="15"/>
    <m/>
  </r>
  <r>
    <x v="1167"/>
    <x v="430"/>
    <x v="2"/>
    <x v="6"/>
    <n v="20"/>
    <x v="1"/>
    <x v="1"/>
    <x v="16"/>
    <s v="교통비"/>
    <n v="275491"/>
    <n v="-275491"/>
    <x v="384"/>
    <s v="제주항공 수수료 6만제외 환불"/>
  </r>
  <r>
    <x v="1168"/>
    <x v="430"/>
    <x v="2"/>
    <x v="6"/>
    <n v="20"/>
    <x v="1"/>
    <x v="1"/>
    <x v="12"/>
    <s v="게임"/>
    <n v="18900"/>
    <n v="-18900"/>
    <x v="241"/>
    <m/>
  </r>
  <r>
    <x v="1169"/>
    <x v="430"/>
    <x v="2"/>
    <x v="6"/>
    <n v="20"/>
    <x v="1"/>
    <x v="1"/>
    <x v="3"/>
    <s v="외식"/>
    <n v="27000"/>
    <n v="-27000"/>
    <x v="385"/>
    <m/>
  </r>
  <r>
    <x v="1170"/>
    <x v="430"/>
    <x v="2"/>
    <x v="6"/>
    <n v="20"/>
    <x v="1"/>
    <x v="1"/>
    <x v="16"/>
    <s v="숙박비"/>
    <n v="1323"/>
    <n v="-1323"/>
    <x v="386"/>
    <s v="1월 일본 숙박비 취소"/>
  </r>
  <r>
    <x v="1171"/>
    <x v="430"/>
    <x v="2"/>
    <x v="6"/>
    <n v="20"/>
    <x v="1"/>
    <x v="1"/>
    <x v="12"/>
    <s v="취미"/>
    <n v="8500"/>
    <n v="-8500"/>
    <x v="279"/>
    <m/>
  </r>
  <r>
    <x v="1172"/>
    <x v="431"/>
    <x v="2"/>
    <x v="6"/>
    <n v="21"/>
    <x v="1"/>
    <x v="1"/>
    <x v="6"/>
    <s v="편의점"/>
    <n v="16350"/>
    <n v="-16350"/>
    <x v="10"/>
    <s v="우유 등"/>
  </r>
  <r>
    <x v="1173"/>
    <x v="432"/>
    <x v="2"/>
    <x v="6"/>
    <n v="22"/>
    <x v="6"/>
    <x v="1"/>
    <x v="15"/>
    <s v="수업료"/>
    <n v="160000"/>
    <n v="-160000"/>
    <x v="387"/>
    <m/>
  </r>
  <r>
    <x v="1174"/>
    <x v="433"/>
    <x v="2"/>
    <x v="6"/>
    <n v="23"/>
    <x v="1"/>
    <x v="3"/>
    <x v="3"/>
    <s v="포장"/>
    <n v="13000"/>
    <n v="-13000"/>
    <x v="326"/>
    <m/>
  </r>
  <r>
    <x v="1175"/>
    <x v="433"/>
    <x v="2"/>
    <x v="6"/>
    <n v="23"/>
    <x v="1"/>
    <x v="1"/>
    <x v="17"/>
    <s v="약국"/>
    <n v="9500"/>
    <n v="-9500"/>
    <x v="388"/>
    <m/>
  </r>
  <r>
    <x v="1176"/>
    <x v="433"/>
    <x v="2"/>
    <x v="6"/>
    <n v="23"/>
    <x v="1"/>
    <x v="3"/>
    <x v="6"/>
    <s v="마트"/>
    <n v="11960"/>
    <n v="-11960"/>
    <x v="382"/>
    <m/>
  </r>
  <r>
    <x v="1177"/>
    <x v="434"/>
    <x v="2"/>
    <x v="6"/>
    <n v="25"/>
    <x v="1"/>
    <x v="0"/>
    <x v="0"/>
    <s v="내계좌이체"/>
    <n v="-100000"/>
    <n v="100000"/>
    <x v="137"/>
    <m/>
  </r>
  <r>
    <x v="1178"/>
    <x v="434"/>
    <x v="2"/>
    <x v="6"/>
    <n v="25"/>
    <x v="6"/>
    <x v="0"/>
    <x v="0"/>
    <s v="내계좌이체"/>
    <n v="100000"/>
    <n v="-100000"/>
    <x v="78"/>
    <m/>
  </r>
  <r>
    <x v="1179"/>
    <x v="434"/>
    <x v="2"/>
    <x v="6"/>
    <n v="25"/>
    <x v="1"/>
    <x v="1"/>
    <x v="15"/>
    <s v="시험료"/>
    <n v="40000"/>
    <n v="-40000"/>
    <x v="389"/>
    <m/>
  </r>
  <r>
    <x v="1180"/>
    <x v="434"/>
    <x v="2"/>
    <x v="6"/>
    <n v="25"/>
    <x v="1"/>
    <x v="3"/>
    <x v="3"/>
    <s v="포장"/>
    <n v="5500"/>
    <n v="-5500"/>
    <x v="83"/>
    <m/>
  </r>
  <r>
    <x v="1181"/>
    <x v="434"/>
    <x v="2"/>
    <x v="6"/>
    <n v="25"/>
    <x v="1"/>
    <x v="1"/>
    <x v="12"/>
    <s v="기타"/>
    <n v="6000"/>
    <n v="-6000"/>
    <x v="363"/>
    <m/>
  </r>
  <r>
    <x v="1182"/>
    <x v="435"/>
    <x v="2"/>
    <x v="6"/>
    <n v="26"/>
    <x v="1"/>
    <x v="1"/>
    <x v="15"/>
    <s v="시험료"/>
    <n v="15000"/>
    <n v="-15000"/>
    <x v="389"/>
    <s v="면허증 수수료"/>
  </r>
  <r>
    <x v="1183"/>
    <x v="436"/>
    <x v="2"/>
    <x v="6"/>
    <n v="27"/>
    <x v="1"/>
    <x v="1"/>
    <x v="3"/>
    <s v="외식"/>
    <n v="12500"/>
    <n v="-12500"/>
    <x v="390"/>
    <m/>
  </r>
  <r>
    <x v="1184"/>
    <x v="436"/>
    <x v="2"/>
    <x v="6"/>
    <n v="27"/>
    <x v="1"/>
    <x v="1"/>
    <x v="12"/>
    <s v="전시_관람_체험"/>
    <n v="16000"/>
    <n v="-16000"/>
    <x v="391"/>
    <m/>
  </r>
  <r>
    <x v="1185"/>
    <x v="436"/>
    <x v="2"/>
    <x v="6"/>
    <n v="27"/>
    <x v="1"/>
    <x v="1"/>
    <x v="3"/>
    <s v="외식"/>
    <n v="8550"/>
    <n v="-8550"/>
    <x v="392"/>
    <m/>
  </r>
  <r>
    <x v="1186"/>
    <x v="436"/>
    <x v="2"/>
    <x v="6"/>
    <n v="27"/>
    <x v="1"/>
    <x v="1"/>
    <x v="13"/>
    <s v="주점"/>
    <n v="16000"/>
    <n v="-16000"/>
    <x v="393"/>
    <m/>
  </r>
  <r>
    <x v="1187"/>
    <x v="437"/>
    <x v="2"/>
    <x v="6"/>
    <n v="28"/>
    <x v="1"/>
    <x v="1"/>
    <x v="13"/>
    <s v="주점"/>
    <n v="21100"/>
    <n v="-21100"/>
    <x v="394"/>
    <m/>
  </r>
  <r>
    <x v="1188"/>
    <x v="437"/>
    <x v="2"/>
    <x v="6"/>
    <n v="28"/>
    <x v="1"/>
    <x v="1"/>
    <x v="5"/>
    <s v="커피_음료"/>
    <n v="5100"/>
    <n v="-5100"/>
    <x v="211"/>
    <m/>
  </r>
  <r>
    <x v="1189"/>
    <x v="437"/>
    <x v="2"/>
    <x v="6"/>
    <n v="28"/>
    <x v="1"/>
    <x v="1"/>
    <x v="12"/>
    <s v="기타"/>
    <n v="5000"/>
    <n v="-5000"/>
    <x v="235"/>
    <m/>
  </r>
  <r>
    <x v="1190"/>
    <x v="437"/>
    <x v="2"/>
    <x v="6"/>
    <n v="28"/>
    <x v="1"/>
    <x v="1"/>
    <x v="10"/>
    <s v="축의금"/>
    <n v="50000"/>
    <n v="-50000"/>
    <x v="395"/>
    <m/>
  </r>
  <r>
    <x v="1191"/>
    <x v="438"/>
    <x v="2"/>
    <x v="6"/>
    <n v="29"/>
    <x v="1"/>
    <x v="1"/>
    <x v="6"/>
    <s v="마트"/>
    <n v="18800"/>
    <n v="-18800"/>
    <x v="396"/>
    <m/>
  </r>
  <r>
    <x v="1192"/>
    <x v="438"/>
    <x v="2"/>
    <x v="6"/>
    <n v="29"/>
    <x v="1"/>
    <x v="1"/>
    <x v="6"/>
    <s v="세탁"/>
    <n v="25000"/>
    <n v="-25000"/>
    <x v="397"/>
    <m/>
  </r>
  <r>
    <x v="1193"/>
    <x v="439"/>
    <x v="2"/>
    <x v="6"/>
    <n v="30"/>
    <x v="1"/>
    <x v="1"/>
    <x v="3"/>
    <s v="포장"/>
    <n v="1800"/>
    <n v="-1800"/>
    <x v="83"/>
    <m/>
  </r>
  <r>
    <x v="1194"/>
    <x v="440"/>
    <x v="2"/>
    <x v="6"/>
    <n v="31"/>
    <x v="1"/>
    <x v="1"/>
    <x v="3"/>
    <s v="외식"/>
    <n v="13900"/>
    <n v="-13900"/>
    <x v="290"/>
    <m/>
  </r>
  <r>
    <x v="1195"/>
    <x v="440"/>
    <x v="2"/>
    <x v="6"/>
    <n v="31"/>
    <x v="1"/>
    <x v="1"/>
    <x v="12"/>
    <s v="게임"/>
    <n v="1000"/>
    <n v="-1000"/>
    <x v="343"/>
    <s v="김규빈 오락실 2000정산"/>
  </r>
  <r>
    <x v="1196"/>
    <x v="440"/>
    <x v="2"/>
    <x v="6"/>
    <n v="31"/>
    <x v="1"/>
    <x v="4"/>
    <x v="4"/>
    <s v="서비스구독"/>
    <n v="1421"/>
    <n v="-1421"/>
    <x v="84"/>
    <m/>
  </r>
  <r>
    <x v="1197"/>
    <x v="440"/>
    <x v="2"/>
    <x v="6"/>
    <n v="31"/>
    <x v="1"/>
    <x v="1"/>
    <x v="5"/>
    <s v="디저트_빵"/>
    <n v="3300"/>
    <n v="-3300"/>
    <x v="398"/>
    <m/>
  </r>
  <r>
    <x v="1198"/>
    <x v="441"/>
    <x v="2"/>
    <x v="7"/>
    <n v="1"/>
    <x v="1"/>
    <x v="5"/>
    <x v="9"/>
    <s v="용돈"/>
    <n v="-600000"/>
    <n v="600000"/>
    <x v="58"/>
    <s v="2월 생활비"/>
  </r>
  <r>
    <x v="1199"/>
    <x v="441"/>
    <x v="2"/>
    <x v="7"/>
    <n v="1"/>
    <x v="1"/>
    <x v="1"/>
    <x v="12"/>
    <s v="영화"/>
    <n v="8500"/>
    <n v="-8500"/>
    <x v="312"/>
    <m/>
  </r>
  <r>
    <x v="1200"/>
    <x v="441"/>
    <x v="2"/>
    <x v="7"/>
    <n v="1"/>
    <x v="1"/>
    <x v="3"/>
    <x v="3"/>
    <s v="외식"/>
    <n v="5500"/>
    <n v="-5500"/>
    <x v="198"/>
    <m/>
  </r>
  <r>
    <x v="1201"/>
    <x v="441"/>
    <x v="2"/>
    <x v="7"/>
    <n v="1"/>
    <x v="1"/>
    <x v="1"/>
    <x v="3"/>
    <s v="외식"/>
    <n v="7180"/>
    <n v="-7180"/>
    <x v="399"/>
    <m/>
  </r>
  <r>
    <x v="1202"/>
    <x v="442"/>
    <x v="2"/>
    <x v="7"/>
    <n v="2"/>
    <x v="1"/>
    <x v="1"/>
    <x v="6"/>
    <s v="편의점"/>
    <n v="6800"/>
    <n v="-6800"/>
    <x v="10"/>
    <s v="우유, 예감 등"/>
  </r>
  <r>
    <x v="1203"/>
    <x v="443"/>
    <x v="2"/>
    <x v="7"/>
    <n v="3"/>
    <x v="1"/>
    <x v="3"/>
    <x v="3"/>
    <s v="포장"/>
    <n v="4300"/>
    <n v="-4300"/>
    <x v="83"/>
    <s v="맥모닝"/>
  </r>
  <r>
    <x v="1204"/>
    <x v="444"/>
    <x v="2"/>
    <x v="7"/>
    <n v="5"/>
    <x v="1"/>
    <x v="1"/>
    <x v="7"/>
    <s v="대중교통"/>
    <n v="22960"/>
    <n v="-22960"/>
    <x v="33"/>
    <m/>
  </r>
  <r>
    <x v="1205"/>
    <x v="444"/>
    <x v="2"/>
    <x v="7"/>
    <n v="5"/>
    <x v="1"/>
    <x v="2"/>
    <x v="2"/>
    <s v="용돈"/>
    <n v="-50000"/>
    <n v="50000"/>
    <x v="169"/>
    <m/>
  </r>
  <r>
    <x v="1206"/>
    <x v="445"/>
    <x v="2"/>
    <x v="7"/>
    <n v="6"/>
    <x v="1"/>
    <x v="3"/>
    <x v="6"/>
    <s v="마트"/>
    <n v="25570"/>
    <n v="-25570"/>
    <x v="382"/>
    <m/>
  </r>
  <r>
    <x v="1207"/>
    <x v="446"/>
    <x v="2"/>
    <x v="7"/>
    <n v="7"/>
    <x v="1"/>
    <x v="1"/>
    <x v="10"/>
    <s v="선물"/>
    <n v="22500"/>
    <n v="-22500"/>
    <x v="17"/>
    <m/>
  </r>
  <r>
    <x v="1208"/>
    <x v="447"/>
    <x v="2"/>
    <x v="7"/>
    <n v="8"/>
    <x v="1"/>
    <x v="2"/>
    <x v="2"/>
    <s v="금융수입"/>
    <n v="-67"/>
    <n v="67"/>
    <x v="36"/>
    <m/>
  </r>
  <r>
    <x v="1209"/>
    <x v="447"/>
    <x v="2"/>
    <x v="7"/>
    <n v="8"/>
    <x v="1"/>
    <x v="1"/>
    <x v="1"/>
    <s v="주차"/>
    <n v="1000"/>
    <n v="-1000"/>
    <x v="400"/>
    <m/>
  </r>
  <r>
    <x v="1210"/>
    <x v="447"/>
    <x v="2"/>
    <x v="7"/>
    <n v="8"/>
    <x v="1"/>
    <x v="3"/>
    <x v="8"/>
    <s v="헤어샵"/>
    <n v="15000"/>
    <n v="-15000"/>
    <x v="95"/>
    <m/>
  </r>
  <r>
    <x v="1211"/>
    <x v="448"/>
    <x v="2"/>
    <x v="7"/>
    <n v="10"/>
    <x v="1"/>
    <x v="1"/>
    <x v="3"/>
    <s v="포장"/>
    <n v="17100"/>
    <n v="-17100"/>
    <x v="83"/>
    <m/>
  </r>
  <r>
    <x v="1212"/>
    <x v="448"/>
    <x v="2"/>
    <x v="7"/>
    <n v="10"/>
    <x v="1"/>
    <x v="2"/>
    <x v="2"/>
    <s v="기타수입"/>
    <n v="-1"/>
    <n v="1"/>
    <x v="124"/>
    <m/>
  </r>
  <r>
    <x v="1213"/>
    <x v="448"/>
    <x v="2"/>
    <x v="7"/>
    <n v="10"/>
    <x v="1"/>
    <x v="2"/>
    <x v="2"/>
    <s v="용돈"/>
    <n v="-350000"/>
    <n v="350000"/>
    <x v="401"/>
    <m/>
  </r>
  <r>
    <x v="1214"/>
    <x v="449"/>
    <x v="2"/>
    <x v="7"/>
    <n v="11"/>
    <x v="1"/>
    <x v="1"/>
    <x v="4"/>
    <s v="수수료"/>
    <n v="113"/>
    <n v="-113"/>
    <x v="402"/>
    <m/>
  </r>
  <r>
    <x v="1215"/>
    <x v="450"/>
    <x v="2"/>
    <x v="7"/>
    <n v="12"/>
    <x v="1"/>
    <x v="1"/>
    <x v="12"/>
    <s v="게임"/>
    <n v="75087"/>
    <n v="-75087"/>
    <x v="403"/>
    <m/>
  </r>
  <r>
    <x v="1216"/>
    <x v="450"/>
    <x v="2"/>
    <x v="7"/>
    <n v="12"/>
    <x v="1"/>
    <x v="4"/>
    <x v="18"/>
    <s v="가스비"/>
    <n v="47990"/>
    <n v="-47990"/>
    <x v="404"/>
    <m/>
  </r>
  <r>
    <x v="1217"/>
    <x v="451"/>
    <x v="2"/>
    <x v="7"/>
    <n v="13"/>
    <x v="1"/>
    <x v="1"/>
    <x v="6"/>
    <s v="편의점"/>
    <n v="12000"/>
    <n v="-12000"/>
    <x v="10"/>
    <s v="맥주"/>
  </r>
  <r>
    <x v="1218"/>
    <x v="451"/>
    <x v="2"/>
    <x v="7"/>
    <n v="13"/>
    <x v="1"/>
    <x v="3"/>
    <x v="3"/>
    <s v="외식"/>
    <n v="8500"/>
    <n v="-8500"/>
    <x v="405"/>
    <m/>
  </r>
  <r>
    <x v="1219"/>
    <x v="451"/>
    <x v="2"/>
    <x v="7"/>
    <n v="13"/>
    <x v="1"/>
    <x v="1"/>
    <x v="4"/>
    <s v="서비스구독"/>
    <n v="14850"/>
    <n v="-14850"/>
    <x v="5"/>
    <s v="2024상반기 디즈니플러스"/>
  </r>
  <r>
    <x v="1220"/>
    <x v="451"/>
    <x v="2"/>
    <x v="7"/>
    <n v="13"/>
    <x v="1"/>
    <x v="1"/>
    <x v="5"/>
    <s v="커피_음료"/>
    <n v="1600"/>
    <n v="-1600"/>
    <x v="106"/>
    <m/>
  </r>
  <r>
    <x v="1221"/>
    <x v="452"/>
    <x v="2"/>
    <x v="7"/>
    <n v="14"/>
    <x v="1"/>
    <x v="1"/>
    <x v="10"/>
    <s v="선물"/>
    <n v="2800"/>
    <n v="-2800"/>
    <x v="373"/>
    <m/>
  </r>
  <r>
    <x v="1222"/>
    <x v="452"/>
    <x v="2"/>
    <x v="7"/>
    <n v="14"/>
    <x v="1"/>
    <x v="1"/>
    <x v="6"/>
    <s v="마트"/>
    <n v="1000"/>
    <n v="-1000"/>
    <x v="98"/>
    <s v="눈썹칼"/>
  </r>
  <r>
    <x v="1223"/>
    <x v="452"/>
    <x v="2"/>
    <x v="7"/>
    <n v="14"/>
    <x v="1"/>
    <x v="1"/>
    <x v="4"/>
    <s v="인터넷쇼핑"/>
    <n v="16500"/>
    <n v="-16500"/>
    <x v="406"/>
    <m/>
  </r>
  <r>
    <x v="1224"/>
    <x v="452"/>
    <x v="2"/>
    <x v="7"/>
    <n v="14"/>
    <x v="1"/>
    <x v="1"/>
    <x v="5"/>
    <s v="아이스크림_빙수"/>
    <n v="7950"/>
    <n v="-7950"/>
    <x v="273"/>
    <m/>
  </r>
  <r>
    <x v="1225"/>
    <x v="452"/>
    <x v="2"/>
    <x v="7"/>
    <n v="14"/>
    <x v="1"/>
    <x v="3"/>
    <x v="3"/>
    <s v="외식"/>
    <n v="6100"/>
    <n v="-6100"/>
    <x v="407"/>
    <m/>
  </r>
  <r>
    <x v="1226"/>
    <x v="452"/>
    <x v="2"/>
    <x v="7"/>
    <n v="14"/>
    <x v="1"/>
    <x v="1"/>
    <x v="3"/>
    <s v="외식"/>
    <n v="19250"/>
    <n v="-19250"/>
    <x v="408"/>
    <m/>
  </r>
  <r>
    <x v="1227"/>
    <x v="453"/>
    <x v="2"/>
    <x v="7"/>
    <n v="15"/>
    <x v="1"/>
    <x v="1"/>
    <x v="6"/>
    <s v="편의점"/>
    <n v="8100"/>
    <n v="-8100"/>
    <x v="10"/>
    <m/>
  </r>
  <r>
    <x v="1228"/>
    <x v="453"/>
    <x v="2"/>
    <x v="7"/>
    <n v="15"/>
    <x v="1"/>
    <x v="1"/>
    <x v="12"/>
    <s v="게임"/>
    <n v="64800"/>
    <n v="-64800"/>
    <x v="241"/>
    <m/>
  </r>
  <r>
    <x v="1229"/>
    <x v="453"/>
    <x v="2"/>
    <x v="7"/>
    <n v="15"/>
    <x v="1"/>
    <x v="1"/>
    <x v="3"/>
    <s v="배달"/>
    <n v="49100"/>
    <n v="-49100"/>
    <x v="409"/>
    <m/>
  </r>
  <r>
    <x v="1230"/>
    <x v="454"/>
    <x v="2"/>
    <x v="7"/>
    <n v="16"/>
    <x v="1"/>
    <x v="3"/>
    <x v="6"/>
    <s v="마트"/>
    <n v="12380"/>
    <n v="-12380"/>
    <x v="382"/>
    <m/>
  </r>
  <r>
    <x v="1231"/>
    <x v="454"/>
    <x v="2"/>
    <x v="7"/>
    <n v="16"/>
    <x v="1"/>
    <x v="1"/>
    <x v="6"/>
    <s v="마트"/>
    <n v="9950"/>
    <n v="-9950"/>
    <x v="410"/>
    <m/>
  </r>
  <r>
    <x v="1232"/>
    <x v="455"/>
    <x v="2"/>
    <x v="7"/>
    <n v="20"/>
    <x v="1"/>
    <x v="1"/>
    <x v="16"/>
    <s v="관광"/>
    <n v="3000"/>
    <n v="-3000"/>
    <x v="411"/>
    <m/>
  </r>
  <r>
    <x v="1233"/>
    <x v="456"/>
    <x v="2"/>
    <x v="7"/>
    <n v="21"/>
    <x v="1"/>
    <x v="1"/>
    <x v="16"/>
    <s v="기념품"/>
    <n v="50000"/>
    <n v="-50000"/>
    <x v="412"/>
    <m/>
  </r>
  <r>
    <x v="1234"/>
    <x v="456"/>
    <x v="2"/>
    <x v="7"/>
    <n v="21"/>
    <x v="1"/>
    <x v="3"/>
    <x v="6"/>
    <s v="마트"/>
    <n v="10590"/>
    <n v="-10590"/>
    <x v="382"/>
    <m/>
  </r>
  <r>
    <x v="1235"/>
    <x v="456"/>
    <x v="2"/>
    <x v="7"/>
    <n v="21"/>
    <x v="1"/>
    <x v="1"/>
    <x v="16"/>
    <s v="교통비"/>
    <n v="67000"/>
    <n v="-67000"/>
    <x v="413"/>
    <m/>
  </r>
  <r>
    <x v="1236"/>
    <x v="457"/>
    <x v="2"/>
    <x v="7"/>
    <n v="22"/>
    <x v="1"/>
    <x v="3"/>
    <x v="3"/>
    <s v="외식"/>
    <n v="10950"/>
    <n v="-10950"/>
    <x v="254"/>
    <m/>
  </r>
  <r>
    <x v="1237"/>
    <x v="457"/>
    <x v="2"/>
    <x v="7"/>
    <n v="22"/>
    <x v="1"/>
    <x v="4"/>
    <x v="18"/>
    <s v="전기세"/>
    <n v="17300"/>
    <n v="-17300"/>
    <x v="414"/>
    <m/>
  </r>
  <r>
    <x v="1238"/>
    <x v="458"/>
    <x v="2"/>
    <x v="7"/>
    <n v="27"/>
    <x v="1"/>
    <x v="3"/>
    <x v="3"/>
    <s v="외식"/>
    <n v="7000"/>
    <n v="-7000"/>
    <x v="230"/>
    <m/>
  </r>
  <r>
    <x v="1239"/>
    <x v="459"/>
    <x v="2"/>
    <x v="7"/>
    <n v="28"/>
    <x v="1"/>
    <x v="1"/>
    <x v="5"/>
    <s v="아이스크림_빙수"/>
    <n v="6600"/>
    <n v="-6600"/>
    <x v="334"/>
    <m/>
  </r>
  <r>
    <x v="1240"/>
    <x v="459"/>
    <x v="2"/>
    <x v="7"/>
    <n v="28"/>
    <x v="1"/>
    <x v="1"/>
    <x v="5"/>
    <s v="베이커리"/>
    <n v="4500"/>
    <n v="-4500"/>
    <x v="415"/>
    <m/>
  </r>
  <r>
    <x v="1241"/>
    <x v="459"/>
    <x v="2"/>
    <x v="7"/>
    <n v="28"/>
    <x v="1"/>
    <x v="3"/>
    <x v="6"/>
    <s v="마트"/>
    <n v="16530"/>
    <n v="-16530"/>
    <x v="382"/>
    <m/>
  </r>
  <r>
    <x v="1242"/>
    <x v="460"/>
    <x v="2"/>
    <x v="7"/>
    <n v="29"/>
    <x v="1"/>
    <x v="4"/>
    <x v="4"/>
    <s v="서비스구독"/>
    <n v="1400"/>
    <n v="-1400"/>
    <x v="84"/>
    <m/>
  </r>
  <r>
    <x v="1243"/>
    <x v="461"/>
    <x v="2"/>
    <x v="8"/>
    <n v="1"/>
    <x v="1"/>
    <x v="5"/>
    <x v="9"/>
    <s v="용돈"/>
    <n v="-600000"/>
    <n v="600000"/>
    <x v="58"/>
    <s v="3월 생활비"/>
  </r>
  <r>
    <x v="1244"/>
    <x v="461"/>
    <x v="2"/>
    <x v="8"/>
    <n v="1"/>
    <x v="1"/>
    <x v="1"/>
    <x v="6"/>
    <s v="마트"/>
    <n v="3000"/>
    <n v="-3000"/>
    <x v="98"/>
    <m/>
  </r>
  <r>
    <x v="1245"/>
    <x v="461"/>
    <x v="2"/>
    <x v="8"/>
    <n v="1"/>
    <x v="1"/>
    <x v="1"/>
    <x v="5"/>
    <s v="커피_음료"/>
    <n v="13000"/>
    <n v="-13000"/>
    <x v="416"/>
    <s v="이효비 이체"/>
  </r>
  <r>
    <x v="1246"/>
    <x v="462"/>
    <x v="2"/>
    <x v="8"/>
    <n v="2"/>
    <x v="1"/>
    <x v="1"/>
    <x v="3"/>
    <s v="배달"/>
    <n v="21800"/>
    <n v="-21800"/>
    <x v="13"/>
    <m/>
  </r>
  <r>
    <x v="1247"/>
    <x v="463"/>
    <x v="2"/>
    <x v="8"/>
    <n v="3"/>
    <x v="1"/>
    <x v="1"/>
    <x v="6"/>
    <s v="편의점"/>
    <n v="13350"/>
    <n v="-13350"/>
    <x v="10"/>
    <m/>
  </r>
  <r>
    <x v="1248"/>
    <x v="463"/>
    <x v="2"/>
    <x v="8"/>
    <n v="3"/>
    <x v="1"/>
    <x v="1"/>
    <x v="3"/>
    <s v="외식"/>
    <n v="16000"/>
    <n v="-16000"/>
    <x v="417"/>
    <m/>
  </r>
  <r>
    <x v="1249"/>
    <x v="463"/>
    <x v="2"/>
    <x v="8"/>
    <n v="3"/>
    <x v="1"/>
    <x v="3"/>
    <x v="3"/>
    <s v="외식"/>
    <n v="8500"/>
    <n v="-8500"/>
    <x v="225"/>
    <m/>
  </r>
  <r>
    <x v="1250"/>
    <x v="463"/>
    <x v="2"/>
    <x v="8"/>
    <n v="3"/>
    <x v="1"/>
    <x v="1"/>
    <x v="6"/>
    <s v="편의점"/>
    <n v="1000"/>
    <n v="-1000"/>
    <x v="418"/>
    <m/>
  </r>
  <r>
    <x v="1251"/>
    <x v="463"/>
    <x v="2"/>
    <x v="8"/>
    <n v="3"/>
    <x v="1"/>
    <x v="1"/>
    <x v="6"/>
    <s v="편의점"/>
    <n v="2500"/>
    <n v="-2500"/>
    <x v="206"/>
    <m/>
  </r>
  <r>
    <x v="1252"/>
    <x v="463"/>
    <x v="2"/>
    <x v="8"/>
    <n v="3"/>
    <x v="1"/>
    <x v="1"/>
    <x v="16"/>
    <s v="교통비"/>
    <n v="12000"/>
    <n v="-12000"/>
    <x v="419"/>
    <s v="남산케이블카"/>
  </r>
  <r>
    <x v="1253"/>
    <x v="464"/>
    <x v="2"/>
    <x v="8"/>
    <n v="4"/>
    <x v="1"/>
    <x v="1"/>
    <x v="6"/>
    <s v="편의점"/>
    <n v="2500"/>
    <n v="-2500"/>
    <x v="10"/>
    <s v="생수 12L"/>
  </r>
  <r>
    <x v="1254"/>
    <x v="464"/>
    <x v="2"/>
    <x v="8"/>
    <n v="4"/>
    <x v="1"/>
    <x v="3"/>
    <x v="3"/>
    <s v="포장"/>
    <n v="15900"/>
    <n v="-15900"/>
    <x v="420"/>
    <m/>
  </r>
  <r>
    <x v="1255"/>
    <x v="465"/>
    <x v="2"/>
    <x v="8"/>
    <n v="5"/>
    <x v="1"/>
    <x v="2"/>
    <x v="2"/>
    <s v="기타수입"/>
    <n v="-236"/>
    <n v="236"/>
    <x v="124"/>
    <s v="구글"/>
  </r>
  <r>
    <x v="1256"/>
    <x v="465"/>
    <x v="2"/>
    <x v="8"/>
    <n v="5"/>
    <x v="1"/>
    <x v="3"/>
    <x v="3"/>
    <s v="외식"/>
    <n v="5000"/>
    <n v="-5000"/>
    <x v="193"/>
    <m/>
  </r>
  <r>
    <x v="1257"/>
    <x v="465"/>
    <x v="2"/>
    <x v="8"/>
    <n v="5"/>
    <x v="1"/>
    <x v="3"/>
    <x v="6"/>
    <s v="마트"/>
    <n v="7730"/>
    <n v="-7730"/>
    <x v="382"/>
    <m/>
  </r>
  <r>
    <x v="1258"/>
    <x v="465"/>
    <x v="2"/>
    <x v="8"/>
    <n v="5"/>
    <x v="1"/>
    <x v="1"/>
    <x v="6"/>
    <s v="마트"/>
    <n v="11050"/>
    <n v="-11050"/>
    <x v="410"/>
    <m/>
  </r>
  <r>
    <x v="1259"/>
    <x v="466"/>
    <x v="2"/>
    <x v="8"/>
    <n v="6"/>
    <x v="1"/>
    <x v="1"/>
    <x v="7"/>
    <s v="대중교통"/>
    <n v="15120"/>
    <n v="-15120"/>
    <x v="33"/>
    <m/>
  </r>
  <r>
    <x v="1260"/>
    <x v="466"/>
    <x v="2"/>
    <x v="8"/>
    <n v="6"/>
    <x v="1"/>
    <x v="2"/>
    <x v="2"/>
    <s v="사업수입"/>
    <n v="-1025"/>
    <n v="1025"/>
    <x v="421"/>
    <s v="구글콘솔 수입"/>
  </r>
  <r>
    <x v="1261"/>
    <x v="466"/>
    <x v="2"/>
    <x v="8"/>
    <n v="6"/>
    <x v="1"/>
    <x v="1"/>
    <x v="12"/>
    <s v="기타"/>
    <n v="25000"/>
    <n v="-25000"/>
    <x v="422"/>
    <s v="블라인드씨 가입비"/>
  </r>
  <r>
    <x v="1262"/>
    <x v="466"/>
    <x v="2"/>
    <x v="8"/>
    <n v="6"/>
    <x v="1"/>
    <x v="3"/>
    <x v="3"/>
    <s v="외식"/>
    <n v="5000"/>
    <n v="-5000"/>
    <x v="193"/>
    <m/>
  </r>
  <r>
    <x v="1263"/>
    <x v="467"/>
    <x v="2"/>
    <x v="8"/>
    <n v="7"/>
    <x v="1"/>
    <x v="3"/>
    <x v="3"/>
    <s v="외식"/>
    <n v="7500"/>
    <n v="-7500"/>
    <x v="230"/>
    <m/>
  </r>
  <r>
    <x v="1264"/>
    <x v="467"/>
    <x v="2"/>
    <x v="8"/>
    <n v="7"/>
    <x v="1"/>
    <x v="1"/>
    <x v="5"/>
    <s v="커피_음료"/>
    <n v="2600"/>
    <n v="-2600"/>
    <x v="309"/>
    <m/>
  </r>
  <r>
    <x v="1265"/>
    <x v="468"/>
    <x v="2"/>
    <x v="8"/>
    <n v="8"/>
    <x v="1"/>
    <x v="3"/>
    <x v="3"/>
    <s v="외식"/>
    <n v="5000"/>
    <n v="-5000"/>
    <x v="193"/>
    <m/>
  </r>
  <r>
    <x v="1266"/>
    <x v="469"/>
    <x v="2"/>
    <x v="8"/>
    <n v="9"/>
    <x v="1"/>
    <x v="3"/>
    <x v="8"/>
    <s v="헤어샵"/>
    <n v="15000"/>
    <n v="-15000"/>
    <x v="95"/>
    <m/>
  </r>
  <r>
    <x v="1267"/>
    <x v="470"/>
    <x v="2"/>
    <x v="8"/>
    <n v="11"/>
    <x v="1"/>
    <x v="3"/>
    <x v="3"/>
    <s v="외식"/>
    <n v="12000"/>
    <n v="-12000"/>
    <x v="252"/>
    <m/>
  </r>
  <r>
    <x v="1268"/>
    <x v="470"/>
    <x v="2"/>
    <x v="8"/>
    <n v="11"/>
    <x v="1"/>
    <x v="1"/>
    <x v="3"/>
    <s v="외식"/>
    <n v="27500"/>
    <n v="-27500"/>
    <x v="232"/>
    <m/>
  </r>
  <r>
    <x v="1269"/>
    <x v="471"/>
    <x v="2"/>
    <x v="8"/>
    <n v="12"/>
    <x v="1"/>
    <x v="1"/>
    <x v="6"/>
    <s v="편의점"/>
    <n v="12920"/>
    <n v="-12920"/>
    <x v="10"/>
    <m/>
  </r>
  <r>
    <x v="1270"/>
    <x v="471"/>
    <x v="2"/>
    <x v="8"/>
    <n v="12"/>
    <x v="1"/>
    <x v="2"/>
    <x v="2"/>
    <s v="용돈"/>
    <n v="-200000"/>
    <n v="200000"/>
    <x v="58"/>
    <s v="부모님 생일용돈"/>
  </r>
  <r>
    <x v="1271"/>
    <x v="471"/>
    <x v="2"/>
    <x v="8"/>
    <n v="12"/>
    <x v="1"/>
    <x v="3"/>
    <x v="3"/>
    <s v="외식"/>
    <n v="13000"/>
    <n v="-13000"/>
    <x v="221"/>
    <m/>
  </r>
  <r>
    <x v="1272"/>
    <x v="472"/>
    <x v="2"/>
    <x v="8"/>
    <n v="13"/>
    <x v="1"/>
    <x v="1"/>
    <x v="6"/>
    <s v="편의점"/>
    <n v="14700"/>
    <n v="-14700"/>
    <x v="324"/>
    <s v="화이트데이"/>
  </r>
  <r>
    <x v="1273"/>
    <x v="472"/>
    <x v="2"/>
    <x v="8"/>
    <n v="13"/>
    <x v="1"/>
    <x v="4"/>
    <x v="18"/>
    <s v="가스비"/>
    <n v="54180"/>
    <n v="-54180"/>
    <x v="404"/>
    <m/>
  </r>
  <r>
    <x v="1274"/>
    <x v="472"/>
    <x v="2"/>
    <x v="8"/>
    <n v="13"/>
    <x v="1"/>
    <x v="3"/>
    <x v="3"/>
    <s v="외식"/>
    <n v="7500"/>
    <n v="-7500"/>
    <x v="223"/>
    <m/>
  </r>
  <r>
    <x v="1275"/>
    <x v="473"/>
    <x v="2"/>
    <x v="8"/>
    <n v="14"/>
    <x v="1"/>
    <x v="1"/>
    <x v="6"/>
    <s v="편의점"/>
    <n v="1800"/>
    <n v="-1800"/>
    <x v="324"/>
    <s v="예빈이 커피"/>
  </r>
  <r>
    <x v="1276"/>
    <x v="473"/>
    <x v="2"/>
    <x v="8"/>
    <n v="14"/>
    <x v="1"/>
    <x v="3"/>
    <x v="3"/>
    <s v="외식"/>
    <n v="8100"/>
    <n v="-8100"/>
    <x v="83"/>
    <m/>
  </r>
  <r>
    <x v="1277"/>
    <x v="474"/>
    <x v="2"/>
    <x v="8"/>
    <n v="15"/>
    <x v="1"/>
    <x v="3"/>
    <x v="3"/>
    <s v="외식"/>
    <n v="10000"/>
    <n v="-10000"/>
    <x v="423"/>
    <s v="손인서 이체"/>
  </r>
  <r>
    <x v="1278"/>
    <x v="474"/>
    <x v="2"/>
    <x v="8"/>
    <n v="15"/>
    <x v="1"/>
    <x v="3"/>
    <x v="3"/>
    <s v="외식"/>
    <n v="6000"/>
    <n v="-6000"/>
    <x v="198"/>
    <m/>
  </r>
  <r>
    <x v="1279"/>
    <x v="474"/>
    <x v="2"/>
    <x v="8"/>
    <n v="15"/>
    <x v="1"/>
    <x v="3"/>
    <x v="3"/>
    <s v="외식"/>
    <n v="9000"/>
    <n v="-9000"/>
    <x v="254"/>
    <m/>
  </r>
  <r>
    <x v="1280"/>
    <x v="475"/>
    <x v="2"/>
    <x v="8"/>
    <n v="16"/>
    <x v="1"/>
    <x v="1"/>
    <x v="3"/>
    <s v="외식"/>
    <n v="21000"/>
    <n v="-21000"/>
    <x v="424"/>
    <s v="최승효 이체"/>
  </r>
  <r>
    <x v="1281"/>
    <x v="475"/>
    <x v="2"/>
    <x v="8"/>
    <n v="16"/>
    <x v="1"/>
    <x v="1"/>
    <x v="10"/>
    <s v="선물"/>
    <n v="20000"/>
    <n v="-20000"/>
    <x v="17"/>
    <s v="예빈이 스벅"/>
  </r>
  <r>
    <x v="1282"/>
    <x v="476"/>
    <x v="2"/>
    <x v="8"/>
    <n v="17"/>
    <x v="1"/>
    <x v="1"/>
    <x v="12"/>
    <s v="게임"/>
    <n v="6000"/>
    <n v="-6000"/>
    <x v="102"/>
    <m/>
  </r>
  <r>
    <x v="1283"/>
    <x v="476"/>
    <x v="2"/>
    <x v="8"/>
    <n v="17"/>
    <x v="1"/>
    <x v="1"/>
    <x v="6"/>
    <s v="전자제품"/>
    <n v="20000"/>
    <n v="-20000"/>
    <x v="425"/>
    <s v="조이스틱"/>
  </r>
  <r>
    <x v="1284"/>
    <x v="476"/>
    <x v="2"/>
    <x v="8"/>
    <n v="17"/>
    <x v="1"/>
    <x v="3"/>
    <x v="6"/>
    <s v="마트"/>
    <n v="1650"/>
    <n v="-1650"/>
    <x v="382"/>
    <m/>
  </r>
  <r>
    <x v="1285"/>
    <x v="477"/>
    <x v="2"/>
    <x v="8"/>
    <n v="18"/>
    <x v="1"/>
    <x v="1"/>
    <x v="6"/>
    <s v="편의점"/>
    <n v="14100"/>
    <n v="-14100"/>
    <x v="10"/>
    <s v="우유 라면 계란"/>
  </r>
  <r>
    <x v="1286"/>
    <x v="477"/>
    <x v="2"/>
    <x v="8"/>
    <n v="18"/>
    <x v="1"/>
    <x v="1"/>
    <x v="4"/>
    <s v="인터넷쇼핑"/>
    <n v="29060"/>
    <n v="-29060"/>
    <x v="426"/>
    <m/>
  </r>
  <r>
    <x v="1287"/>
    <x v="477"/>
    <x v="2"/>
    <x v="8"/>
    <n v="18"/>
    <x v="1"/>
    <x v="3"/>
    <x v="3"/>
    <s v="외식"/>
    <n v="15000"/>
    <n v="-15000"/>
    <x v="224"/>
    <s v="예빈이것까지"/>
  </r>
  <r>
    <x v="1288"/>
    <x v="478"/>
    <x v="2"/>
    <x v="8"/>
    <n v="19"/>
    <x v="1"/>
    <x v="3"/>
    <x v="3"/>
    <s v="외식"/>
    <n v="10500"/>
    <n v="-10500"/>
    <x v="405"/>
    <m/>
  </r>
  <r>
    <x v="1289"/>
    <x v="478"/>
    <x v="2"/>
    <x v="8"/>
    <n v="19"/>
    <x v="1"/>
    <x v="3"/>
    <x v="3"/>
    <s v="외식"/>
    <n v="20700"/>
    <n v="-20700"/>
    <x v="333"/>
    <m/>
  </r>
  <r>
    <x v="1290"/>
    <x v="479"/>
    <x v="2"/>
    <x v="8"/>
    <n v="20"/>
    <x v="1"/>
    <x v="1"/>
    <x v="4"/>
    <s v="인터넷쇼핑"/>
    <n v="130000"/>
    <n v="-130000"/>
    <x v="427"/>
    <s v="서피스펜"/>
  </r>
  <r>
    <x v="1291"/>
    <x v="479"/>
    <x v="2"/>
    <x v="8"/>
    <n v="20"/>
    <x v="1"/>
    <x v="2"/>
    <x v="2"/>
    <s v="기타수입"/>
    <n v="-1"/>
    <n v="1"/>
    <x v="124"/>
    <m/>
  </r>
  <r>
    <x v="1292"/>
    <x v="479"/>
    <x v="2"/>
    <x v="8"/>
    <n v="20"/>
    <x v="1"/>
    <x v="3"/>
    <x v="3"/>
    <s v="외식"/>
    <n v="1000"/>
    <n v="-1000"/>
    <x v="193"/>
    <m/>
  </r>
  <r>
    <x v="1293"/>
    <x v="479"/>
    <x v="2"/>
    <x v="8"/>
    <n v="20"/>
    <x v="1"/>
    <x v="1"/>
    <x v="5"/>
    <s v="디저트_빵"/>
    <n v="3600"/>
    <n v="-3600"/>
    <x v="362"/>
    <s v="예빈이것까지"/>
  </r>
  <r>
    <x v="1294"/>
    <x v="479"/>
    <x v="2"/>
    <x v="8"/>
    <n v="20"/>
    <x v="1"/>
    <x v="3"/>
    <x v="3"/>
    <s v="외식"/>
    <n v="9650"/>
    <n v="-9650"/>
    <x v="261"/>
    <m/>
  </r>
  <r>
    <x v="1295"/>
    <x v="479"/>
    <x v="2"/>
    <x v="8"/>
    <n v="20"/>
    <x v="1"/>
    <x v="4"/>
    <x v="18"/>
    <s v="전기세"/>
    <n v="14590"/>
    <n v="-14590"/>
    <x v="414"/>
    <m/>
  </r>
  <r>
    <x v="1296"/>
    <x v="480"/>
    <x v="2"/>
    <x v="8"/>
    <n v="21"/>
    <x v="1"/>
    <x v="3"/>
    <x v="3"/>
    <s v="외식"/>
    <n v="8500"/>
    <n v="-8500"/>
    <x v="254"/>
    <m/>
  </r>
  <r>
    <x v="1297"/>
    <x v="480"/>
    <x v="2"/>
    <x v="8"/>
    <n v="21"/>
    <x v="1"/>
    <x v="3"/>
    <x v="3"/>
    <s v="외식"/>
    <n v="4000"/>
    <n v="-4000"/>
    <x v="310"/>
    <m/>
  </r>
  <r>
    <x v="1298"/>
    <x v="481"/>
    <x v="2"/>
    <x v="8"/>
    <n v="22"/>
    <x v="1"/>
    <x v="3"/>
    <x v="3"/>
    <s v="외식"/>
    <n v="7500"/>
    <n v="-7500"/>
    <x v="207"/>
    <m/>
  </r>
  <r>
    <x v="1299"/>
    <x v="481"/>
    <x v="2"/>
    <x v="8"/>
    <n v="22"/>
    <x v="1"/>
    <x v="3"/>
    <x v="3"/>
    <s v="외식"/>
    <n v="7200"/>
    <n v="-7200"/>
    <x v="198"/>
    <m/>
  </r>
  <r>
    <x v="1300"/>
    <x v="481"/>
    <x v="2"/>
    <x v="8"/>
    <n v="22"/>
    <x v="1"/>
    <x v="1"/>
    <x v="17"/>
    <s v="약국"/>
    <n v="10000"/>
    <n v="-10000"/>
    <x v="196"/>
    <m/>
  </r>
  <r>
    <x v="1301"/>
    <x v="481"/>
    <x v="2"/>
    <x v="8"/>
    <n v="22"/>
    <x v="1"/>
    <x v="1"/>
    <x v="5"/>
    <s v="커피_음료"/>
    <n v="7000"/>
    <n v="-7000"/>
    <x v="340"/>
    <m/>
  </r>
  <r>
    <x v="1302"/>
    <x v="482"/>
    <x v="2"/>
    <x v="8"/>
    <n v="25"/>
    <x v="1"/>
    <x v="1"/>
    <x v="4"/>
    <s v="인터넷쇼핑"/>
    <n v="13000"/>
    <n v="-13000"/>
    <x v="82"/>
    <s v="텀블러"/>
  </r>
  <r>
    <x v="1303"/>
    <x v="482"/>
    <x v="2"/>
    <x v="8"/>
    <n v="25"/>
    <x v="1"/>
    <x v="3"/>
    <x v="3"/>
    <s v="외식"/>
    <n v="7500"/>
    <n v="-7500"/>
    <x v="223"/>
    <m/>
  </r>
  <r>
    <x v="1304"/>
    <x v="483"/>
    <x v="2"/>
    <x v="8"/>
    <n v="26"/>
    <x v="1"/>
    <x v="1"/>
    <x v="6"/>
    <s v="편의점"/>
    <n v="4100"/>
    <n v="-4100"/>
    <x v="10"/>
    <s v="우유"/>
  </r>
  <r>
    <x v="1305"/>
    <x v="483"/>
    <x v="2"/>
    <x v="8"/>
    <n v="26"/>
    <x v="1"/>
    <x v="3"/>
    <x v="3"/>
    <s v="외식"/>
    <n v="9500"/>
    <n v="-9500"/>
    <x v="221"/>
    <m/>
  </r>
  <r>
    <x v="1306"/>
    <x v="483"/>
    <x v="2"/>
    <x v="8"/>
    <n v="26"/>
    <x v="1"/>
    <x v="3"/>
    <x v="3"/>
    <s v="외식"/>
    <n v="9000"/>
    <n v="-9000"/>
    <x v="214"/>
    <m/>
  </r>
  <r>
    <x v="1307"/>
    <x v="484"/>
    <x v="2"/>
    <x v="8"/>
    <n v="27"/>
    <x v="1"/>
    <x v="1"/>
    <x v="5"/>
    <s v="아이스크림_빙수"/>
    <n v="1850"/>
    <n v="-1850"/>
    <x v="197"/>
    <s v="요거바라"/>
  </r>
  <r>
    <x v="1308"/>
    <x v="484"/>
    <x v="2"/>
    <x v="8"/>
    <n v="27"/>
    <x v="1"/>
    <x v="3"/>
    <x v="3"/>
    <s v="외식"/>
    <n v="5950"/>
    <n v="-5950"/>
    <x v="335"/>
    <m/>
  </r>
  <r>
    <x v="1309"/>
    <x v="485"/>
    <x v="2"/>
    <x v="8"/>
    <n v="28"/>
    <x v="1"/>
    <x v="3"/>
    <x v="3"/>
    <s v="외식"/>
    <n v="11000"/>
    <n v="-11000"/>
    <x v="232"/>
    <m/>
  </r>
  <r>
    <x v="1310"/>
    <x v="485"/>
    <x v="2"/>
    <x v="8"/>
    <n v="28"/>
    <x v="1"/>
    <x v="3"/>
    <x v="3"/>
    <s v="외식"/>
    <n v="7500"/>
    <n v="-7500"/>
    <x v="254"/>
    <m/>
  </r>
  <r>
    <x v="1311"/>
    <x v="486"/>
    <x v="2"/>
    <x v="8"/>
    <n v="29"/>
    <x v="1"/>
    <x v="3"/>
    <x v="3"/>
    <s v="외식"/>
    <n v="12900"/>
    <n v="-12900"/>
    <x v="307"/>
    <m/>
  </r>
  <r>
    <x v="1312"/>
    <x v="486"/>
    <x v="2"/>
    <x v="8"/>
    <n v="29"/>
    <x v="1"/>
    <x v="4"/>
    <x v="4"/>
    <s v="서비스구독"/>
    <n v="1385"/>
    <n v="-1385"/>
    <x v="84"/>
    <m/>
  </r>
  <r>
    <x v="1313"/>
    <x v="486"/>
    <x v="2"/>
    <x v="8"/>
    <n v="29"/>
    <x v="1"/>
    <x v="3"/>
    <x v="3"/>
    <s v="외식"/>
    <n v="23300"/>
    <n v="-23300"/>
    <x v="261"/>
    <s v="예빈이것까지"/>
  </r>
  <r>
    <x v="1314"/>
    <x v="487"/>
    <x v="2"/>
    <x v="8"/>
    <n v="30"/>
    <x v="1"/>
    <x v="1"/>
    <x v="10"/>
    <s v="선물"/>
    <n v="4000"/>
    <n v="-4000"/>
    <x v="345"/>
    <m/>
  </r>
  <r>
    <x v="1315"/>
    <x v="488"/>
    <x v="2"/>
    <x v="9"/>
    <n v="1"/>
    <x v="1"/>
    <x v="1"/>
    <x v="6"/>
    <s v="편의점"/>
    <n v="7100"/>
    <n v="-7100"/>
    <x v="10"/>
    <s v="계란+오레오"/>
  </r>
  <r>
    <x v="1316"/>
    <x v="488"/>
    <x v="2"/>
    <x v="9"/>
    <n v="1"/>
    <x v="1"/>
    <x v="5"/>
    <x v="9"/>
    <s v="용돈"/>
    <n v="-600000"/>
    <n v="600000"/>
    <x v="58"/>
    <s v="4월 생활비"/>
  </r>
  <r>
    <x v="1317"/>
    <x v="488"/>
    <x v="2"/>
    <x v="9"/>
    <n v="1"/>
    <x v="1"/>
    <x v="3"/>
    <x v="3"/>
    <s v="외식"/>
    <n v="6000"/>
    <n v="-6000"/>
    <x v="198"/>
    <m/>
  </r>
  <r>
    <x v="1318"/>
    <x v="488"/>
    <x v="2"/>
    <x v="9"/>
    <n v="1"/>
    <x v="1"/>
    <x v="3"/>
    <x v="3"/>
    <s v="외식"/>
    <n v="7500"/>
    <n v="-7500"/>
    <x v="223"/>
    <m/>
  </r>
  <r>
    <x v="1319"/>
    <x v="489"/>
    <x v="2"/>
    <x v="9"/>
    <n v="2"/>
    <x v="1"/>
    <x v="3"/>
    <x v="3"/>
    <s v="외식"/>
    <n v="12000"/>
    <n v="-12000"/>
    <x v="252"/>
    <m/>
  </r>
  <r>
    <x v="1320"/>
    <x v="489"/>
    <x v="2"/>
    <x v="9"/>
    <n v="2"/>
    <x v="1"/>
    <x v="1"/>
    <x v="5"/>
    <s v="아이스크림_빙수"/>
    <n v="1400"/>
    <n v="-1400"/>
    <x v="334"/>
    <m/>
  </r>
  <r>
    <x v="1321"/>
    <x v="489"/>
    <x v="2"/>
    <x v="9"/>
    <n v="2"/>
    <x v="1"/>
    <x v="3"/>
    <x v="3"/>
    <s v="외식"/>
    <n v="5000"/>
    <n v="-5000"/>
    <x v="220"/>
    <m/>
  </r>
  <r>
    <x v="1322"/>
    <x v="490"/>
    <x v="2"/>
    <x v="9"/>
    <n v="3"/>
    <x v="1"/>
    <x v="1"/>
    <x v="7"/>
    <s v="대중교통"/>
    <n v="20080"/>
    <n v="-20080"/>
    <x v="33"/>
    <m/>
  </r>
  <r>
    <x v="1323"/>
    <x v="490"/>
    <x v="2"/>
    <x v="9"/>
    <n v="3"/>
    <x v="1"/>
    <x v="3"/>
    <x v="3"/>
    <s v="외식"/>
    <n v="6400"/>
    <n v="-6400"/>
    <x v="83"/>
    <m/>
  </r>
  <r>
    <x v="1324"/>
    <x v="490"/>
    <x v="2"/>
    <x v="9"/>
    <n v="3"/>
    <x v="1"/>
    <x v="3"/>
    <x v="3"/>
    <s v="외식"/>
    <n v="8000"/>
    <n v="-8000"/>
    <x v="233"/>
    <m/>
  </r>
  <r>
    <x v="1325"/>
    <x v="491"/>
    <x v="2"/>
    <x v="9"/>
    <n v="4"/>
    <x v="1"/>
    <x v="1"/>
    <x v="7"/>
    <s v="렌터카"/>
    <n v="33820"/>
    <n v="-33820"/>
    <x v="428"/>
    <s v="대여비+주행비"/>
  </r>
  <r>
    <x v="1326"/>
    <x v="491"/>
    <x v="2"/>
    <x v="9"/>
    <n v="4"/>
    <x v="1"/>
    <x v="1"/>
    <x v="5"/>
    <s v="아이스크림_빙수"/>
    <n v="3900"/>
    <n v="-3900"/>
    <x v="113"/>
    <m/>
  </r>
  <r>
    <x v="1327"/>
    <x v="491"/>
    <x v="2"/>
    <x v="9"/>
    <n v="4"/>
    <x v="1"/>
    <x v="3"/>
    <x v="3"/>
    <s v="외식"/>
    <n v="8900"/>
    <n v="-8900"/>
    <x v="254"/>
    <m/>
  </r>
  <r>
    <x v="1328"/>
    <x v="491"/>
    <x v="2"/>
    <x v="9"/>
    <n v="4"/>
    <x v="1"/>
    <x v="3"/>
    <x v="3"/>
    <s v="외식"/>
    <n v="7000"/>
    <n v="-7000"/>
    <x v="310"/>
    <m/>
  </r>
  <r>
    <x v="1329"/>
    <x v="492"/>
    <x v="2"/>
    <x v="9"/>
    <n v="5"/>
    <x v="1"/>
    <x v="1"/>
    <x v="5"/>
    <s v="디저트_빵"/>
    <n v="3100"/>
    <n v="-3100"/>
    <x v="429"/>
    <m/>
  </r>
  <r>
    <x v="1330"/>
    <x v="492"/>
    <x v="2"/>
    <x v="9"/>
    <n v="5"/>
    <x v="1"/>
    <x v="1"/>
    <x v="4"/>
    <s v="인터넷쇼핑"/>
    <n v="33700"/>
    <n v="-33700"/>
    <x v="406"/>
    <m/>
  </r>
  <r>
    <x v="1331"/>
    <x v="492"/>
    <x v="2"/>
    <x v="9"/>
    <n v="5"/>
    <x v="1"/>
    <x v="3"/>
    <x v="8"/>
    <s v="헤어샵"/>
    <n v="15000"/>
    <n v="-15000"/>
    <x v="95"/>
    <m/>
  </r>
  <r>
    <x v="1332"/>
    <x v="492"/>
    <x v="2"/>
    <x v="9"/>
    <n v="5"/>
    <x v="1"/>
    <x v="2"/>
    <x v="2"/>
    <s v="기타수입"/>
    <n v="-20000"/>
    <n v="20000"/>
    <x v="15"/>
    <m/>
  </r>
  <r>
    <x v="1333"/>
    <x v="493"/>
    <x v="2"/>
    <x v="9"/>
    <n v="6"/>
    <x v="1"/>
    <x v="3"/>
    <x v="3"/>
    <s v="외식"/>
    <n v="32900"/>
    <n v="-32900"/>
    <x v="430"/>
    <m/>
  </r>
  <r>
    <x v="1334"/>
    <x v="493"/>
    <x v="2"/>
    <x v="9"/>
    <n v="6"/>
    <x v="1"/>
    <x v="1"/>
    <x v="6"/>
    <s v="편의점"/>
    <n v="2200"/>
    <n v="-2200"/>
    <x v="206"/>
    <s v="음료수"/>
  </r>
  <r>
    <x v="1335"/>
    <x v="494"/>
    <x v="2"/>
    <x v="9"/>
    <n v="7"/>
    <x v="1"/>
    <x v="1"/>
    <x v="6"/>
    <s v="편의점"/>
    <n v="31080"/>
    <n v="-31080"/>
    <x v="10"/>
    <s v="맥주, 하겐다즈"/>
  </r>
  <r>
    <x v="1336"/>
    <x v="494"/>
    <x v="2"/>
    <x v="9"/>
    <n v="7"/>
    <x v="1"/>
    <x v="3"/>
    <x v="3"/>
    <s v="외식"/>
    <n v="8000"/>
    <n v="-8000"/>
    <x v="224"/>
    <m/>
  </r>
  <r>
    <x v="1337"/>
    <x v="495"/>
    <x v="2"/>
    <x v="9"/>
    <n v="8"/>
    <x v="1"/>
    <x v="1"/>
    <x v="6"/>
    <s v="편의점"/>
    <n v="6300"/>
    <n v="-6300"/>
    <x v="10"/>
    <s v="우유, 빵"/>
  </r>
  <r>
    <x v="1338"/>
    <x v="495"/>
    <x v="2"/>
    <x v="9"/>
    <n v="8"/>
    <x v="1"/>
    <x v="3"/>
    <x v="3"/>
    <s v="외식"/>
    <n v="6200"/>
    <n v="-6200"/>
    <x v="215"/>
    <m/>
  </r>
  <r>
    <x v="1339"/>
    <x v="495"/>
    <x v="2"/>
    <x v="9"/>
    <n v="8"/>
    <x v="1"/>
    <x v="3"/>
    <x v="3"/>
    <s v="외식"/>
    <n v="6500"/>
    <n v="-6500"/>
    <x v="223"/>
    <m/>
  </r>
  <r>
    <x v="1340"/>
    <x v="496"/>
    <x v="2"/>
    <x v="9"/>
    <n v="9"/>
    <x v="1"/>
    <x v="3"/>
    <x v="3"/>
    <s v="외식"/>
    <n v="7500"/>
    <n v="-7500"/>
    <x v="207"/>
    <m/>
  </r>
  <r>
    <x v="1341"/>
    <x v="497"/>
    <x v="2"/>
    <x v="9"/>
    <n v="10"/>
    <x v="1"/>
    <x v="3"/>
    <x v="3"/>
    <s v="외식"/>
    <n v="13000"/>
    <n v="-13000"/>
    <x v="252"/>
    <m/>
  </r>
  <r>
    <x v="1342"/>
    <x v="497"/>
    <x v="2"/>
    <x v="9"/>
    <n v="10"/>
    <x v="1"/>
    <x v="4"/>
    <x v="18"/>
    <s v="가스비"/>
    <n v="53230"/>
    <n v="-53230"/>
    <x v="404"/>
    <m/>
  </r>
  <r>
    <x v="1343"/>
    <x v="498"/>
    <x v="2"/>
    <x v="9"/>
    <n v="11"/>
    <x v="1"/>
    <x v="3"/>
    <x v="3"/>
    <s v="외식"/>
    <n v="6000"/>
    <n v="-6000"/>
    <x v="220"/>
    <m/>
  </r>
  <r>
    <x v="1344"/>
    <x v="498"/>
    <x v="2"/>
    <x v="9"/>
    <n v="11"/>
    <x v="1"/>
    <x v="3"/>
    <x v="3"/>
    <s v="외식"/>
    <n v="7000"/>
    <n v="-7000"/>
    <x v="310"/>
    <m/>
  </r>
  <r>
    <x v="1345"/>
    <x v="499"/>
    <x v="2"/>
    <x v="9"/>
    <n v="12"/>
    <x v="1"/>
    <x v="3"/>
    <x v="3"/>
    <s v="외식"/>
    <n v="8000"/>
    <n v="-8000"/>
    <x v="207"/>
    <m/>
  </r>
  <r>
    <x v="1346"/>
    <x v="499"/>
    <x v="2"/>
    <x v="9"/>
    <n v="12"/>
    <x v="1"/>
    <x v="3"/>
    <x v="3"/>
    <s v="외식"/>
    <n v="7500"/>
    <n v="-7500"/>
    <x v="254"/>
    <m/>
  </r>
  <r>
    <x v="1347"/>
    <x v="500"/>
    <x v="2"/>
    <x v="9"/>
    <n v="13"/>
    <x v="1"/>
    <x v="3"/>
    <x v="3"/>
    <s v="외식"/>
    <n v="6500"/>
    <n v="-6500"/>
    <x v="83"/>
    <m/>
  </r>
  <r>
    <x v="1348"/>
    <x v="500"/>
    <x v="2"/>
    <x v="9"/>
    <n v="13"/>
    <x v="1"/>
    <x v="3"/>
    <x v="3"/>
    <s v="외식"/>
    <n v="6500"/>
    <n v="-6500"/>
    <x v="223"/>
    <m/>
  </r>
  <r>
    <x v="1349"/>
    <x v="501"/>
    <x v="2"/>
    <x v="9"/>
    <n v="14"/>
    <x v="1"/>
    <x v="3"/>
    <x v="3"/>
    <s v="외식"/>
    <n v="8500"/>
    <n v="-8500"/>
    <x v="292"/>
    <m/>
  </r>
  <r>
    <x v="1350"/>
    <x v="501"/>
    <x v="2"/>
    <x v="9"/>
    <n v="14"/>
    <x v="1"/>
    <x v="3"/>
    <x v="6"/>
    <s v="편의점"/>
    <n v="3900"/>
    <n v="-3900"/>
    <x v="206"/>
    <m/>
  </r>
  <r>
    <x v="1351"/>
    <x v="502"/>
    <x v="2"/>
    <x v="9"/>
    <n v="15"/>
    <x v="1"/>
    <x v="3"/>
    <x v="3"/>
    <s v="외식"/>
    <n v="5000"/>
    <n v="-5000"/>
    <x v="193"/>
    <m/>
  </r>
  <r>
    <x v="1352"/>
    <x v="503"/>
    <x v="2"/>
    <x v="9"/>
    <n v="16"/>
    <x v="1"/>
    <x v="3"/>
    <x v="3"/>
    <s v="외식"/>
    <n v="9900"/>
    <n v="-9900"/>
    <x v="307"/>
    <m/>
  </r>
  <r>
    <x v="1353"/>
    <x v="503"/>
    <x v="2"/>
    <x v="9"/>
    <n v="16"/>
    <x v="1"/>
    <x v="3"/>
    <x v="3"/>
    <s v="외식"/>
    <n v="7500"/>
    <n v="-7500"/>
    <x v="223"/>
    <m/>
  </r>
  <r>
    <x v="1354"/>
    <x v="503"/>
    <x v="2"/>
    <x v="9"/>
    <n v="16"/>
    <x v="6"/>
    <x v="1"/>
    <x v="6"/>
    <s v="전자제품"/>
    <n v="216019"/>
    <n v="-216019"/>
    <x v="431"/>
    <s v="소니 헤드셋"/>
  </r>
  <r>
    <x v="1355"/>
    <x v="504"/>
    <x v="2"/>
    <x v="9"/>
    <n v="17"/>
    <x v="1"/>
    <x v="1"/>
    <x v="6"/>
    <s v="편의점"/>
    <n v="4100"/>
    <n v="-4100"/>
    <x v="10"/>
    <s v="우유"/>
  </r>
  <r>
    <x v="1356"/>
    <x v="504"/>
    <x v="2"/>
    <x v="9"/>
    <n v="17"/>
    <x v="1"/>
    <x v="1"/>
    <x v="3"/>
    <s v="외식"/>
    <n v="9000"/>
    <n v="-9000"/>
    <x v="233"/>
    <m/>
  </r>
  <r>
    <x v="1357"/>
    <x v="504"/>
    <x v="2"/>
    <x v="9"/>
    <n v="17"/>
    <x v="1"/>
    <x v="1"/>
    <x v="3"/>
    <s v="외식"/>
    <n v="9500"/>
    <n v="-9500"/>
    <x v="131"/>
    <m/>
  </r>
  <r>
    <x v="1358"/>
    <x v="505"/>
    <x v="2"/>
    <x v="9"/>
    <n v="18"/>
    <x v="1"/>
    <x v="3"/>
    <x v="3"/>
    <s v="외식"/>
    <n v="9900"/>
    <n v="-9900"/>
    <x v="261"/>
    <m/>
  </r>
  <r>
    <x v="1359"/>
    <x v="506"/>
    <x v="2"/>
    <x v="9"/>
    <n v="19"/>
    <x v="1"/>
    <x v="3"/>
    <x v="3"/>
    <s v="외식"/>
    <n v="9000"/>
    <n v="-9000"/>
    <x v="432"/>
    <m/>
  </r>
  <r>
    <x v="1360"/>
    <x v="506"/>
    <x v="2"/>
    <x v="9"/>
    <n v="19"/>
    <x v="1"/>
    <x v="3"/>
    <x v="3"/>
    <s v="외식"/>
    <n v="7500"/>
    <n v="-7500"/>
    <x v="223"/>
    <m/>
  </r>
  <r>
    <x v="1361"/>
    <x v="507"/>
    <x v="2"/>
    <x v="9"/>
    <n v="20"/>
    <x v="1"/>
    <x v="3"/>
    <x v="3"/>
    <s v="외식"/>
    <n v="8000"/>
    <n v="-8000"/>
    <x v="360"/>
    <m/>
  </r>
  <r>
    <x v="1362"/>
    <x v="508"/>
    <x v="2"/>
    <x v="9"/>
    <n v="21"/>
    <x v="1"/>
    <x v="3"/>
    <x v="3"/>
    <s v="배달"/>
    <n v="8500"/>
    <n v="-8500"/>
    <x v="409"/>
    <s v="피자 유동균 이체"/>
  </r>
  <r>
    <x v="1363"/>
    <x v="509"/>
    <x v="2"/>
    <x v="9"/>
    <n v="22"/>
    <x v="1"/>
    <x v="1"/>
    <x v="6"/>
    <s v="편의점"/>
    <n v="4100"/>
    <n v="-4100"/>
    <x v="10"/>
    <s v="우유"/>
  </r>
  <r>
    <x v="1364"/>
    <x v="509"/>
    <x v="2"/>
    <x v="9"/>
    <n v="22"/>
    <x v="1"/>
    <x v="3"/>
    <x v="3"/>
    <s v="외식"/>
    <n v="9000"/>
    <n v="-9000"/>
    <x v="229"/>
    <m/>
  </r>
  <r>
    <x v="1365"/>
    <x v="509"/>
    <x v="2"/>
    <x v="9"/>
    <n v="22"/>
    <x v="1"/>
    <x v="1"/>
    <x v="5"/>
    <s v="커피_음료"/>
    <n v="2300"/>
    <n v="-2300"/>
    <x v="309"/>
    <m/>
  </r>
  <r>
    <x v="1366"/>
    <x v="509"/>
    <x v="2"/>
    <x v="9"/>
    <n v="22"/>
    <x v="1"/>
    <x v="3"/>
    <x v="3"/>
    <s v="외식"/>
    <n v="11000"/>
    <n v="-11000"/>
    <x v="207"/>
    <m/>
  </r>
  <r>
    <x v="1367"/>
    <x v="509"/>
    <x v="2"/>
    <x v="9"/>
    <n v="22"/>
    <x v="1"/>
    <x v="2"/>
    <x v="2"/>
    <s v="기타수입"/>
    <n v="-10000"/>
    <n v="10000"/>
    <x v="15"/>
    <m/>
  </r>
  <r>
    <x v="1368"/>
    <x v="509"/>
    <x v="2"/>
    <x v="9"/>
    <n v="22"/>
    <x v="1"/>
    <x v="4"/>
    <x v="18"/>
    <s v="전기세"/>
    <n v="15190"/>
    <n v="-15190"/>
    <x v="414"/>
    <m/>
  </r>
  <r>
    <x v="1369"/>
    <x v="510"/>
    <x v="2"/>
    <x v="9"/>
    <n v="23"/>
    <x v="1"/>
    <x v="3"/>
    <x v="3"/>
    <s v="외식"/>
    <n v="6500"/>
    <n v="-6500"/>
    <x v="223"/>
    <m/>
  </r>
  <r>
    <x v="1370"/>
    <x v="510"/>
    <x v="2"/>
    <x v="9"/>
    <n v="23"/>
    <x v="1"/>
    <x v="3"/>
    <x v="3"/>
    <s v="외식"/>
    <n v="9000"/>
    <n v="-9000"/>
    <x v="254"/>
    <m/>
  </r>
  <r>
    <x v="1371"/>
    <x v="511"/>
    <x v="2"/>
    <x v="9"/>
    <n v="24"/>
    <x v="1"/>
    <x v="3"/>
    <x v="3"/>
    <s v="외식"/>
    <n v="7200"/>
    <n v="-7200"/>
    <x v="83"/>
    <m/>
  </r>
  <r>
    <x v="1372"/>
    <x v="511"/>
    <x v="2"/>
    <x v="9"/>
    <n v="24"/>
    <x v="1"/>
    <x v="3"/>
    <x v="3"/>
    <s v="외식"/>
    <n v="7500"/>
    <n v="-7500"/>
    <x v="224"/>
    <m/>
  </r>
  <r>
    <x v="1373"/>
    <x v="511"/>
    <x v="2"/>
    <x v="9"/>
    <n v="24"/>
    <x v="1"/>
    <x v="1"/>
    <x v="5"/>
    <s v="커피_음료"/>
    <n v="1000"/>
    <n v="-1000"/>
    <x v="211"/>
    <s v="기프티콘 사용"/>
  </r>
  <r>
    <x v="1374"/>
    <x v="512"/>
    <x v="2"/>
    <x v="9"/>
    <n v="25"/>
    <x v="1"/>
    <x v="3"/>
    <x v="3"/>
    <s v="외식"/>
    <n v="7000"/>
    <n v="-7000"/>
    <x v="198"/>
    <m/>
  </r>
  <r>
    <x v="1375"/>
    <x v="512"/>
    <x v="2"/>
    <x v="9"/>
    <n v="25"/>
    <x v="1"/>
    <x v="3"/>
    <x v="3"/>
    <s v="외식"/>
    <n v="8900"/>
    <n v="-8900"/>
    <x v="307"/>
    <m/>
  </r>
  <r>
    <x v="1376"/>
    <x v="513"/>
    <x v="2"/>
    <x v="9"/>
    <n v="26"/>
    <x v="1"/>
    <x v="3"/>
    <x v="3"/>
    <s v="외식"/>
    <n v="5400"/>
    <n v="-5400"/>
    <x v="83"/>
    <m/>
  </r>
  <r>
    <x v="1377"/>
    <x v="513"/>
    <x v="2"/>
    <x v="9"/>
    <n v="26"/>
    <x v="1"/>
    <x v="3"/>
    <x v="3"/>
    <s v="외식"/>
    <n v="7500"/>
    <n v="-7500"/>
    <x v="207"/>
    <m/>
  </r>
  <r>
    <x v="1378"/>
    <x v="514"/>
    <x v="2"/>
    <x v="9"/>
    <n v="27"/>
    <x v="1"/>
    <x v="1"/>
    <x v="3"/>
    <s v="외식"/>
    <n v="2250"/>
    <n v="-2250"/>
    <x v="433"/>
    <m/>
  </r>
  <r>
    <x v="1379"/>
    <x v="514"/>
    <x v="2"/>
    <x v="9"/>
    <n v="27"/>
    <x v="1"/>
    <x v="1"/>
    <x v="5"/>
    <s v="커피_음료"/>
    <n v="10250"/>
    <n v="-10250"/>
    <x v="434"/>
    <s v="포탈종각"/>
  </r>
  <r>
    <x v="1380"/>
    <x v="515"/>
    <x v="2"/>
    <x v="9"/>
    <n v="28"/>
    <x v="1"/>
    <x v="3"/>
    <x v="3"/>
    <s v="외식"/>
    <n v="9500"/>
    <n v="-9500"/>
    <x v="225"/>
    <s v=" "/>
  </r>
  <r>
    <x v="1381"/>
    <x v="516"/>
    <x v="2"/>
    <x v="9"/>
    <n v="29"/>
    <x v="1"/>
    <x v="1"/>
    <x v="6"/>
    <s v="편의점"/>
    <n v="4100"/>
    <n v="-4100"/>
    <x v="10"/>
    <s v="우유"/>
  </r>
  <r>
    <x v="1382"/>
    <x v="516"/>
    <x v="2"/>
    <x v="9"/>
    <n v="29"/>
    <x v="1"/>
    <x v="1"/>
    <x v="6"/>
    <s v="마트"/>
    <n v="9000"/>
    <n v="-9000"/>
    <x v="98"/>
    <m/>
  </r>
  <r>
    <x v="1383"/>
    <x v="516"/>
    <x v="2"/>
    <x v="9"/>
    <n v="29"/>
    <x v="1"/>
    <x v="3"/>
    <x v="3"/>
    <s v="포장"/>
    <n v="6813"/>
    <n v="-6813"/>
    <x v="232"/>
    <s v="돌계"/>
  </r>
  <r>
    <x v="1384"/>
    <x v="516"/>
    <x v="2"/>
    <x v="9"/>
    <n v="29"/>
    <x v="1"/>
    <x v="3"/>
    <x v="3"/>
    <s v="외식"/>
    <n v="5000"/>
    <n v="-5000"/>
    <x v="193"/>
    <m/>
  </r>
  <r>
    <x v="1385"/>
    <x v="516"/>
    <x v="2"/>
    <x v="9"/>
    <n v="29"/>
    <x v="1"/>
    <x v="1"/>
    <x v="7"/>
    <s v="전동킥보드"/>
    <n v="3270"/>
    <n v="-3270"/>
    <x v="244"/>
    <m/>
  </r>
  <r>
    <x v="1386"/>
    <x v="516"/>
    <x v="2"/>
    <x v="9"/>
    <n v="29"/>
    <x v="1"/>
    <x v="1"/>
    <x v="17"/>
    <s v="병원"/>
    <n v="5200"/>
    <n v="-5200"/>
    <x v="435"/>
    <m/>
  </r>
  <r>
    <x v="1387"/>
    <x v="517"/>
    <x v="2"/>
    <x v="9"/>
    <n v="30"/>
    <x v="1"/>
    <x v="1"/>
    <x v="5"/>
    <s v="아이스크림_빙수"/>
    <n v="3200"/>
    <n v="-3200"/>
    <x v="334"/>
    <m/>
  </r>
  <r>
    <x v="1388"/>
    <x v="517"/>
    <x v="2"/>
    <x v="9"/>
    <n v="30"/>
    <x v="1"/>
    <x v="3"/>
    <x v="3"/>
    <s v="외식"/>
    <n v="6000"/>
    <n v="-6000"/>
    <x v="220"/>
    <m/>
  </r>
  <r>
    <x v="1389"/>
    <x v="517"/>
    <x v="2"/>
    <x v="9"/>
    <n v="30"/>
    <x v="1"/>
    <x v="4"/>
    <x v="4"/>
    <s v="서비스구독"/>
    <n v="1395"/>
    <n v="-1395"/>
    <x v="84"/>
    <m/>
  </r>
  <r>
    <x v="1390"/>
    <x v="518"/>
    <x v="2"/>
    <x v="10"/>
    <n v="1"/>
    <x v="1"/>
    <x v="5"/>
    <x v="9"/>
    <s v="용돈"/>
    <n v="-600000"/>
    <n v="600000"/>
    <x v="58"/>
    <s v="5월 생활비"/>
  </r>
  <r>
    <x v="1391"/>
    <x v="518"/>
    <x v="2"/>
    <x v="10"/>
    <n v="1"/>
    <x v="1"/>
    <x v="3"/>
    <x v="3"/>
    <s v="외식"/>
    <n v="6800"/>
    <n v="-6800"/>
    <x v="83"/>
    <m/>
  </r>
  <r>
    <x v="1392"/>
    <x v="518"/>
    <x v="2"/>
    <x v="10"/>
    <n v="1"/>
    <x v="1"/>
    <x v="1"/>
    <x v="5"/>
    <s v="아이스크림_빙수"/>
    <n v="1800"/>
    <n v="-1800"/>
    <x v="83"/>
    <s v="맥플러리"/>
  </r>
  <r>
    <x v="1393"/>
    <x v="518"/>
    <x v="2"/>
    <x v="10"/>
    <n v="1"/>
    <x v="1"/>
    <x v="1"/>
    <x v="6"/>
    <s v="편의점"/>
    <n v="1700"/>
    <n v="-1700"/>
    <x v="206"/>
    <s v="모구모구"/>
  </r>
  <r>
    <x v="1394"/>
    <x v="519"/>
    <x v="2"/>
    <x v="10"/>
    <n v="2"/>
    <x v="1"/>
    <x v="3"/>
    <x v="3"/>
    <s v="외식"/>
    <n v="6500"/>
    <n v="-6500"/>
    <x v="198"/>
    <m/>
  </r>
  <r>
    <x v="1395"/>
    <x v="519"/>
    <x v="2"/>
    <x v="10"/>
    <n v="2"/>
    <x v="1"/>
    <x v="3"/>
    <x v="3"/>
    <s v="외식"/>
    <n v="5000"/>
    <n v="-5000"/>
    <x v="193"/>
    <m/>
  </r>
  <r>
    <x v="1396"/>
    <x v="519"/>
    <x v="2"/>
    <x v="10"/>
    <n v="2"/>
    <x v="1"/>
    <x v="3"/>
    <x v="3"/>
    <s v="외식"/>
    <n v="5000"/>
    <n v="-5000"/>
    <x v="193"/>
    <m/>
  </r>
  <r>
    <x v="1397"/>
    <x v="520"/>
    <x v="2"/>
    <x v="10"/>
    <n v="3"/>
    <x v="1"/>
    <x v="1"/>
    <x v="6"/>
    <s v="편의점"/>
    <n v="4400"/>
    <n v="-4400"/>
    <x v="10"/>
    <s v="사이다"/>
  </r>
  <r>
    <x v="1398"/>
    <x v="520"/>
    <x v="2"/>
    <x v="10"/>
    <n v="3"/>
    <x v="1"/>
    <x v="3"/>
    <x v="3"/>
    <s v="외식"/>
    <n v="6500"/>
    <n v="-6500"/>
    <x v="223"/>
    <m/>
  </r>
  <r>
    <x v="1399"/>
    <x v="521"/>
    <x v="2"/>
    <x v="10"/>
    <n v="4"/>
    <x v="1"/>
    <x v="3"/>
    <x v="8"/>
    <s v="헤어샵"/>
    <n v="15000"/>
    <n v="-15000"/>
    <x v="95"/>
    <m/>
  </r>
  <r>
    <x v="1400"/>
    <x v="522"/>
    <x v="2"/>
    <x v="10"/>
    <n v="5"/>
    <x v="1"/>
    <x v="1"/>
    <x v="6"/>
    <s v="편의점"/>
    <n v="9700"/>
    <n v="-9700"/>
    <x v="10"/>
    <s v="참크래커, 햇반 등"/>
  </r>
  <r>
    <x v="1401"/>
    <x v="522"/>
    <x v="2"/>
    <x v="10"/>
    <n v="5"/>
    <x v="1"/>
    <x v="3"/>
    <x v="3"/>
    <s v="외식"/>
    <n v="10400"/>
    <n v="-10400"/>
    <x v="436"/>
    <m/>
  </r>
  <r>
    <x v="1402"/>
    <x v="523"/>
    <x v="2"/>
    <x v="10"/>
    <n v="6"/>
    <x v="1"/>
    <x v="3"/>
    <x v="3"/>
    <s v="외식"/>
    <n v="11000"/>
    <n v="-11000"/>
    <x v="437"/>
    <m/>
  </r>
  <r>
    <x v="1403"/>
    <x v="523"/>
    <x v="2"/>
    <x v="10"/>
    <n v="6"/>
    <x v="1"/>
    <x v="1"/>
    <x v="6"/>
    <s v="편의점"/>
    <n v="1200"/>
    <n v="-1200"/>
    <x v="206"/>
    <s v="딸기우유"/>
  </r>
  <r>
    <x v="1404"/>
    <x v="524"/>
    <x v="2"/>
    <x v="10"/>
    <n v="7"/>
    <x v="1"/>
    <x v="3"/>
    <x v="3"/>
    <s v="외식"/>
    <n v="8000"/>
    <n v="-8000"/>
    <x v="360"/>
    <m/>
  </r>
  <r>
    <x v="1405"/>
    <x v="524"/>
    <x v="2"/>
    <x v="10"/>
    <n v="7"/>
    <x v="1"/>
    <x v="3"/>
    <x v="3"/>
    <s v="외식"/>
    <n v="10000"/>
    <n v="-10000"/>
    <x v="438"/>
    <m/>
  </r>
  <r>
    <x v="1406"/>
    <x v="524"/>
    <x v="2"/>
    <x v="10"/>
    <n v="7"/>
    <x v="1"/>
    <x v="1"/>
    <x v="7"/>
    <s v="대중교통"/>
    <n v="2400"/>
    <n v="-2400"/>
    <x v="33"/>
    <m/>
  </r>
  <r>
    <x v="1407"/>
    <x v="525"/>
    <x v="2"/>
    <x v="10"/>
    <n v="8"/>
    <x v="1"/>
    <x v="3"/>
    <x v="3"/>
    <s v="외식"/>
    <n v="8600"/>
    <n v="-8600"/>
    <x v="47"/>
    <m/>
  </r>
  <r>
    <x v="1408"/>
    <x v="525"/>
    <x v="2"/>
    <x v="10"/>
    <n v="8"/>
    <x v="1"/>
    <x v="1"/>
    <x v="5"/>
    <s v="커피_음료"/>
    <n v="3300"/>
    <n v="-3300"/>
    <x v="439"/>
    <m/>
  </r>
  <r>
    <x v="1409"/>
    <x v="525"/>
    <x v="2"/>
    <x v="10"/>
    <n v="8"/>
    <x v="1"/>
    <x v="3"/>
    <x v="3"/>
    <s v="배달"/>
    <n v="10400"/>
    <n v="-10400"/>
    <x v="440"/>
    <s v="파스타"/>
  </r>
  <r>
    <x v="1410"/>
    <x v="525"/>
    <x v="2"/>
    <x v="10"/>
    <n v="8"/>
    <x v="1"/>
    <x v="1"/>
    <x v="6"/>
    <s v="편의점"/>
    <n v="6900"/>
    <n v="-6900"/>
    <x v="10"/>
    <s v="우유, 밴드"/>
  </r>
  <r>
    <x v="1411"/>
    <x v="525"/>
    <x v="2"/>
    <x v="10"/>
    <n v="8"/>
    <x v="1"/>
    <x v="1"/>
    <x v="10"/>
    <s v="선물"/>
    <n v="100000"/>
    <n v="-100000"/>
    <x v="243"/>
    <s v="엄마아빠 용돈"/>
  </r>
  <r>
    <x v="1412"/>
    <x v="526"/>
    <x v="2"/>
    <x v="10"/>
    <n v="9"/>
    <x v="1"/>
    <x v="1"/>
    <x v="5"/>
    <s v="커피_음료"/>
    <n v="7000"/>
    <n v="-7000"/>
    <x v="365"/>
    <m/>
  </r>
  <r>
    <x v="1413"/>
    <x v="526"/>
    <x v="2"/>
    <x v="10"/>
    <n v="9"/>
    <x v="1"/>
    <x v="3"/>
    <x v="3"/>
    <s v="외식"/>
    <n v="5000"/>
    <n v="-5000"/>
    <x v="220"/>
    <m/>
  </r>
  <r>
    <x v="1414"/>
    <x v="526"/>
    <x v="2"/>
    <x v="10"/>
    <n v="9"/>
    <x v="1"/>
    <x v="3"/>
    <x v="3"/>
    <s v="외식"/>
    <n v="4500"/>
    <n v="-4500"/>
    <x v="83"/>
    <m/>
  </r>
  <r>
    <x v="1415"/>
    <x v="527"/>
    <x v="2"/>
    <x v="10"/>
    <n v="10"/>
    <x v="1"/>
    <x v="3"/>
    <x v="3"/>
    <s v="외식"/>
    <n v="5000"/>
    <n v="-5000"/>
    <x v="193"/>
    <m/>
  </r>
  <r>
    <x v="1416"/>
    <x v="527"/>
    <x v="2"/>
    <x v="10"/>
    <n v="10"/>
    <x v="1"/>
    <x v="1"/>
    <x v="10"/>
    <s v="선물"/>
    <n v="34000"/>
    <n v="-34000"/>
    <x v="441"/>
    <s v="엄마 케잌"/>
  </r>
  <r>
    <x v="1417"/>
    <x v="527"/>
    <x v="2"/>
    <x v="10"/>
    <n v="10"/>
    <x v="1"/>
    <x v="1"/>
    <x v="10"/>
    <s v="선물"/>
    <n v="77777"/>
    <n v="-77777"/>
    <x v="58"/>
    <s v="생일 용돈"/>
  </r>
  <r>
    <x v="1418"/>
    <x v="528"/>
    <x v="2"/>
    <x v="10"/>
    <n v="11"/>
    <x v="1"/>
    <x v="2"/>
    <x v="2"/>
    <s v="금융수입"/>
    <n v="-129"/>
    <n v="129"/>
    <x v="36"/>
    <m/>
  </r>
  <r>
    <x v="1419"/>
    <x v="528"/>
    <x v="2"/>
    <x v="10"/>
    <n v="11"/>
    <x v="1"/>
    <x v="4"/>
    <x v="18"/>
    <s v="가스비"/>
    <n v="24830"/>
    <n v="-24830"/>
    <x v="404"/>
    <m/>
  </r>
  <r>
    <x v="1420"/>
    <x v="529"/>
    <x v="2"/>
    <x v="10"/>
    <n v="12"/>
    <x v="1"/>
    <x v="1"/>
    <x v="10"/>
    <s v="선물"/>
    <n v="120000"/>
    <n v="-120000"/>
    <x v="427"/>
    <s v="예빈이 선물"/>
  </r>
  <r>
    <x v="1421"/>
    <x v="530"/>
    <x v="2"/>
    <x v="10"/>
    <n v="13"/>
    <x v="1"/>
    <x v="3"/>
    <x v="3"/>
    <s v="외식"/>
    <n v="5000"/>
    <n v="-5000"/>
    <x v="193"/>
    <m/>
  </r>
  <r>
    <x v="1422"/>
    <x v="530"/>
    <x v="2"/>
    <x v="10"/>
    <n v="13"/>
    <x v="1"/>
    <x v="3"/>
    <x v="3"/>
    <s v="외식"/>
    <n v="6500"/>
    <n v="-6500"/>
    <x v="223"/>
    <m/>
  </r>
  <r>
    <x v="1423"/>
    <x v="531"/>
    <x v="2"/>
    <x v="10"/>
    <n v="14"/>
    <x v="1"/>
    <x v="3"/>
    <x v="3"/>
    <s v="외식"/>
    <n v="8900"/>
    <n v="-8900"/>
    <x v="307"/>
    <m/>
  </r>
  <r>
    <x v="1424"/>
    <x v="532"/>
    <x v="2"/>
    <x v="10"/>
    <n v="15"/>
    <x v="1"/>
    <x v="3"/>
    <x v="3"/>
    <s v="외식"/>
    <n v="15500"/>
    <n v="-15500"/>
    <x v="438"/>
    <m/>
  </r>
  <r>
    <x v="1425"/>
    <x v="532"/>
    <x v="2"/>
    <x v="10"/>
    <n v="15"/>
    <x v="1"/>
    <x v="3"/>
    <x v="3"/>
    <s v="외식"/>
    <n v="7500"/>
    <n v="-7500"/>
    <x v="223"/>
    <m/>
  </r>
  <r>
    <x v="1426"/>
    <x v="533"/>
    <x v="2"/>
    <x v="10"/>
    <n v="16"/>
    <x v="1"/>
    <x v="1"/>
    <x v="14"/>
    <s v="옷"/>
    <n v="40000"/>
    <n v="-40000"/>
    <x v="97"/>
    <m/>
  </r>
  <r>
    <x v="1427"/>
    <x v="533"/>
    <x v="2"/>
    <x v="10"/>
    <n v="16"/>
    <x v="1"/>
    <x v="1"/>
    <x v="6"/>
    <s v="마트"/>
    <n v="41908"/>
    <n v="-41908"/>
    <x v="40"/>
    <s v="교통비 -8000, 환급 -2612 적용"/>
  </r>
  <r>
    <x v="1428"/>
    <x v="533"/>
    <x v="2"/>
    <x v="10"/>
    <n v="16"/>
    <x v="1"/>
    <x v="3"/>
    <x v="3"/>
    <s v="포장"/>
    <n v="7900"/>
    <n v="-7900"/>
    <x v="261"/>
    <m/>
  </r>
  <r>
    <x v="1429"/>
    <x v="534"/>
    <x v="2"/>
    <x v="10"/>
    <n v="17"/>
    <x v="1"/>
    <x v="3"/>
    <x v="3"/>
    <s v="외식"/>
    <n v="5400"/>
    <n v="-5400"/>
    <x v="257"/>
    <m/>
  </r>
  <r>
    <x v="1430"/>
    <x v="534"/>
    <x v="2"/>
    <x v="10"/>
    <n v="17"/>
    <x v="1"/>
    <x v="1"/>
    <x v="10"/>
    <s v="선물"/>
    <n v="2000"/>
    <n v="-2000"/>
    <x v="193"/>
    <s v="축하카드"/>
  </r>
  <r>
    <x v="1431"/>
    <x v="534"/>
    <x v="2"/>
    <x v="10"/>
    <n v="17"/>
    <x v="1"/>
    <x v="1"/>
    <x v="10"/>
    <s v="선물"/>
    <n v="31500"/>
    <n v="-31500"/>
    <x v="442"/>
    <s v="졸전 꽃"/>
  </r>
  <r>
    <x v="1432"/>
    <x v="535"/>
    <x v="2"/>
    <x v="10"/>
    <n v="18"/>
    <x v="1"/>
    <x v="3"/>
    <x v="3"/>
    <s v="외식"/>
    <n v="3500"/>
    <n v="-3500"/>
    <x v="83"/>
    <m/>
  </r>
  <r>
    <x v="1433"/>
    <x v="535"/>
    <x v="2"/>
    <x v="10"/>
    <n v="18"/>
    <x v="1"/>
    <x v="1"/>
    <x v="7"/>
    <s v="렌터카"/>
    <n v="40730"/>
    <n v="-40730"/>
    <x v="443"/>
    <s v="주행요금 포함"/>
  </r>
  <r>
    <x v="1434"/>
    <x v="535"/>
    <x v="2"/>
    <x v="10"/>
    <n v="18"/>
    <x v="1"/>
    <x v="1"/>
    <x v="1"/>
    <s v="주차"/>
    <n v="8000"/>
    <n v="-8000"/>
    <x v="444"/>
    <m/>
  </r>
  <r>
    <x v="1435"/>
    <x v="535"/>
    <x v="2"/>
    <x v="10"/>
    <n v="18"/>
    <x v="1"/>
    <x v="3"/>
    <x v="3"/>
    <s v="외식"/>
    <n v="11000"/>
    <n v="-11000"/>
    <x v="445"/>
    <m/>
  </r>
  <r>
    <x v="1436"/>
    <x v="536"/>
    <x v="2"/>
    <x v="10"/>
    <n v="19"/>
    <x v="1"/>
    <x v="1"/>
    <x v="6"/>
    <s v="편의점"/>
    <n v="5000"/>
    <n v="-5000"/>
    <x v="10"/>
    <s v="우유"/>
  </r>
  <r>
    <x v="1437"/>
    <x v="537"/>
    <x v="2"/>
    <x v="10"/>
    <n v="20"/>
    <x v="1"/>
    <x v="3"/>
    <x v="3"/>
    <s v="외식"/>
    <n v="5000"/>
    <n v="-5000"/>
    <x v="193"/>
    <m/>
  </r>
  <r>
    <x v="1438"/>
    <x v="537"/>
    <x v="2"/>
    <x v="10"/>
    <n v="20"/>
    <x v="1"/>
    <x v="3"/>
    <x v="3"/>
    <s v="외식"/>
    <n v="7500"/>
    <n v="-7500"/>
    <x v="207"/>
    <m/>
  </r>
  <r>
    <x v="1439"/>
    <x v="538"/>
    <x v="2"/>
    <x v="10"/>
    <n v="21"/>
    <x v="1"/>
    <x v="3"/>
    <x v="3"/>
    <s v="외식"/>
    <n v="5000"/>
    <n v="-5000"/>
    <x v="220"/>
    <m/>
  </r>
  <r>
    <x v="1440"/>
    <x v="538"/>
    <x v="2"/>
    <x v="10"/>
    <n v="21"/>
    <x v="1"/>
    <x v="3"/>
    <x v="3"/>
    <s v="외식"/>
    <n v="6500"/>
    <n v="-6500"/>
    <x v="223"/>
    <m/>
  </r>
  <r>
    <x v="1441"/>
    <x v="539"/>
    <x v="2"/>
    <x v="10"/>
    <n v="22"/>
    <x v="1"/>
    <x v="2"/>
    <x v="2"/>
    <s v="기타수입"/>
    <n v="-10000"/>
    <n v="10000"/>
    <x v="15"/>
    <m/>
  </r>
  <r>
    <x v="1442"/>
    <x v="539"/>
    <x v="2"/>
    <x v="10"/>
    <n v="22"/>
    <x v="1"/>
    <x v="3"/>
    <x v="3"/>
    <s v="외식"/>
    <n v="5000"/>
    <n v="-5000"/>
    <x v="193"/>
    <m/>
  </r>
  <r>
    <x v="1443"/>
    <x v="539"/>
    <x v="2"/>
    <x v="10"/>
    <n v="22"/>
    <x v="1"/>
    <x v="3"/>
    <x v="3"/>
    <s v="외식"/>
    <n v="8500"/>
    <n v="-8500"/>
    <x v="405"/>
    <m/>
  </r>
  <r>
    <x v="1444"/>
    <x v="539"/>
    <x v="2"/>
    <x v="10"/>
    <n v="22"/>
    <x v="1"/>
    <x v="4"/>
    <x v="18"/>
    <s v="전기세"/>
    <n v="14730"/>
    <n v="-14730"/>
    <x v="414"/>
    <m/>
  </r>
  <r>
    <x v="1445"/>
    <x v="540"/>
    <x v="2"/>
    <x v="10"/>
    <n v="23"/>
    <x v="1"/>
    <x v="1"/>
    <x v="6"/>
    <s v="편의점"/>
    <n v="6900"/>
    <n v="-6900"/>
    <x v="206"/>
    <s v="커피, 딸기샌드, 츄러스"/>
  </r>
  <r>
    <x v="1446"/>
    <x v="540"/>
    <x v="2"/>
    <x v="10"/>
    <n v="23"/>
    <x v="1"/>
    <x v="3"/>
    <x v="3"/>
    <s v="외식"/>
    <n v="6000"/>
    <n v="-6000"/>
    <x v="198"/>
    <m/>
  </r>
  <r>
    <x v="1447"/>
    <x v="540"/>
    <x v="2"/>
    <x v="10"/>
    <n v="23"/>
    <x v="1"/>
    <x v="2"/>
    <x v="2"/>
    <s v="기타수입"/>
    <n v="-10000"/>
    <n v="10000"/>
    <x v="422"/>
    <s v="블씨 멘토링"/>
  </r>
  <r>
    <x v="1448"/>
    <x v="541"/>
    <x v="2"/>
    <x v="10"/>
    <n v="24"/>
    <x v="1"/>
    <x v="3"/>
    <x v="3"/>
    <s v="외식"/>
    <n v="9900"/>
    <n v="-9900"/>
    <x v="261"/>
    <m/>
  </r>
  <r>
    <x v="1449"/>
    <x v="541"/>
    <x v="2"/>
    <x v="10"/>
    <n v="24"/>
    <x v="1"/>
    <x v="3"/>
    <x v="3"/>
    <s v="외식"/>
    <n v="9000"/>
    <n v="-9000"/>
    <x v="349"/>
    <m/>
  </r>
  <r>
    <x v="1450"/>
    <x v="542"/>
    <x v="2"/>
    <x v="10"/>
    <n v="25"/>
    <x v="1"/>
    <x v="0"/>
    <x v="0"/>
    <s v="내계좌이체"/>
    <n v="-200000"/>
    <n v="200000"/>
    <x v="315"/>
    <m/>
  </r>
  <r>
    <x v="1451"/>
    <x v="542"/>
    <x v="2"/>
    <x v="10"/>
    <n v="25"/>
    <x v="1"/>
    <x v="3"/>
    <x v="3"/>
    <s v="외식"/>
    <n v="9500"/>
    <n v="-9500"/>
    <x v="131"/>
    <m/>
  </r>
  <r>
    <x v="1452"/>
    <x v="543"/>
    <x v="2"/>
    <x v="10"/>
    <n v="27"/>
    <x v="1"/>
    <x v="1"/>
    <x v="6"/>
    <s v="편의점"/>
    <n v="5200"/>
    <n v="-5200"/>
    <x v="222"/>
    <s v="커피"/>
  </r>
  <r>
    <x v="1453"/>
    <x v="543"/>
    <x v="2"/>
    <x v="10"/>
    <n v="27"/>
    <x v="1"/>
    <x v="3"/>
    <x v="3"/>
    <s v="외식"/>
    <n v="5000"/>
    <n v="-5000"/>
    <x v="193"/>
    <m/>
  </r>
  <r>
    <x v="1454"/>
    <x v="543"/>
    <x v="2"/>
    <x v="10"/>
    <n v="27"/>
    <x v="1"/>
    <x v="1"/>
    <x v="6"/>
    <s v="편의점"/>
    <n v="2300"/>
    <n v="-2300"/>
    <x v="206"/>
    <s v="몬스터"/>
  </r>
  <r>
    <x v="1455"/>
    <x v="543"/>
    <x v="2"/>
    <x v="10"/>
    <n v="27"/>
    <x v="1"/>
    <x v="3"/>
    <x v="3"/>
    <s v="외식"/>
    <n v="9500"/>
    <n v="-9500"/>
    <x v="225"/>
    <m/>
  </r>
  <r>
    <x v="1456"/>
    <x v="544"/>
    <x v="2"/>
    <x v="10"/>
    <n v="28"/>
    <x v="1"/>
    <x v="3"/>
    <x v="3"/>
    <s v="외식"/>
    <n v="8500"/>
    <n v="-8500"/>
    <x v="230"/>
    <m/>
  </r>
  <r>
    <x v="1457"/>
    <x v="544"/>
    <x v="2"/>
    <x v="10"/>
    <n v="28"/>
    <x v="1"/>
    <x v="1"/>
    <x v="6"/>
    <s v="편의점"/>
    <n v="2300"/>
    <n v="-2300"/>
    <x v="206"/>
    <s v="몬스터"/>
  </r>
  <r>
    <x v="1458"/>
    <x v="545"/>
    <x v="2"/>
    <x v="10"/>
    <n v="29"/>
    <x v="1"/>
    <x v="3"/>
    <x v="3"/>
    <s v="외식"/>
    <n v="5000"/>
    <n v="-5000"/>
    <x v="193"/>
    <m/>
  </r>
  <r>
    <x v="1459"/>
    <x v="545"/>
    <x v="2"/>
    <x v="10"/>
    <n v="29"/>
    <x v="1"/>
    <x v="1"/>
    <x v="6"/>
    <s v="편의점"/>
    <n v="5000"/>
    <n v="-5000"/>
    <x v="10"/>
    <s v="우유"/>
  </r>
  <r>
    <x v="1460"/>
    <x v="545"/>
    <x v="2"/>
    <x v="10"/>
    <n v="29"/>
    <x v="1"/>
    <x v="1"/>
    <x v="4"/>
    <s v="인터넷쇼핑"/>
    <n v="44900"/>
    <n v="-44900"/>
    <x v="167"/>
    <s v="에어써큘레이터, 삼각대, 권은희 이체"/>
  </r>
  <r>
    <x v="1461"/>
    <x v="545"/>
    <x v="2"/>
    <x v="10"/>
    <n v="29"/>
    <x v="1"/>
    <x v="3"/>
    <x v="3"/>
    <s v="외식"/>
    <n v="7500"/>
    <n v="-7500"/>
    <x v="223"/>
    <m/>
  </r>
  <r>
    <x v="1462"/>
    <x v="546"/>
    <x v="2"/>
    <x v="10"/>
    <n v="30"/>
    <x v="1"/>
    <x v="3"/>
    <x v="3"/>
    <s v="외식"/>
    <n v="8500"/>
    <n v="-8500"/>
    <x v="254"/>
    <m/>
  </r>
  <r>
    <x v="1463"/>
    <x v="546"/>
    <x v="2"/>
    <x v="10"/>
    <n v="30"/>
    <x v="1"/>
    <x v="1"/>
    <x v="6"/>
    <s v="편의점"/>
    <n v="2300"/>
    <n v="-2300"/>
    <x v="206"/>
    <s v="몬스터"/>
  </r>
  <r>
    <x v="1464"/>
    <x v="546"/>
    <x v="2"/>
    <x v="10"/>
    <n v="30"/>
    <x v="1"/>
    <x v="4"/>
    <x v="4"/>
    <s v="서비스구독"/>
    <n v="3003"/>
    <n v="-3003"/>
    <x v="84"/>
    <m/>
  </r>
  <r>
    <x v="1465"/>
    <x v="546"/>
    <x v="2"/>
    <x v="10"/>
    <n v="30"/>
    <x v="1"/>
    <x v="1"/>
    <x v="5"/>
    <s v="아이스크림_빙수"/>
    <n v="3800"/>
    <n v="-3800"/>
    <x v="334"/>
    <s v="멘토링"/>
  </r>
  <r>
    <x v="1466"/>
    <x v="547"/>
    <x v="2"/>
    <x v="10"/>
    <n v="31"/>
    <x v="1"/>
    <x v="3"/>
    <x v="3"/>
    <s v="외식"/>
    <n v="4600"/>
    <n v="-4600"/>
    <x v="83"/>
    <m/>
  </r>
  <r>
    <x v="1467"/>
    <x v="547"/>
    <x v="2"/>
    <x v="10"/>
    <n v="31"/>
    <x v="1"/>
    <x v="1"/>
    <x v="6"/>
    <s v="편의점"/>
    <n v="1800"/>
    <n v="-1800"/>
    <x v="206"/>
    <s v="2프로"/>
  </r>
  <r>
    <x v="1468"/>
    <x v="547"/>
    <x v="2"/>
    <x v="10"/>
    <n v="31"/>
    <x v="1"/>
    <x v="3"/>
    <x v="3"/>
    <s v="외식"/>
    <n v="10500"/>
    <n v="-10500"/>
    <x v="346"/>
    <m/>
  </r>
  <r>
    <x v="1469"/>
    <x v="548"/>
    <x v="2"/>
    <x v="11"/>
    <n v="1"/>
    <x v="1"/>
    <x v="3"/>
    <x v="8"/>
    <s v="헤어샵"/>
    <n v="15000"/>
    <n v="-15000"/>
    <x v="95"/>
    <m/>
  </r>
  <r>
    <x v="1470"/>
    <x v="548"/>
    <x v="2"/>
    <x v="11"/>
    <n v="1"/>
    <x v="1"/>
    <x v="5"/>
    <x v="9"/>
    <s v="용돈"/>
    <n v="-600000"/>
    <n v="600000"/>
    <x v="58"/>
    <s v="6월 생활비"/>
  </r>
  <r>
    <x v="1471"/>
    <x v="549"/>
    <x v="2"/>
    <x v="11"/>
    <n v="3"/>
    <x v="1"/>
    <x v="3"/>
    <x v="3"/>
    <s v="외식"/>
    <n v="5000"/>
    <n v="-5000"/>
    <x v="193"/>
    <m/>
  </r>
  <r>
    <x v="1472"/>
    <x v="549"/>
    <x v="2"/>
    <x v="11"/>
    <n v="3"/>
    <x v="1"/>
    <x v="1"/>
    <x v="6"/>
    <s v="편의점"/>
    <n v="2300"/>
    <n v="-2300"/>
    <x v="206"/>
    <s v="몬스터"/>
  </r>
  <r>
    <x v="1473"/>
    <x v="549"/>
    <x v="2"/>
    <x v="11"/>
    <n v="3"/>
    <x v="1"/>
    <x v="3"/>
    <x v="3"/>
    <s v="외식"/>
    <n v="4700"/>
    <n v="-4700"/>
    <x v="83"/>
    <m/>
  </r>
  <r>
    <x v="1474"/>
    <x v="550"/>
    <x v="2"/>
    <x v="11"/>
    <n v="4"/>
    <x v="1"/>
    <x v="3"/>
    <x v="3"/>
    <s v="외식"/>
    <n v="5000"/>
    <n v="-5000"/>
    <x v="193"/>
    <m/>
  </r>
  <r>
    <x v="1475"/>
    <x v="550"/>
    <x v="2"/>
    <x v="11"/>
    <n v="4"/>
    <x v="1"/>
    <x v="1"/>
    <x v="6"/>
    <s v="편의점"/>
    <n v="2300"/>
    <n v="-2300"/>
    <x v="206"/>
    <m/>
  </r>
  <r>
    <x v="1476"/>
    <x v="550"/>
    <x v="2"/>
    <x v="11"/>
    <n v="4"/>
    <x v="1"/>
    <x v="3"/>
    <x v="3"/>
    <s v="외식"/>
    <n v="8500"/>
    <n v="-8500"/>
    <x v="335"/>
    <m/>
  </r>
  <r>
    <x v="1477"/>
    <x v="551"/>
    <x v="2"/>
    <x v="11"/>
    <n v="5"/>
    <x v="1"/>
    <x v="3"/>
    <x v="3"/>
    <s v="외식"/>
    <n v="5000"/>
    <n v="-5000"/>
    <x v="193"/>
    <m/>
  </r>
  <r>
    <x v="1478"/>
    <x v="551"/>
    <x v="2"/>
    <x v="11"/>
    <n v="5"/>
    <x v="1"/>
    <x v="3"/>
    <x v="3"/>
    <s v="외식"/>
    <n v="13800"/>
    <n v="-13800"/>
    <x v="307"/>
    <m/>
  </r>
  <r>
    <x v="1479"/>
    <x v="551"/>
    <x v="2"/>
    <x v="11"/>
    <n v="5"/>
    <x v="1"/>
    <x v="1"/>
    <x v="7"/>
    <s v="대중교통"/>
    <n v="13680"/>
    <n v="-13680"/>
    <x v="33"/>
    <m/>
  </r>
  <r>
    <x v="1480"/>
    <x v="552"/>
    <x v="2"/>
    <x v="11"/>
    <n v="6"/>
    <x v="1"/>
    <x v="3"/>
    <x v="3"/>
    <s v="외식"/>
    <n v="9900"/>
    <n v="-9900"/>
    <x v="261"/>
    <m/>
  </r>
  <r>
    <x v="1481"/>
    <x v="552"/>
    <x v="2"/>
    <x v="11"/>
    <n v="6"/>
    <x v="1"/>
    <x v="3"/>
    <x v="3"/>
    <s v="외식"/>
    <n v="6500"/>
    <n v="-6500"/>
    <x v="223"/>
    <m/>
  </r>
  <r>
    <x v="1482"/>
    <x v="553"/>
    <x v="2"/>
    <x v="11"/>
    <n v="7"/>
    <x v="1"/>
    <x v="3"/>
    <x v="3"/>
    <s v="외식"/>
    <n v="5000"/>
    <n v="-5000"/>
    <x v="193"/>
    <m/>
  </r>
  <r>
    <x v="1483"/>
    <x v="553"/>
    <x v="2"/>
    <x v="11"/>
    <n v="7"/>
    <x v="1"/>
    <x v="1"/>
    <x v="6"/>
    <s v="편의점"/>
    <n v="2600"/>
    <n v="-2600"/>
    <x v="206"/>
    <m/>
  </r>
  <r>
    <x v="1484"/>
    <x v="553"/>
    <x v="2"/>
    <x v="11"/>
    <n v="7"/>
    <x v="1"/>
    <x v="3"/>
    <x v="3"/>
    <s v="외식"/>
    <n v="8900"/>
    <n v="-8900"/>
    <x v="405"/>
    <m/>
  </r>
  <r>
    <x v="1485"/>
    <x v="554"/>
    <x v="2"/>
    <x v="11"/>
    <n v="8"/>
    <x v="1"/>
    <x v="1"/>
    <x v="5"/>
    <s v="커피_음료"/>
    <n v="3500"/>
    <n v="-3500"/>
    <x v="446"/>
    <s v="토스트"/>
  </r>
  <r>
    <x v="1486"/>
    <x v="554"/>
    <x v="2"/>
    <x v="11"/>
    <n v="8"/>
    <x v="1"/>
    <x v="1"/>
    <x v="6"/>
    <s v="편의점"/>
    <n v="2600"/>
    <n v="-2600"/>
    <x v="206"/>
    <m/>
  </r>
  <r>
    <x v="1487"/>
    <x v="555"/>
    <x v="2"/>
    <x v="11"/>
    <n v="9"/>
    <x v="1"/>
    <x v="3"/>
    <x v="3"/>
    <s v="외식"/>
    <n v="6200"/>
    <n v="-6200"/>
    <x v="83"/>
    <m/>
  </r>
  <r>
    <x v="1488"/>
    <x v="555"/>
    <x v="2"/>
    <x v="11"/>
    <n v="9"/>
    <x v="1"/>
    <x v="3"/>
    <x v="3"/>
    <s v="외식"/>
    <n v="6500"/>
    <n v="-6500"/>
    <x v="223"/>
    <m/>
  </r>
  <r>
    <x v="1489"/>
    <x v="556"/>
    <x v="2"/>
    <x v="11"/>
    <n v="10"/>
    <x v="1"/>
    <x v="3"/>
    <x v="3"/>
    <s v="외식"/>
    <n v="5000"/>
    <n v="-5000"/>
    <x v="193"/>
    <m/>
  </r>
  <r>
    <x v="1490"/>
    <x v="556"/>
    <x v="2"/>
    <x v="11"/>
    <n v="10"/>
    <x v="1"/>
    <x v="1"/>
    <x v="6"/>
    <s v="편의점"/>
    <n v="1300"/>
    <n v="-1300"/>
    <x v="206"/>
    <m/>
  </r>
  <r>
    <x v="1491"/>
    <x v="556"/>
    <x v="2"/>
    <x v="11"/>
    <n v="10"/>
    <x v="1"/>
    <x v="1"/>
    <x v="10"/>
    <s v="선물"/>
    <n v="20000"/>
    <n v="-20000"/>
    <x v="17"/>
    <s v="멘토링팀 커피"/>
  </r>
  <r>
    <x v="1492"/>
    <x v="556"/>
    <x v="2"/>
    <x v="11"/>
    <n v="10"/>
    <x v="1"/>
    <x v="3"/>
    <x v="3"/>
    <s v="외식"/>
    <n v="10500"/>
    <n v="-10500"/>
    <x v="346"/>
    <m/>
  </r>
  <r>
    <x v="1493"/>
    <x v="556"/>
    <x v="2"/>
    <x v="11"/>
    <n v="10"/>
    <x v="1"/>
    <x v="1"/>
    <x v="6"/>
    <s v="편의점"/>
    <n v="1700"/>
    <n v="-1700"/>
    <x v="206"/>
    <s v="토블론"/>
  </r>
  <r>
    <x v="1494"/>
    <x v="556"/>
    <x v="2"/>
    <x v="11"/>
    <n v="10"/>
    <x v="1"/>
    <x v="1"/>
    <x v="6"/>
    <s v="편의점"/>
    <n v="5500"/>
    <n v="-5500"/>
    <x v="10"/>
    <s v="우유"/>
  </r>
  <r>
    <x v="1495"/>
    <x v="556"/>
    <x v="2"/>
    <x v="11"/>
    <n v="10"/>
    <x v="1"/>
    <x v="4"/>
    <x v="18"/>
    <s v="가스비"/>
    <n v="15000"/>
    <n v="-15000"/>
    <x v="404"/>
    <m/>
  </r>
  <r>
    <x v="1496"/>
    <x v="557"/>
    <x v="2"/>
    <x v="11"/>
    <n v="11"/>
    <x v="1"/>
    <x v="3"/>
    <x v="3"/>
    <s v="외식"/>
    <n v="5000"/>
    <n v="-5000"/>
    <x v="193"/>
    <m/>
  </r>
  <r>
    <x v="1497"/>
    <x v="557"/>
    <x v="2"/>
    <x v="11"/>
    <n v="11"/>
    <x v="1"/>
    <x v="1"/>
    <x v="6"/>
    <s v="편의점"/>
    <n v="1300"/>
    <n v="-1300"/>
    <x v="206"/>
    <m/>
  </r>
  <r>
    <x v="1498"/>
    <x v="557"/>
    <x v="2"/>
    <x v="11"/>
    <n v="11"/>
    <x v="1"/>
    <x v="3"/>
    <x v="3"/>
    <s v="외식"/>
    <n v="7500"/>
    <n v="-7500"/>
    <x v="207"/>
    <m/>
  </r>
  <r>
    <x v="1499"/>
    <x v="557"/>
    <x v="2"/>
    <x v="11"/>
    <n v="11"/>
    <x v="1"/>
    <x v="3"/>
    <x v="3"/>
    <s v="외식"/>
    <n v="2700"/>
    <n v="-2700"/>
    <x v="83"/>
    <m/>
  </r>
  <r>
    <x v="1500"/>
    <x v="557"/>
    <x v="2"/>
    <x v="11"/>
    <n v="11"/>
    <x v="1"/>
    <x v="1"/>
    <x v="4"/>
    <s v="인터넷쇼핑"/>
    <n v="2000"/>
    <n v="-2000"/>
    <x v="427"/>
    <s v="웅이 방석"/>
  </r>
  <r>
    <x v="1501"/>
    <x v="558"/>
    <x v="2"/>
    <x v="11"/>
    <n v="12"/>
    <x v="1"/>
    <x v="1"/>
    <x v="5"/>
    <s v="커피_음료"/>
    <n v="800"/>
    <n v="-800"/>
    <x v="9"/>
    <s v="중앙역 물"/>
  </r>
  <r>
    <x v="1502"/>
    <x v="559"/>
    <x v="2"/>
    <x v="11"/>
    <n v="13"/>
    <x v="1"/>
    <x v="3"/>
    <x v="3"/>
    <s v="외식"/>
    <n v="10000"/>
    <n v="-10000"/>
    <x v="436"/>
    <m/>
  </r>
  <r>
    <x v="1503"/>
    <x v="559"/>
    <x v="2"/>
    <x v="11"/>
    <n v="13"/>
    <x v="1"/>
    <x v="1"/>
    <x v="5"/>
    <s v="커피_음료"/>
    <n v="5500"/>
    <n v="-5500"/>
    <x v="211"/>
    <m/>
  </r>
  <r>
    <x v="1504"/>
    <x v="559"/>
    <x v="2"/>
    <x v="11"/>
    <n v="13"/>
    <x v="1"/>
    <x v="3"/>
    <x v="3"/>
    <s v="외식"/>
    <n v="9000"/>
    <n v="-9000"/>
    <x v="229"/>
    <m/>
  </r>
  <r>
    <x v="1505"/>
    <x v="559"/>
    <x v="2"/>
    <x v="11"/>
    <n v="13"/>
    <x v="1"/>
    <x v="1"/>
    <x v="5"/>
    <s v="아이스크림_빙수"/>
    <n v="10200"/>
    <n v="-10200"/>
    <x v="334"/>
    <m/>
  </r>
  <r>
    <x v="1506"/>
    <x v="560"/>
    <x v="2"/>
    <x v="11"/>
    <n v="14"/>
    <x v="1"/>
    <x v="1"/>
    <x v="5"/>
    <s v="아이스크림_빙수"/>
    <n v="1500"/>
    <n v="-1500"/>
    <x v="334"/>
    <s v="안양 젤리"/>
  </r>
  <r>
    <x v="1507"/>
    <x v="560"/>
    <x v="2"/>
    <x v="11"/>
    <n v="14"/>
    <x v="1"/>
    <x v="3"/>
    <x v="3"/>
    <s v="외식"/>
    <n v="12000"/>
    <n v="-12000"/>
    <x v="447"/>
    <m/>
  </r>
  <r>
    <x v="1508"/>
    <x v="560"/>
    <x v="2"/>
    <x v="11"/>
    <n v="14"/>
    <x v="1"/>
    <x v="1"/>
    <x v="6"/>
    <s v="가구_가전"/>
    <n v="7000"/>
    <n v="-7000"/>
    <x v="98"/>
    <s v="모기약, 자석"/>
  </r>
  <r>
    <x v="1509"/>
    <x v="560"/>
    <x v="2"/>
    <x v="11"/>
    <n v="14"/>
    <x v="1"/>
    <x v="3"/>
    <x v="3"/>
    <s v="외식"/>
    <n v="11900"/>
    <n v="-11900"/>
    <x v="90"/>
    <m/>
  </r>
  <r>
    <x v="1510"/>
    <x v="560"/>
    <x v="2"/>
    <x v="11"/>
    <n v="14"/>
    <x v="1"/>
    <x v="1"/>
    <x v="13"/>
    <s v="주점"/>
    <n v="29000"/>
    <n v="-29000"/>
    <x v="337"/>
    <s v="푸딩빙수, 감바스, 칵테일"/>
  </r>
  <r>
    <x v="1511"/>
    <x v="560"/>
    <x v="2"/>
    <x v="11"/>
    <n v="14"/>
    <x v="1"/>
    <x v="1"/>
    <x v="12"/>
    <s v="취미"/>
    <n v="2500"/>
    <n v="-2500"/>
    <x v="119"/>
    <m/>
  </r>
  <r>
    <x v="1512"/>
    <x v="561"/>
    <x v="2"/>
    <x v="11"/>
    <n v="15"/>
    <x v="1"/>
    <x v="3"/>
    <x v="3"/>
    <s v="외식"/>
    <n v="9000"/>
    <n v="-9000"/>
    <x v="308"/>
    <m/>
  </r>
  <r>
    <x v="1513"/>
    <x v="561"/>
    <x v="2"/>
    <x v="11"/>
    <n v="15"/>
    <x v="1"/>
    <x v="1"/>
    <x v="6"/>
    <s v="가구_가전"/>
    <n v="8000"/>
    <n v="-8000"/>
    <x v="98"/>
    <s v="제습제, 세탁조청소약, 소분통"/>
  </r>
  <r>
    <x v="1514"/>
    <x v="562"/>
    <x v="2"/>
    <x v="11"/>
    <n v="19"/>
    <x v="6"/>
    <x v="1"/>
    <x v="10"/>
    <s v="선물"/>
    <n v="105000"/>
    <n v="-105000"/>
    <x v="448"/>
    <s v="팰롱팰롱 기념품 10,000원 포함"/>
  </r>
  <r>
    <x v="1515"/>
    <x v="562"/>
    <x v="2"/>
    <x v="11"/>
    <n v="19"/>
    <x v="6"/>
    <x v="1"/>
    <x v="16"/>
    <s v="관광"/>
    <n v="543369"/>
    <n v="-543369"/>
    <x v="152"/>
    <s v="교통, 숙박, 식비 전체 포함"/>
  </r>
  <r>
    <x v="1516"/>
    <x v="562"/>
    <x v="2"/>
    <x v="11"/>
    <n v="19"/>
    <x v="1"/>
    <x v="3"/>
    <x v="3"/>
    <s v="외식"/>
    <n v="12900"/>
    <n v="-12900"/>
    <x v="307"/>
    <m/>
  </r>
  <r>
    <x v="1517"/>
    <x v="562"/>
    <x v="2"/>
    <x v="11"/>
    <n v="19"/>
    <x v="1"/>
    <x v="4"/>
    <x v="18"/>
    <s v="전기세"/>
    <n v="15800"/>
    <n v="-15800"/>
    <x v="414"/>
    <m/>
  </r>
  <r>
    <x v="1518"/>
    <x v="563"/>
    <x v="2"/>
    <x v="11"/>
    <n v="20"/>
    <x v="1"/>
    <x v="3"/>
    <x v="3"/>
    <s v="외식"/>
    <n v="9000"/>
    <n v="-9000"/>
    <x v="214"/>
    <m/>
  </r>
  <r>
    <x v="1519"/>
    <x v="563"/>
    <x v="2"/>
    <x v="11"/>
    <n v="20"/>
    <x v="1"/>
    <x v="3"/>
    <x v="3"/>
    <s v="외식"/>
    <n v="3500"/>
    <n v="-3500"/>
    <x v="83"/>
    <m/>
  </r>
  <r>
    <x v="1520"/>
    <x v="564"/>
    <x v="2"/>
    <x v="11"/>
    <n v="21"/>
    <x v="1"/>
    <x v="1"/>
    <x v="10"/>
    <s v="선물"/>
    <n v="2000"/>
    <n v="-2000"/>
    <x v="17"/>
    <s v="김예빈 미니 망곰이"/>
  </r>
  <r>
    <x v="1521"/>
    <x v="565"/>
    <x v="2"/>
    <x v="11"/>
    <n v="24"/>
    <x v="1"/>
    <x v="1"/>
    <x v="6"/>
    <s v="마트"/>
    <n v="50000"/>
    <n v="-50000"/>
    <x v="40"/>
    <s v="면도날"/>
  </r>
  <r>
    <x v="1522"/>
    <x v="566"/>
    <x v="2"/>
    <x v="11"/>
    <n v="26"/>
    <x v="1"/>
    <x v="3"/>
    <x v="3"/>
    <s v="외식"/>
    <n v="7500"/>
    <n v="-7500"/>
    <x v="198"/>
    <m/>
  </r>
  <r>
    <x v="1523"/>
    <x v="566"/>
    <x v="2"/>
    <x v="11"/>
    <n v="26"/>
    <x v="1"/>
    <x v="3"/>
    <x v="6"/>
    <s v="마트"/>
    <n v="39190"/>
    <n v="-39190"/>
    <x v="382"/>
    <m/>
  </r>
  <r>
    <x v="1524"/>
    <x v="566"/>
    <x v="2"/>
    <x v="11"/>
    <n v="26"/>
    <x v="1"/>
    <x v="1"/>
    <x v="6"/>
    <s v="마트"/>
    <n v="20300"/>
    <n v="-20300"/>
    <x v="410"/>
    <m/>
  </r>
  <r>
    <x v="1525"/>
    <x v="567"/>
    <x v="2"/>
    <x v="11"/>
    <n v="27"/>
    <x v="1"/>
    <x v="3"/>
    <x v="3"/>
    <s v="배달"/>
    <n v="21900"/>
    <n v="-21900"/>
    <x v="440"/>
    <s v="동근이숯불두마리치킨"/>
  </r>
  <r>
    <x v="1526"/>
    <x v="567"/>
    <x v="2"/>
    <x v="11"/>
    <n v="27"/>
    <x v="1"/>
    <x v="1"/>
    <x v="14"/>
    <s v="액세서리"/>
    <n v="62910"/>
    <n v="-62910"/>
    <x v="449"/>
    <s v="커플링"/>
  </r>
  <r>
    <x v="1527"/>
    <x v="568"/>
    <x v="2"/>
    <x v="11"/>
    <n v="28"/>
    <x v="1"/>
    <x v="1"/>
    <x v="12"/>
    <s v="전시_관람_체험"/>
    <n v="12000"/>
    <n v="-12000"/>
    <x v="450"/>
    <m/>
  </r>
  <r>
    <x v="1528"/>
    <x v="568"/>
    <x v="2"/>
    <x v="11"/>
    <n v="28"/>
    <x v="1"/>
    <x v="1"/>
    <x v="3"/>
    <s v="외식"/>
    <n v="14800"/>
    <n v="-14800"/>
    <x v="451"/>
    <s v="코엑스 점심"/>
  </r>
  <r>
    <x v="1529"/>
    <x v="569"/>
    <x v="2"/>
    <x v="11"/>
    <n v="29"/>
    <x v="1"/>
    <x v="1"/>
    <x v="6"/>
    <s v="마트"/>
    <n v="1000"/>
    <n v="-1000"/>
    <x v="98"/>
    <s v="편지지"/>
  </r>
  <r>
    <x v="1530"/>
    <x v="569"/>
    <x v="2"/>
    <x v="11"/>
    <n v="29"/>
    <x v="1"/>
    <x v="1"/>
    <x v="13"/>
    <s v="주점"/>
    <n v="30500"/>
    <n v="-30500"/>
    <x v="452"/>
    <s v="성남 이자카야"/>
  </r>
  <r>
    <x v="1531"/>
    <x v="570"/>
    <x v="2"/>
    <x v="11"/>
    <n v="30"/>
    <x v="1"/>
    <x v="4"/>
    <x v="4"/>
    <s v="서비스구독"/>
    <n v="2938"/>
    <n v="-2938"/>
    <x v="84"/>
    <m/>
  </r>
  <r>
    <x v="1532"/>
    <x v="570"/>
    <x v="2"/>
    <x v="11"/>
    <n v="30"/>
    <x v="1"/>
    <x v="1"/>
    <x v="12"/>
    <s v="기타"/>
    <n v="6000"/>
    <n v="-6000"/>
    <x v="453"/>
    <s v="노래방비+자판기"/>
  </r>
  <r>
    <x v="1533"/>
    <x v="570"/>
    <x v="2"/>
    <x v="11"/>
    <n v="30"/>
    <x v="1"/>
    <x v="1"/>
    <x v="13"/>
    <s v="주점"/>
    <n v="21400"/>
    <n v="-21400"/>
    <x v="454"/>
    <s v="윤동근 이체"/>
  </r>
  <r>
    <x v="1534"/>
    <x v="571"/>
    <x v="2"/>
    <x v="0"/>
    <n v="1"/>
    <x v="1"/>
    <x v="5"/>
    <x v="9"/>
    <s v="용돈"/>
    <n v="-600000"/>
    <n v="600000"/>
    <x v="58"/>
    <s v="7월 생활비"/>
  </r>
  <r>
    <x v="1535"/>
    <x v="572"/>
    <x v="2"/>
    <x v="0"/>
    <n v="3"/>
    <x v="1"/>
    <x v="1"/>
    <x v="7"/>
    <s v="대중교통"/>
    <n v="17560"/>
    <n v="-17560"/>
    <x v="33"/>
    <m/>
  </r>
  <r>
    <x v="1536"/>
    <x v="573"/>
    <x v="2"/>
    <x v="0"/>
    <n v="4"/>
    <x v="1"/>
    <x v="1"/>
    <x v="3"/>
    <s v="외식"/>
    <n v="14400"/>
    <n v="-14400"/>
    <x v="455"/>
    <s v="송제윤 이체"/>
  </r>
  <r>
    <x v="1537"/>
    <x v="573"/>
    <x v="2"/>
    <x v="0"/>
    <n v="4"/>
    <x v="1"/>
    <x v="1"/>
    <x v="12"/>
    <s v="기타"/>
    <n v="3000"/>
    <n v="-3000"/>
    <x v="456"/>
    <m/>
  </r>
  <r>
    <x v="1538"/>
    <x v="573"/>
    <x v="2"/>
    <x v="0"/>
    <n v="4"/>
    <x v="1"/>
    <x v="1"/>
    <x v="12"/>
    <s v="취미"/>
    <n v="8600"/>
    <n v="-8600"/>
    <x v="122"/>
    <m/>
  </r>
  <r>
    <x v="1539"/>
    <x v="573"/>
    <x v="2"/>
    <x v="0"/>
    <n v="4"/>
    <x v="1"/>
    <x v="2"/>
    <x v="2"/>
    <s v="기타수입"/>
    <n v="-10000"/>
    <n v="10000"/>
    <x v="15"/>
    <m/>
  </r>
  <r>
    <x v="1540"/>
    <x v="573"/>
    <x v="2"/>
    <x v="0"/>
    <n v="4"/>
    <x v="1"/>
    <x v="1"/>
    <x v="12"/>
    <s v="기타"/>
    <n v="3000"/>
    <n v="-3000"/>
    <x v="457"/>
    <m/>
  </r>
  <r>
    <x v="1541"/>
    <x v="573"/>
    <x v="2"/>
    <x v="0"/>
    <n v="4"/>
    <x v="1"/>
    <x v="1"/>
    <x v="13"/>
    <s v="주점"/>
    <n v="23000"/>
    <n v="-23000"/>
    <x v="458"/>
    <s v="박평진 이체"/>
  </r>
  <r>
    <x v="1542"/>
    <x v="573"/>
    <x v="2"/>
    <x v="0"/>
    <n v="4"/>
    <x v="1"/>
    <x v="0"/>
    <x v="0"/>
    <s v="이체"/>
    <n v="-9440"/>
    <n v="9440"/>
    <x v="459"/>
    <s v="티머니 환불"/>
  </r>
  <r>
    <x v="1543"/>
    <x v="574"/>
    <x v="2"/>
    <x v="0"/>
    <n v="5"/>
    <x v="1"/>
    <x v="1"/>
    <x v="5"/>
    <s v="커피_음료"/>
    <n v="2800"/>
    <n v="-2800"/>
    <x v="460"/>
    <m/>
  </r>
  <r>
    <x v="1544"/>
    <x v="575"/>
    <x v="2"/>
    <x v="0"/>
    <n v="6"/>
    <x v="1"/>
    <x v="1"/>
    <x v="7"/>
    <s v="전동킥보드"/>
    <n v="3460"/>
    <n v="-3460"/>
    <x v="244"/>
    <s v="왕복비용 포함"/>
  </r>
  <r>
    <x v="1545"/>
    <x v="575"/>
    <x v="2"/>
    <x v="0"/>
    <n v="6"/>
    <x v="1"/>
    <x v="3"/>
    <x v="8"/>
    <s v="헤어샵"/>
    <n v="15000"/>
    <n v="-15000"/>
    <x v="95"/>
    <m/>
  </r>
  <r>
    <x v="1546"/>
    <x v="575"/>
    <x v="2"/>
    <x v="0"/>
    <n v="6"/>
    <x v="1"/>
    <x v="1"/>
    <x v="5"/>
    <s v="커피_음료"/>
    <n v="3700"/>
    <n v="-3700"/>
    <x v="300"/>
    <m/>
  </r>
  <r>
    <x v="1547"/>
    <x v="576"/>
    <x v="2"/>
    <x v="0"/>
    <n v="8"/>
    <x v="1"/>
    <x v="1"/>
    <x v="6"/>
    <s v="편의점"/>
    <n v="2950"/>
    <n v="-2950"/>
    <x v="10"/>
    <s v="우유"/>
  </r>
  <r>
    <x v="1548"/>
    <x v="577"/>
    <x v="2"/>
    <x v="0"/>
    <n v="9"/>
    <x v="1"/>
    <x v="2"/>
    <x v="2"/>
    <s v="기타수입"/>
    <n v="-1"/>
    <n v="1"/>
    <x v="161"/>
    <m/>
  </r>
  <r>
    <x v="1549"/>
    <x v="577"/>
    <x v="2"/>
    <x v="0"/>
    <n v="9"/>
    <x v="1"/>
    <x v="1"/>
    <x v="3"/>
    <s v="외식"/>
    <n v="5000"/>
    <n v="-5000"/>
    <x v="461"/>
    <m/>
  </r>
  <r>
    <x v="1550"/>
    <x v="577"/>
    <x v="2"/>
    <x v="0"/>
    <n v="9"/>
    <x v="1"/>
    <x v="1"/>
    <x v="5"/>
    <s v="커피_음료"/>
    <n v="9900"/>
    <n v="-9900"/>
    <x v="211"/>
    <m/>
  </r>
  <r>
    <x v="1551"/>
    <x v="577"/>
    <x v="2"/>
    <x v="0"/>
    <n v="9"/>
    <x v="1"/>
    <x v="1"/>
    <x v="16"/>
    <s v="숙박비"/>
    <n v="12600"/>
    <n v="-12600"/>
    <x v="265"/>
    <m/>
  </r>
  <r>
    <x v="1552"/>
    <x v="578"/>
    <x v="2"/>
    <x v="0"/>
    <n v="10"/>
    <x v="1"/>
    <x v="3"/>
    <x v="6"/>
    <s v="마트"/>
    <n v="30060"/>
    <n v="-30060"/>
    <x v="382"/>
    <m/>
  </r>
  <r>
    <x v="1553"/>
    <x v="578"/>
    <x v="2"/>
    <x v="0"/>
    <n v="10"/>
    <x v="1"/>
    <x v="1"/>
    <x v="6"/>
    <s v="편의점"/>
    <n v="4400"/>
    <n v="-4400"/>
    <x v="324"/>
    <s v="에비앙"/>
  </r>
  <r>
    <x v="1554"/>
    <x v="578"/>
    <x v="2"/>
    <x v="0"/>
    <n v="10"/>
    <x v="1"/>
    <x v="4"/>
    <x v="18"/>
    <s v="가스비"/>
    <n v="8170"/>
    <n v="-8170"/>
    <x v="404"/>
    <m/>
  </r>
  <r>
    <x v="1555"/>
    <x v="579"/>
    <x v="2"/>
    <x v="0"/>
    <n v="11"/>
    <x v="1"/>
    <x v="1"/>
    <x v="5"/>
    <s v="커피_음료"/>
    <n v="1100"/>
    <n v="-1100"/>
    <x v="240"/>
    <s v="예빈 커피"/>
  </r>
  <r>
    <x v="1556"/>
    <x v="580"/>
    <x v="2"/>
    <x v="0"/>
    <n v="12"/>
    <x v="1"/>
    <x v="1"/>
    <x v="3"/>
    <s v="외식"/>
    <n v="13000"/>
    <n v="-13000"/>
    <x v="462"/>
    <m/>
  </r>
  <r>
    <x v="1557"/>
    <x v="580"/>
    <x v="2"/>
    <x v="0"/>
    <n v="12"/>
    <x v="1"/>
    <x v="1"/>
    <x v="12"/>
    <s v="기타"/>
    <n v="18500"/>
    <n v="-18500"/>
    <x v="463"/>
    <m/>
  </r>
  <r>
    <x v="1558"/>
    <x v="580"/>
    <x v="2"/>
    <x v="0"/>
    <n v="12"/>
    <x v="1"/>
    <x v="1"/>
    <x v="12"/>
    <s v="기타"/>
    <n v="17800"/>
    <n v="-17800"/>
    <x v="464"/>
    <m/>
  </r>
  <r>
    <x v="1559"/>
    <x v="581"/>
    <x v="2"/>
    <x v="0"/>
    <n v="14"/>
    <x v="1"/>
    <x v="2"/>
    <x v="2"/>
    <s v="용돈"/>
    <n v="-295000"/>
    <n v="295000"/>
    <x v="58"/>
    <s v="여행 용돈"/>
  </r>
  <r>
    <x v="1560"/>
    <x v="581"/>
    <x v="2"/>
    <x v="0"/>
    <n v="14"/>
    <x v="1"/>
    <x v="1"/>
    <x v="5"/>
    <s v="커피_음료"/>
    <n v="5800"/>
    <n v="-5800"/>
    <x v="460"/>
    <m/>
  </r>
  <r>
    <x v="1561"/>
    <x v="581"/>
    <x v="2"/>
    <x v="0"/>
    <n v="14"/>
    <x v="6"/>
    <x v="0"/>
    <x v="0"/>
    <s v="이체"/>
    <n v="-1800000"/>
    <n v="1800000"/>
    <x v="338"/>
    <m/>
  </r>
  <r>
    <x v="1562"/>
    <x v="582"/>
    <x v="2"/>
    <x v="0"/>
    <n v="15"/>
    <x v="6"/>
    <x v="1"/>
    <x v="16"/>
    <s v="교통비"/>
    <n v="50600"/>
    <n v="-50600"/>
    <x v="465"/>
    <m/>
  </r>
  <r>
    <x v="1563"/>
    <x v="582"/>
    <x v="2"/>
    <x v="0"/>
    <n v="15"/>
    <x v="6"/>
    <x v="1"/>
    <x v="16"/>
    <s v="편의점"/>
    <n v="2200"/>
    <n v="-2200"/>
    <x v="324"/>
    <s v="인천공항 물"/>
  </r>
  <r>
    <x v="1564"/>
    <x v="582"/>
    <x v="2"/>
    <x v="0"/>
    <n v="15"/>
    <x v="6"/>
    <x v="1"/>
    <x v="16"/>
    <s v="교통비"/>
    <n v="267800"/>
    <n v="-267800"/>
    <x v="466"/>
    <m/>
  </r>
  <r>
    <x v="1565"/>
    <x v="582"/>
    <x v="2"/>
    <x v="0"/>
    <n v="15"/>
    <x v="6"/>
    <x v="1"/>
    <x v="16"/>
    <s v="숙박비"/>
    <n v="110000"/>
    <n v="-110000"/>
    <x v="386"/>
    <m/>
  </r>
  <r>
    <x v="1566"/>
    <x v="582"/>
    <x v="2"/>
    <x v="0"/>
    <n v="15"/>
    <x v="6"/>
    <x v="1"/>
    <x v="16"/>
    <s v="숙박비"/>
    <n v="9810"/>
    <n v="-9810"/>
    <x v="467"/>
    <s v="여행자보험"/>
  </r>
  <r>
    <x v="1567"/>
    <x v="583"/>
    <x v="2"/>
    <x v="0"/>
    <n v="16"/>
    <x v="6"/>
    <x v="1"/>
    <x v="16"/>
    <s v="숙박비"/>
    <n v="56260"/>
    <n v="-56260"/>
    <x v="468"/>
    <s v="교토 패키지"/>
  </r>
  <r>
    <x v="1568"/>
    <x v="584"/>
    <x v="2"/>
    <x v="0"/>
    <n v="18"/>
    <x v="6"/>
    <x v="1"/>
    <x v="16"/>
    <s v="관광"/>
    <n v="107000"/>
    <n v="-107000"/>
    <x v="469"/>
    <m/>
  </r>
  <r>
    <x v="1569"/>
    <x v="585"/>
    <x v="2"/>
    <x v="0"/>
    <n v="19"/>
    <x v="6"/>
    <x v="1"/>
    <x v="16"/>
    <s v="관광"/>
    <n v="641880"/>
    <n v="-641880"/>
    <x v="470"/>
    <s v="현금 사용(식비, 기념품 등)"/>
  </r>
  <r>
    <x v="1570"/>
    <x v="585"/>
    <x v="2"/>
    <x v="0"/>
    <n v="19"/>
    <x v="1"/>
    <x v="0"/>
    <x v="0"/>
    <s v="이체"/>
    <n v="-800"/>
    <n v="800"/>
    <x v="471"/>
    <s v="환급 차액"/>
  </r>
  <r>
    <x v="1571"/>
    <x v="586"/>
    <x v="2"/>
    <x v="0"/>
    <n v="20"/>
    <x v="1"/>
    <x v="3"/>
    <x v="3"/>
    <s v="외식"/>
    <n v="6700"/>
    <n v="-6700"/>
    <x v="83"/>
    <s v="평진이 맥모닝"/>
  </r>
  <r>
    <x v="1572"/>
    <x v="586"/>
    <x v="2"/>
    <x v="0"/>
    <n v="20"/>
    <x v="1"/>
    <x v="3"/>
    <x v="3"/>
    <s v="외식"/>
    <n v="9000"/>
    <n v="-9000"/>
    <x v="214"/>
    <m/>
  </r>
  <r>
    <x v="1573"/>
    <x v="586"/>
    <x v="2"/>
    <x v="0"/>
    <n v="20"/>
    <x v="1"/>
    <x v="1"/>
    <x v="6"/>
    <s v="편의점"/>
    <n v="4150"/>
    <n v="-4150"/>
    <x v="10"/>
    <s v="우유, 치즈"/>
  </r>
  <r>
    <x v="1574"/>
    <x v="587"/>
    <x v="2"/>
    <x v="0"/>
    <n v="21"/>
    <x v="1"/>
    <x v="1"/>
    <x v="13"/>
    <s v="주점"/>
    <n v="31566"/>
    <n v="-31566"/>
    <x v="472"/>
    <s v="박종민 이체"/>
  </r>
  <r>
    <x v="1575"/>
    <x v="587"/>
    <x v="2"/>
    <x v="0"/>
    <n v="21"/>
    <x v="1"/>
    <x v="1"/>
    <x v="6"/>
    <s v="편의점"/>
    <n v="5500"/>
    <n v="-5500"/>
    <x v="10"/>
    <s v="여명"/>
  </r>
  <r>
    <x v="1576"/>
    <x v="588"/>
    <x v="2"/>
    <x v="0"/>
    <n v="22"/>
    <x v="1"/>
    <x v="1"/>
    <x v="5"/>
    <s v="디저트_빵"/>
    <n v="1800"/>
    <n v="-1800"/>
    <x v="473"/>
    <s v="무인간식"/>
  </r>
  <r>
    <x v="1577"/>
    <x v="587"/>
    <x v="2"/>
    <x v="0"/>
    <n v="21"/>
    <x v="1"/>
    <x v="1"/>
    <x v="6"/>
    <s v="편의점"/>
    <n v="2950"/>
    <n v="-2950"/>
    <x v="10"/>
    <s v="우유"/>
  </r>
  <r>
    <x v="1578"/>
    <x v="589"/>
    <x v="2"/>
    <x v="0"/>
    <n v="23"/>
    <x v="1"/>
    <x v="1"/>
    <x v="3"/>
    <s v="배달"/>
    <n v="7000"/>
    <n v="-7000"/>
    <x v="30"/>
    <s v="차액결제"/>
  </r>
  <r>
    <x v="1579"/>
    <x v="590"/>
    <x v="2"/>
    <x v="0"/>
    <n v="28"/>
    <x v="1"/>
    <x v="1"/>
    <x v="5"/>
    <s v="커피_음료"/>
    <n v="10000"/>
    <n v="-10000"/>
    <x v="106"/>
    <m/>
  </r>
  <r>
    <x v="1580"/>
    <x v="590"/>
    <x v="2"/>
    <x v="0"/>
    <n v="28"/>
    <x v="1"/>
    <x v="1"/>
    <x v="6"/>
    <s v="편의점"/>
    <n v="2950"/>
    <n v="-2950"/>
    <x v="10"/>
    <s v="우유"/>
  </r>
  <r>
    <x v="1581"/>
    <x v="591"/>
    <x v="2"/>
    <x v="0"/>
    <n v="29"/>
    <x v="1"/>
    <x v="1"/>
    <x v="3"/>
    <s v="외식"/>
    <n v="5000"/>
    <n v="-5000"/>
    <x v="474"/>
    <s v="잔치국수"/>
  </r>
  <r>
    <x v="1582"/>
    <x v="592"/>
    <x v="2"/>
    <x v="0"/>
    <n v="30"/>
    <x v="1"/>
    <x v="4"/>
    <x v="4"/>
    <s v="서비스구독"/>
    <n v="2891"/>
    <n v="-2891"/>
    <x v="84"/>
    <m/>
  </r>
  <r>
    <x v="1583"/>
    <x v="592"/>
    <x v="2"/>
    <x v="0"/>
    <n v="30"/>
    <x v="1"/>
    <x v="1"/>
    <x v="17"/>
    <s v="병원"/>
    <n v="20000"/>
    <n v="-20000"/>
    <x v="380"/>
    <m/>
  </r>
  <r>
    <x v="1584"/>
    <x v="592"/>
    <x v="2"/>
    <x v="0"/>
    <n v="30"/>
    <x v="1"/>
    <x v="1"/>
    <x v="17"/>
    <s v="약국"/>
    <n v="20000"/>
    <n v="-20000"/>
    <x v="381"/>
    <m/>
  </r>
  <r>
    <x v="1585"/>
    <x v="592"/>
    <x v="2"/>
    <x v="0"/>
    <n v="30"/>
    <x v="1"/>
    <x v="3"/>
    <x v="3"/>
    <s v="외식"/>
    <n v="12500"/>
    <n v="-12500"/>
    <x v="215"/>
    <m/>
  </r>
  <r>
    <x v="1586"/>
    <x v="592"/>
    <x v="2"/>
    <x v="0"/>
    <n v="30"/>
    <x v="1"/>
    <x v="1"/>
    <x v="6"/>
    <s v="편의점"/>
    <n v="1100"/>
    <n v="-1100"/>
    <x v="10"/>
    <s v="물"/>
  </r>
  <r>
    <x v="1587"/>
    <x v="593"/>
    <x v="2"/>
    <x v="0"/>
    <n v="31"/>
    <x v="1"/>
    <x v="1"/>
    <x v="5"/>
    <s v="커피_음료"/>
    <n v="2800"/>
    <n v="-2800"/>
    <x v="460"/>
    <m/>
  </r>
  <r>
    <x v="1588"/>
    <x v="593"/>
    <x v="2"/>
    <x v="0"/>
    <n v="31"/>
    <x v="1"/>
    <x v="1"/>
    <x v="10"/>
    <s v="선물"/>
    <n v="2000"/>
    <n v="-2000"/>
    <x v="345"/>
    <m/>
  </r>
  <r>
    <x v="1589"/>
    <x v="593"/>
    <x v="2"/>
    <x v="0"/>
    <n v="31"/>
    <x v="1"/>
    <x v="1"/>
    <x v="3"/>
    <s v="외식"/>
    <n v="4000"/>
    <n v="-4000"/>
    <x v="475"/>
    <m/>
  </r>
  <r>
    <x v="1590"/>
    <x v="593"/>
    <x v="2"/>
    <x v="0"/>
    <n v="31"/>
    <x v="1"/>
    <x v="1"/>
    <x v="12"/>
    <s v="취미"/>
    <n v="2000"/>
    <n v="-2000"/>
    <x v="476"/>
    <s v="1000원 현금"/>
  </r>
  <r>
    <x v="1591"/>
    <x v="593"/>
    <x v="2"/>
    <x v="0"/>
    <n v="31"/>
    <x v="1"/>
    <x v="1"/>
    <x v="3"/>
    <s v="외식"/>
    <n v="10900"/>
    <n v="-10900"/>
    <x v="477"/>
    <m/>
  </r>
  <r>
    <x v="1592"/>
    <x v="593"/>
    <x v="2"/>
    <x v="0"/>
    <n v="31"/>
    <x v="1"/>
    <x v="1"/>
    <x v="6"/>
    <s v="편의점"/>
    <n v="5450"/>
    <n v="-5450"/>
    <x v="10"/>
    <s v="우유, 종량제"/>
  </r>
  <r>
    <x v="1593"/>
    <x v="594"/>
    <x v="2"/>
    <x v="1"/>
    <n v="1"/>
    <x v="1"/>
    <x v="5"/>
    <x v="9"/>
    <s v="용돈"/>
    <n v="-600000"/>
    <n v="600000"/>
    <x v="58"/>
    <m/>
  </r>
  <r>
    <x v="1594"/>
    <x v="594"/>
    <x v="2"/>
    <x v="1"/>
    <n v="1"/>
    <x v="1"/>
    <x v="1"/>
    <x v="12"/>
    <s v="게임"/>
    <n v="4500"/>
    <n v="-4500"/>
    <x v="478"/>
    <s v="알라라크"/>
  </r>
  <r>
    <x v="1595"/>
    <x v="594"/>
    <x v="2"/>
    <x v="1"/>
    <n v="1"/>
    <x v="1"/>
    <x v="2"/>
    <x v="2"/>
    <s v="용돈"/>
    <n v="-100000"/>
    <n v="100000"/>
    <x v="479"/>
    <m/>
  </r>
  <r>
    <x v="1596"/>
    <x v="595"/>
    <x v="2"/>
    <x v="1"/>
    <n v="2"/>
    <x v="1"/>
    <x v="1"/>
    <x v="14"/>
    <s v="백화점"/>
    <n v="40100"/>
    <n v="-40100"/>
    <x v="480"/>
    <s v="망곰이 팝업"/>
  </r>
  <r>
    <x v="1597"/>
    <x v="595"/>
    <x v="2"/>
    <x v="1"/>
    <n v="2"/>
    <x v="1"/>
    <x v="1"/>
    <x v="3"/>
    <s v="외식"/>
    <n v="27000"/>
    <n v="-27000"/>
    <x v="481"/>
    <m/>
  </r>
  <r>
    <x v="1598"/>
    <x v="595"/>
    <x v="2"/>
    <x v="1"/>
    <n v="2"/>
    <x v="1"/>
    <x v="1"/>
    <x v="3"/>
    <s v="외식"/>
    <n v="19500"/>
    <n v="-19500"/>
    <x v="482"/>
    <s v="사케동"/>
  </r>
  <r>
    <x v="1599"/>
    <x v="595"/>
    <x v="2"/>
    <x v="1"/>
    <n v="2"/>
    <x v="1"/>
    <x v="1"/>
    <x v="5"/>
    <s v="커피_음료"/>
    <n v="2000"/>
    <n v="-2000"/>
    <x v="483"/>
    <s v="한강 슬러쉬"/>
  </r>
  <r>
    <x v="1600"/>
    <x v="596"/>
    <x v="2"/>
    <x v="1"/>
    <n v="3"/>
    <x v="1"/>
    <x v="1"/>
    <x v="10"/>
    <s v="선물"/>
    <n v="22500"/>
    <n v="-22500"/>
    <x v="442"/>
    <m/>
  </r>
  <r>
    <x v="1601"/>
    <x v="596"/>
    <x v="2"/>
    <x v="1"/>
    <n v="3"/>
    <x v="1"/>
    <x v="3"/>
    <x v="6"/>
    <s v="마트"/>
    <n v="25440"/>
    <n v="-25440"/>
    <x v="382"/>
    <m/>
  </r>
  <r>
    <x v="1602"/>
    <x v="597"/>
    <x v="2"/>
    <x v="1"/>
    <n v="4"/>
    <x v="1"/>
    <x v="1"/>
    <x v="4"/>
    <s v="서비스구독"/>
    <n v="30616"/>
    <n v="-30616"/>
    <x v="484"/>
    <s v="원드라이브 구독"/>
  </r>
  <r>
    <x v="1603"/>
    <x v="597"/>
    <x v="2"/>
    <x v="1"/>
    <n v="4"/>
    <x v="1"/>
    <x v="1"/>
    <x v="7"/>
    <s v="대중교통"/>
    <n v="40850"/>
    <n v="-40850"/>
    <x v="33"/>
    <m/>
  </r>
  <r>
    <x v="1604"/>
    <x v="598"/>
    <x v="2"/>
    <x v="1"/>
    <n v="5"/>
    <x v="1"/>
    <x v="1"/>
    <x v="12"/>
    <s v="기타"/>
    <n v="5000"/>
    <n v="-5000"/>
    <x v="48"/>
    <m/>
  </r>
  <r>
    <x v="1605"/>
    <x v="599"/>
    <x v="2"/>
    <x v="1"/>
    <n v="6"/>
    <x v="1"/>
    <x v="4"/>
    <x v="4"/>
    <s v="서비스구독"/>
    <n v="69"/>
    <n v="-69"/>
    <x v="485"/>
    <m/>
  </r>
  <r>
    <x v="1606"/>
    <x v="599"/>
    <x v="2"/>
    <x v="1"/>
    <n v="6"/>
    <x v="1"/>
    <x v="1"/>
    <x v="7"/>
    <s v="전동킥보드"/>
    <n v="1840"/>
    <n v="-1840"/>
    <x v="244"/>
    <m/>
  </r>
  <r>
    <x v="1607"/>
    <x v="599"/>
    <x v="2"/>
    <x v="1"/>
    <n v="6"/>
    <x v="1"/>
    <x v="3"/>
    <x v="8"/>
    <s v="헤어샵"/>
    <n v="15000"/>
    <n v="-15000"/>
    <x v="95"/>
    <m/>
  </r>
  <r>
    <x v="1608"/>
    <x v="600"/>
    <x v="2"/>
    <x v="1"/>
    <n v="7"/>
    <x v="1"/>
    <x v="3"/>
    <x v="3"/>
    <s v="외식"/>
    <n v="7500"/>
    <n v="-7500"/>
    <x v="230"/>
    <m/>
  </r>
  <r>
    <x v="1609"/>
    <x v="600"/>
    <x v="2"/>
    <x v="1"/>
    <n v="7"/>
    <x v="1"/>
    <x v="1"/>
    <x v="6"/>
    <s v="편의점"/>
    <n v="300"/>
    <n v="-300"/>
    <x v="206"/>
    <s v="기프티콘사용"/>
  </r>
  <r>
    <x v="1610"/>
    <x v="601"/>
    <x v="2"/>
    <x v="1"/>
    <n v="8"/>
    <x v="1"/>
    <x v="3"/>
    <x v="3"/>
    <s v="외식"/>
    <n v="11000"/>
    <n v="-11000"/>
    <x v="486"/>
    <m/>
  </r>
  <r>
    <x v="1611"/>
    <x v="601"/>
    <x v="2"/>
    <x v="1"/>
    <n v="8"/>
    <x v="1"/>
    <x v="3"/>
    <x v="6"/>
    <s v="마트"/>
    <n v="15060"/>
    <n v="-15060"/>
    <x v="382"/>
    <m/>
  </r>
  <r>
    <x v="1612"/>
    <x v="601"/>
    <x v="2"/>
    <x v="1"/>
    <n v="8"/>
    <x v="1"/>
    <x v="4"/>
    <x v="18"/>
    <s v="가스비"/>
    <n v="12140"/>
    <n v="-12140"/>
    <x v="404"/>
    <m/>
  </r>
  <r>
    <x v="1613"/>
    <x v="602"/>
    <x v="2"/>
    <x v="1"/>
    <n v="9"/>
    <x v="1"/>
    <x v="1"/>
    <x v="3"/>
    <s v="외식"/>
    <n v="13150"/>
    <n v="-13150"/>
    <x v="90"/>
    <m/>
  </r>
  <r>
    <x v="1614"/>
    <x v="602"/>
    <x v="2"/>
    <x v="1"/>
    <n v="9"/>
    <x v="1"/>
    <x v="1"/>
    <x v="5"/>
    <s v="커피_음료"/>
    <n v="5500"/>
    <n v="-5500"/>
    <x v="274"/>
    <m/>
  </r>
  <r>
    <x v="1615"/>
    <x v="602"/>
    <x v="2"/>
    <x v="1"/>
    <n v="9"/>
    <x v="1"/>
    <x v="1"/>
    <x v="3"/>
    <s v="외식"/>
    <n v="13750"/>
    <n v="-13750"/>
    <x v="487"/>
    <m/>
  </r>
  <r>
    <x v="1616"/>
    <x v="602"/>
    <x v="2"/>
    <x v="1"/>
    <n v="9"/>
    <x v="1"/>
    <x v="1"/>
    <x v="12"/>
    <s v="취미"/>
    <n v="5000"/>
    <n v="-5000"/>
    <x v="488"/>
    <m/>
  </r>
  <r>
    <x v="1617"/>
    <x v="603"/>
    <x v="2"/>
    <x v="1"/>
    <n v="10"/>
    <x v="1"/>
    <x v="2"/>
    <x v="2"/>
    <s v="금융수입"/>
    <n v="-125"/>
    <n v="125"/>
    <x v="36"/>
    <m/>
  </r>
  <r>
    <x v="1618"/>
    <x v="603"/>
    <x v="2"/>
    <x v="1"/>
    <n v="10"/>
    <x v="1"/>
    <x v="1"/>
    <x v="10"/>
    <s v="선물"/>
    <n v="4900"/>
    <n v="-4900"/>
    <x v="17"/>
    <s v="이모티콘 플러스"/>
  </r>
  <r>
    <x v="1619"/>
    <x v="604"/>
    <x v="2"/>
    <x v="1"/>
    <n v="13"/>
    <x v="1"/>
    <x v="1"/>
    <x v="12"/>
    <s v="공연"/>
    <n v="4000"/>
    <n v="-4000"/>
    <x v="489"/>
    <s v="홍대 동아리공연"/>
  </r>
  <r>
    <x v="1620"/>
    <x v="605"/>
    <x v="2"/>
    <x v="1"/>
    <n v="14"/>
    <x v="1"/>
    <x v="3"/>
    <x v="3"/>
    <s v="외식"/>
    <n v="7000"/>
    <n v="-7000"/>
    <x v="83"/>
    <m/>
  </r>
  <r>
    <x v="1621"/>
    <x v="605"/>
    <x v="2"/>
    <x v="1"/>
    <n v="14"/>
    <x v="1"/>
    <x v="1"/>
    <x v="6"/>
    <s v="편의점"/>
    <n v="3200"/>
    <n v="-3200"/>
    <x v="10"/>
    <s v="막걸리"/>
  </r>
  <r>
    <x v="1622"/>
    <x v="606"/>
    <x v="2"/>
    <x v="1"/>
    <n v="17"/>
    <x v="1"/>
    <x v="1"/>
    <x v="12"/>
    <s v="게임"/>
    <n v="19500"/>
    <n v="-19500"/>
    <x v="42"/>
    <m/>
  </r>
  <r>
    <x v="1623"/>
    <x v="607"/>
    <x v="2"/>
    <x v="1"/>
    <n v="20"/>
    <x v="1"/>
    <x v="1"/>
    <x v="17"/>
    <s v="약국"/>
    <n v="8000"/>
    <n v="-8000"/>
    <x v="196"/>
    <m/>
  </r>
  <r>
    <x v="1624"/>
    <x v="607"/>
    <x v="2"/>
    <x v="1"/>
    <n v="20"/>
    <x v="1"/>
    <x v="3"/>
    <x v="3"/>
    <s v="외식"/>
    <n v="4700"/>
    <n v="-4700"/>
    <x v="83"/>
    <m/>
  </r>
  <r>
    <x v="1625"/>
    <x v="607"/>
    <x v="2"/>
    <x v="1"/>
    <n v="20"/>
    <x v="1"/>
    <x v="3"/>
    <x v="6"/>
    <s v="마트"/>
    <n v="13240"/>
    <n v="-13240"/>
    <x v="382"/>
    <m/>
  </r>
  <r>
    <x v="1626"/>
    <x v="608"/>
    <x v="2"/>
    <x v="1"/>
    <n v="21"/>
    <x v="1"/>
    <x v="1"/>
    <x v="12"/>
    <s v="게임"/>
    <n v="1500"/>
    <n v="-1500"/>
    <x v="42"/>
    <m/>
  </r>
  <r>
    <x v="1627"/>
    <x v="608"/>
    <x v="2"/>
    <x v="1"/>
    <n v="21"/>
    <x v="1"/>
    <x v="1"/>
    <x v="6"/>
    <s v="문구류"/>
    <n v="6500"/>
    <n v="-6500"/>
    <x v="490"/>
    <s v="우산"/>
  </r>
  <r>
    <x v="1628"/>
    <x v="608"/>
    <x v="2"/>
    <x v="1"/>
    <n v="21"/>
    <x v="1"/>
    <x v="1"/>
    <x v="3"/>
    <s v="외식"/>
    <n v="12900"/>
    <n v="-12900"/>
    <x v="90"/>
    <m/>
  </r>
  <r>
    <x v="1629"/>
    <x v="608"/>
    <x v="2"/>
    <x v="1"/>
    <n v="21"/>
    <x v="1"/>
    <x v="1"/>
    <x v="12"/>
    <s v="기타"/>
    <n v="3000"/>
    <n v="-3000"/>
    <x v="491"/>
    <m/>
  </r>
  <r>
    <x v="1630"/>
    <x v="608"/>
    <x v="2"/>
    <x v="1"/>
    <n v="21"/>
    <x v="1"/>
    <x v="1"/>
    <x v="5"/>
    <s v="아이스크림_빙수"/>
    <n v="5300"/>
    <n v="-5300"/>
    <x v="113"/>
    <m/>
  </r>
  <r>
    <x v="1631"/>
    <x v="608"/>
    <x v="2"/>
    <x v="1"/>
    <n v="21"/>
    <x v="1"/>
    <x v="1"/>
    <x v="5"/>
    <s v="커피_음료"/>
    <n v="1100"/>
    <n v="-1100"/>
    <x v="474"/>
    <s v="물"/>
  </r>
  <r>
    <x v="1632"/>
    <x v="609"/>
    <x v="2"/>
    <x v="1"/>
    <n v="22"/>
    <x v="1"/>
    <x v="2"/>
    <x v="2"/>
    <s v="기타수입"/>
    <n v="-10000"/>
    <n v="10000"/>
    <x v="15"/>
    <m/>
  </r>
  <r>
    <x v="1633"/>
    <x v="609"/>
    <x v="2"/>
    <x v="1"/>
    <n v="22"/>
    <x v="1"/>
    <x v="4"/>
    <x v="18"/>
    <s v="전기세"/>
    <n v="30290"/>
    <n v="-30290"/>
    <x v="414"/>
    <m/>
  </r>
  <r>
    <x v="1634"/>
    <x v="609"/>
    <x v="2"/>
    <x v="1"/>
    <n v="22"/>
    <x v="1"/>
    <x v="1"/>
    <x v="12"/>
    <s v="기타"/>
    <n v="25000"/>
    <n v="-25000"/>
    <x v="422"/>
    <s v="블씨 회비"/>
  </r>
  <r>
    <x v="1635"/>
    <x v="610"/>
    <x v="2"/>
    <x v="1"/>
    <n v="23"/>
    <x v="1"/>
    <x v="1"/>
    <x v="12"/>
    <s v="취미"/>
    <n v="11900"/>
    <n v="-11900"/>
    <x v="492"/>
    <m/>
  </r>
  <r>
    <x v="1636"/>
    <x v="610"/>
    <x v="2"/>
    <x v="1"/>
    <n v="23"/>
    <x v="1"/>
    <x v="1"/>
    <x v="3"/>
    <s v="외식"/>
    <n v="21850"/>
    <n v="-21850"/>
    <x v="493"/>
    <m/>
  </r>
  <r>
    <x v="1637"/>
    <x v="610"/>
    <x v="2"/>
    <x v="1"/>
    <n v="23"/>
    <x v="1"/>
    <x v="1"/>
    <x v="12"/>
    <s v="기타"/>
    <n v="2000"/>
    <n v="-2000"/>
    <x v="355"/>
    <m/>
  </r>
  <r>
    <x v="1638"/>
    <x v="610"/>
    <x v="2"/>
    <x v="1"/>
    <n v="23"/>
    <x v="1"/>
    <x v="1"/>
    <x v="10"/>
    <s v="선물"/>
    <n v="116340"/>
    <n v="-116340"/>
    <x v="494"/>
    <s v="예빈이 지갑, 현금인출 만원 포함"/>
  </r>
  <r>
    <x v="1639"/>
    <x v="611"/>
    <x v="2"/>
    <x v="1"/>
    <n v="24"/>
    <x v="1"/>
    <x v="1"/>
    <x v="13"/>
    <s v="주점"/>
    <n v="32600"/>
    <n v="-32600"/>
    <x v="495"/>
    <m/>
  </r>
  <r>
    <x v="1640"/>
    <x v="611"/>
    <x v="2"/>
    <x v="1"/>
    <n v="24"/>
    <x v="1"/>
    <x v="1"/>
    <x v="12"/>
    <s v="취미"/>
    <n v="6000"/>
    <n v="-6000"/>
    <x v="476"/>
    <s v="음료 4000원 포함"/>
  </r>
  <r>
    <x v="1641"/>
    <x v="612"/>
    <x v="2"/>
    <x v="1"/>
    <n v="25"/>
    <x v="1"/>
    <x v="1"/>
    <x v="3"/>
    <s v="외식"/>
    <n v="14700"/>
    <n v="-14700"/>
    <x v="496"/>
    <m/>
  </r>
  <r>
    <x v="1642"/>
    <x v="612"/>
    <x v="2"/>
    <x v="1"/>
    <n v="25"/>
    <x v="1"/>
    <x v="1"/>
    <x v="5"/>
    <s v="아이스크림_빙수"/>
    <n v="4500"/>
    <n v="-4500"/>
    <x v="497"/>
    <m/>
  </r>
  <r>
    <x v="1643"/>
    <x v="613"/>
    <x v="2"/>
    <x v="1"/>
    <n v="27"/>
    <x v="1"/>
    <x v="1"/>
    <x v="3"/>
    <s v="외식"/>
    <n v="13000"/>
    <n v="-13000"/>
    <x v="498"/>
    <m/>
  </r>
  <r>
    <x v="1644"/>
    <x v="613"/>
    <x v="2"/>
    <x v="1"/>
    <n v="27"/>
    <x v="1"/>
    <x v="1"/>
    <x v="5"/>
    <s v="커피_음료"/>
    <n v="6000"/>
    <n v="-6000"/>
    <x v="499"/>
    <m/>
  </r>
  <r>
    <x v="1645"/>
    <x v="613"/>
    <x v="2"/>
    <x v="1"/>
    <n v="27"/>
    <x v="1"/>
    <x v="2"/>
    <x v="2"/>
    <s v="기타수입"/>
    <n v="-1"/>
    <n v="1"/>
    <x v="124"/>
    <s v="한화생명 인증"/>
  </r>
  <r>
    <x v="1646"/>
    <x v="614"/>
    <x v="2"/>
    <x v="1"/>
    <n v="28"/>
    <x v="1"/>
    <x v="1"/>
    <x v="1"/>
    <s v="차량보험"/>
    <n v="9220"/>
    <n v="-9220"/>
    <x v="500"/>
    <s v="원데이보험"/>
  </r>
  <r>
    <x v="1647"/>
    <x v="614"/>
    <x v="2"/>
    <x v="1"/>
    <n v="28"/>
    <x v="1"/>
    <x v="1"/>
    <x v="5"/>
    <s v="커피_음료"/>
    <n v="17500"/>
    <n v="-17500"/>
    <x v="211"/>
    <s v="호선쌤"/>
  </r>
  <r>
    <x v="1648"/>
    <x v="614"/>
    <x v="2"/>
    <x v="1"/>
    <n v="28"/>
    <x v="1"/>
    <x v="1"/>
    <x v="12"/>
    <s v="취미"/>
    <n v="7500"/>
    <n v="-7500"/>
    <x v="279"/>
    <s v="간식비 포함"/>
  </r>
  <r>
    <x v="1649"/>
    <x v="614"/>
    <x v="2"/>
    <x v="1"/>
    <n v="28"/>
    <x v="1"/>
    <x v="1"/>
    <x v="10"/>
    <s v="선물"/>
    <n v="25500"/>
    <n v="-25500"/>
    <x v="17"/>
    <s v="승효 치킨"/>
  </r>
  <r>
    <x v="1650"/>
    <x v="615"/>
    <x v="2"/>
    <x v="1"/>
    <n v="30"/>
    <x v="1"/>
    <x v="4"/>
    <x v="4"/>
    <s v="서비스구독"/>
    <n v="2800"/>
    <n v="-2800"/>
    <x v="84"/>
    <s v="멤버십 67원 포함"/>
  </r>
  <r>
    <x v="1651"/>
    <x v="616"/>
    <x v="2"/>
    <x v="1"/>
    <n v="31"/>
    <x v="1"/>
    <x v="1"/>
    <x v="1"/>
    <s v="차량보험"/>
    <n v="9220"/>
    <n v="-9220"/>
    <x v="500"/>
    <m/>
  </r>
  <r>
    <x v="1652"/>
    <x v="616"/>
    <x v="2"/>
    <x v="1"/>
    <n v="31"/>
    <x v="1"/>
    <x v="1"/>
    <x v="5"/>
    <s v="커피_음료"/>
    <n v="3400"/>
    <n v="-3400"/>
    <x v="300"/>
    <m/>
  </r>
  <r>
    <x v="1653"/>
    <x v="616"/>
    <x v="2"/>
    <x v="1"/>
    <n v="31"/>
    <x v="1"/>
    <x v="3"/>
    <x v="3"/>
    <s v="외식"/>
    <n v="9000"/>
    <n v="-9000"/>
    <x v="229"/>
    <m/>
  </r>
  <r>
    <x v="1654"/>
    <x v="616"/>
    <x v="2"/>
    <x v="1"/>
    <n v="31"/>
    <x v="1"/>
    <x v="1"/>
    <x v="12"/>
    <s v="게임"/>
    <n v="1300"/>
    <n v="-1300"/>
    <x v="42"/>
    <m/>
  </r>
  <r>
    <x v="1655"/>
    <x v="617"/>
    <x v="2"/>
    <x v="2"/>
    <n v="1"/>
    <x v="1"/>
    <x v="5"/>
    <x v="9"/>
    <s v="용돈"/>
    <n v="-700000"/>
    <n v="700000"/>
    <x v="58"/>
    <s v="보너스 10"/>
  </r>
  <r>
    <x v="1656"/>
    <x v="618"/>
    <x v="2"/>
    <x v="2"/>
    <n v="2"/>
    <x v="1"/>
    <x v="3"/>
    <x v="8"/>
    <s v="헤어샵"/>
    <n v="15000"/>
    <n v="-15000"/>
    <x v="95"/>
    <m/>
  </r>
  <r>
    <x v="1657"/>
    <x v="618"/>
    <x v="2"/>
    <x v="2"/>
    <n v="2"/>
    <x v="1"/>
    <x v="3"/>
    <x v="6"/>
    <s v="마트"/>
    <n v="4900"/>
    <n v="-4900"/>
    <x v="501"/>
    <s v="물티슈"/>
  </r>
  <r>
    <x v="1658"/>
    <x v="618"/>
    <x v="2"/>
    <x v="2"/>
    <n v="2"/>
    <x v="1"/>
    <x v="3"/>
    <x v="6"/>
    <s v="마트"/>
    <n v="29430"/>
    <n v="-29430"/>
    <x v="382"/>
    <m/>
  </r>
  <r>
    <x v="1659"/>
    <x v="619"/>
    <x v="2"/>
    <x v="2"/>
    <n v="3"/>
    <x v="1"/>
    <x v="3"/>
    <x v="3"/>
    <s v="외식"/>
    <n v="5000"/>
    <n v="-5000"/>
    <x v="83"/>
    <m/>
  </r>
  <r>
    <x v="1660"/>
    <x v="620"/>
    <x v="2"/>
    <x v="2"/>
    <n v="4"/>
    <x v="1"/>
    <x v="1"/>
    <x v="4"/>
    <s v="인터넷쇼핑"/>
    <n v="45500"/>
    <n v="-45500"/>
    <x v="167"/>
    <s v="볼링화"/>
  </r>
  <r>
    <x v="1661"/>
    <x v="620"/>
    <x v="2"/>
    <x v="2"/>
    <n v="4"/>
    <x v="1"/>
    <x v="1"/>
    <x v="5"/>
    <s v="커피_음료"/>
    <n v="5500"/>
    <n v="-5500"/>
    <x v="211"/>
    <s v="신흥역"/>
  </r>
  <r>
    <x v="1662"/>
    <x v="620"/>
    <x v="2"/>
    <x v="2"/>
    <n v="4"/>
    <x v="1"/>
    <x v="1"/>
    <x v="7"/>
    <s v="대중교통"/>
    <n v="31960"/>
    <n v="-31960"/>
    <x v="33"/>
    <m/>
  </r>
  <r>
    <x v="1663"/>
    <x v="620"/>
    <x v="2"/>
    <x v="2"/>
    <n v="4"/>
    <x v="1"/>
    <x v="1"/>
    <x v="6"/>
    <s v="편의점"/>
    <n v="1900"/>
    <n v="-1900"/>
    <x v="324"/>
    <s v="소주"/>
  </r>
  <r>
    <x v="1664"/>
    <x v="621"/>
    <x v="2"/>
    <x v="2"/>
    <n v="6"/>
    <x v="1"/>
    <x v="3"/>
    <x v="6"/>
    <s v="마트"/>
    <n v="29160"/>
    <n v="-29160"/>
    <x v="501"/>
    <m/>
  </r>
  <r>
    <x v="1665"/>
    <x v="622"/>
    <x v="2"/>
    <x v="2"/>
    <n v="7"/>
    <x v="1"/>
    <x v="1"/>
    <x v="12"/>
    <s v="취미"/>
    <n v="30000"/>
    <n v="-30000"/>
    <x v="502"/>
    <s v="슈페어 회비"/>
  </r>
  <r>
    <x v="1666"/>
    <x v="622"/>
    <x v="2"/>
    <x v="2"/>
    <n v="7"/>
    <x v="1"/>
    <x v="1"/>
    <x v="13"/>
    <s v="주점"/>
    <n v="12000"/>
    <n v="-12000"/>
    <x v="503"/>
    <s v="블씨 개총"/>
  </r>
  <r>
    <x v="1667"/>
    <x v="623"/>
    <x v="2"/>
    <x v="2"/>
    <n v="9"/>
    <x v="1"/>
    <x v="4"/>
    <x v="18"/>
    <s v="가스비"/>
    <n v="12740"/>
    <n v="-12740"/>
    <x v="404"/>
    <m/>
  </r>
  <r>
    <x v="1668"/>
    <x v="623"/>
    <x v="2"/>
    <x v="2"/>
    <n v="9"/>
    <x v="1"/>
    <x v="1"/>
    <x v="6"/>
    <s v="편의점"/>
    <n v="15470"/>
    <n v="-15470"/>
    <x v="10"/>
    <m/>
  </r>
  <r>
    <x v="1669"/>
    <x v="624"/>
    <x v="2"/>
    <x v="2"/>
    <n v="10"/>
    <x v="1"/>
    <x v="3"/>
    <x v="6"/>
    <s v="편의점"/>
    <n v="3900"/>
    <n v="-3900"/>
    <x v="206"/>
    <s v="점심"/>
  </r>
  <r>
    <x v="1670"/>
    <x v="624"/>
    <x v="2"/>
    <x v="2"/>
    <n v="10"/>
    <x v="1"/>
    <x v="3"/>
    <x v="3"/>
    <s v="외식"/>
    <n v="6000"/>
    <n v="-6000"/>
    <x v="193"/>
    <m/>
  </r>
  <r>
    <x v="1671"/>
    <x v="625"/>
    <x v="2"/>
    <x v="2"/>
    <n v="11"/>
    <x v="1"/>
    <x v="1"/>
    <x v="6"/>
    <s v="마트"/>
    <n v="3000"/>
    <n v="-3000"/>
    <x v="98"/>
    <s v="배터리, 아이깨끗해 리필"/>
  </r>
  <r>
    <x v="1672"/>
    <x v="625"/>
    <x v="2"/>
    <x v="2"/>
    <n v="11"/>
    <x v="1"/>
    <x v="1"/>
    <x v="10"/>
    <s v="선물"/>
    <n v="26000"/>
    <n v="-26000"/>
    <x v="17"/>
    <s v="베라"/>
  </r>
  <r>
    <x v="1673"/>
    <x v="625"/>
    <x v="2"/>
    <x v="2"/>
    <n v="11"/>
    <x v="1"/>
    <x v="1"/>
    <x v="10"/>
    <s v="선물"/>
    <n v="150000"/>
    <n v="-150000"/>
    <x v="94"/>
    <s v="용돈"/>
  </r>
  <r>
    <x v="1674"/>
    <x v="626"/>
    <x v="2"/>
    <x v="2"/>
    <n v="12"/>
    <x v="1"/>
    <x v="1"/>
    <x v="5"/>
    <s v="아이스크림_빙수"/>
    <n v="6700"/>
    <n v="-6700"/>
    <x v="334"/>
    <m/>
  </r>
  <r>
    <x v="1675"/>
    <x v="627"/>
    <x v="2"/>
    <x v="2"/>
    <n v="15"/>
    <x v="1"/>
    <x v="1"/>
    <x v="3"/>
    <s v="외식"/>
    <n v="9000"/>
    <n v="-9000"/>
    <x v="504"/>
    <s v="인천공항 점심"/>
  </r>
  <r>
    <x v="1676"/>
    <x v="627"/>
    <x v="2"/>
    <x v="2"/>
    <n v="15"/>
    <x v="1"/>
    <x v="1"/>
    <x v="7"/>
    <s v="시외버스"/>
    <n v="8400"/>
    <n v="-8400"/>
    <x v="150"/>
    <s v="인천공항-안산 시외버스"/>
  </r>
  <r>
    <x v="1677"/>
    <x v="628"/>
    <x v="2"/>
    <x v="2"/>
    <n v="16"/>
    <x v="1"/>
    <x v="0"/>
    <x v="0"/>
    <s v="이체"/>
    <n v="-200"/>
    <n v="200"/>
    <x v="58"/>
    <s v="버거킹 차액"/>
  </r>
  <r>
    <x v="1678"/>
    <x v="629"/>
    <x v="2"/>
    <x v="2"/>
    <n v="17"/>
    <x v="1"/>
    <x v="1"/>
    <x v="5"/>
    <s v="커피_음료"/>
    <n v="8100"/>
    <n v="-8100"/>
    <x v="202"/>
    <s v="동탄점"/>
  </r>
  <r>
    <x v="1679"/>
    <x v="629"/>
    <x v="2"/>
    <x v="2"/>
    <n v="17"/>
    <x v="1"/>
    <x v="3"/>
    <x v="6"/>
    <s v="편의점"/>
    <n v="5950"/>
    <n v="-5950"/>
    <x v="10"/>
    <s v="우유"/>
  </r>
  <r>
    <x v="1680"/>
    <x v="630"/>
    <x v="2"/>
    <x v="2"/>
    <n v="18"/>
    <x v="1"/>
    <x v="1"/>
    <x v="6"/>
    <s v="편의점"/>
    <n v="2700"/>
    <n v="-2700"/>
    <x v="206"/>
    <s v="아침 커피"/>
  </r>
  <r>
    <x v="1681"/>
    <x v="630"/>
    <x v="2"/>
    <x v="2"/>
    <n v="18"/>
    <x v="1"/>
    <x v="3"/>
    <x v="3"/>
    <s v="외식"/>
    <n v="8900"/>
    <n v="-8900"/>
    <x v="405"/>
    <m/>
  </r>
  <r>
    <x v="1682"/>
    <x v="631"/>
    <x v="2"/>
    <x v="2"/>
    <n v="19"/>
    <x v="1"/>
    <x v="3"/>
    <x v="6"/>
    <s v="편의점"/>
    <n v="2800"/>
    <n v="-2800"/>
    <x v="10"/>
    <s v="계란"/>
  </r>
  <r>
    <x v="1683"/>
    <x v="632"/>
    <x v="2"/>
    <x v="2"/>
    <n v="20"/>
    <x v="1"/>
    <x v="1"/>
    <x v="6"/>
    <s v="문구류"/>
    <n v="5000"/>
    <n v="-5000"/>
    <x v="505"/>
    <s v="편지봉투, 테이프 등"/>
  </r>
  <r>
    <x v="1684"/>
    <x v="633"/>
    <x v="2"/>
    <x v="2"/>
    <n v="21"/>
    <x v="1"/>
    <x v="3"/>
    <x v="6"/>
    <s v="마트"/>
    <n v="35470"/>
    <n v="-35470"/>
    <x v="501"/>
    <m/>
  </r>
  <r>
    <x v="1685"/>
    <x v="633"/>
    <x v="2"/>
    <x v="2"/>
    <n v="21"/>
    <x v="1"/>
    <x v="2"/>
    <x v="2"/>
    <s v="용돈"/>
    <n v="-100000"/>
    <n v="100000"/>
    <x v="58"/>
    <m/>
  </r>
  <r>
    <x v="1686"/>
    <x v="634"/>
    <x v="2"/>
    <x v="2"/>
    <n v="24"/>
    <x v="1"/>
    <x v="3"/>
    <x v="6"/>
    <s v="편의점"/>
    <n v="3600"/>
    <n v="-3600"/>
    <x v="206"/>
    <s v="점심"/>
  </r>
  <r>
    <x v="1687"/>
    <x v="634"/>
    <x v="2"/>
    <x v="2"/>
    <n v="24"/>
    <x v="1"/>
    <x v="1"/>
    <x v="12"/>
    <s v="취미"/>
    <n v="5000"/>
    <n v="-5000"/>
    <x v="506"/>
    <m/>
  </r>
  <r>
    <x v="1688"/>
    <x v="634"/>
    <x v="2"/>
    <x v="2"/>
    <n v="24"/>
    <x v="1"/>
    <x v="4"/>
    <x v="18"/>
    <s v="전기세"/>
    <n v="24840"/>
    <n v="-24840"/>
    <x v="414"/>
    <m/>
  </r>
  <r>
    <x v="1689"/>
    <x v="635"/>
    <x v="2"/>
    <x v="2"/>
    <n v="25"/>
    <x v="1"/>
    <x v="1"/>
    <x v="6"/>
    <s v="마트"/>
    <n v="6500"/>
    <n v="-6500"/>
    <x v="98"/>
    <s v="고무장갑, 쓰레기통 등"/>
  </r>
  <r>
    <x v="1690"/>
    <x v="636"/>
    <x v="2"/>
    <x v="2"/>
    <n v="28"/>
    <x v="1"/>
    <x v="1"/>
    <x v="7"/>
    <s v="전동킥보드"/>
    <n v="4500"/>
    <n v="-4500"/>
    <x v="507"/>
    <s v="김홍도미술관 왕복"/>
  </r>
  <r>
    <x v="1691"/>
    <x v="636"/>
    <x v="2"/>
    <x v="2"/>
    <n v="28"/>
    <x v="1"/>
    <x v="3"/>
    <x v="8"/>
    <s v="헤어샵"/>
    <n v="15000"/>
    <n v="-15000"/>
    <x v="95"/>
    <m/>
  </r>
  <r>
    <x v="1692"/>
    <x v="637"/>
    <x v="2"/>
    <x v="2"/>
    <n v="30"/>
    <x v="1"/>
    <x v="4"/>
    <x v="4"/>
    <s v="서비스구독"/>
    <n v="2618"/>
    <n v="-2618"/>
    <x v="84"/>
    <m/>
  </r>
  <r>
    <x v="1693"/>
    <x v="637"/>
    <x v="2"/>
    <x v="2"/>
    <n v="30"/>
    <x v="1"/>
    <x v="0"/>
    <x v="0"/>
    <s v="이체"/>
    <n v="-1"/>
    <n v="1"/>
    <x v="321"/>
    <m/>
  </r>
  <r>
    <x v="1694"/>
    <x v="638"/>
    <x v="2"/>
    <x v="3"/>
    <n v="1"/>
    <x v="1"/>
    <x v="5"/>
    <x v="9"/>
    <s v="용돈"/>
    <n v="-600000"/>
    <n v="600000"/>
    <x v="58"/>
    <s v="10월 생활비"/>
  </r>
  <r>
    <x v="1695"/>
    <x v="638"/>
    <x v="2"/>
    <x v="3"/>
    <n v="1"/>
    <x v="1"/>
    <x v="3"/>
    <x v="3"/>
    <s v="외식"/>
    <n v="10500"/>
    <n v="-10500"/>
    <x v="307"/>
    <m/>
  </r>
  <r>
    <x v="1696"/>
    <x v="638"/>
    <x v="2"/>
    <x v="3"/>
    <n v="1"/>
    <x v="1"/>
    <x v="3"/>
    <x v="6"/>
    <s v="마트"/>
    <n v="35920"/>
    <n v="-35920"/>
    <x v="501"/>
    <m/>
  </r>
  <r>
    <x v="1697"/>
    <x v="639"/>
    <x v="2"/>
    <x v="3"/>
    <n v="2"/>
    <x v="1"/>
    <x v="1"/>
    <x v="10"/>
    <s v="선물"/>
    <n v="45000"/>
    <n v="-45000"/>
    <x v="508"/>
    <m/>
  </r>
  <r>
    <x v="1698"/>
    <x v="640"/>
    <x v="2"/>
    <x v="3"/>
    <n v="3"/>
    <x v="1"/>
    <x v="4"/>
    <x v="4"/>
    <s v="서비스구독"/>
    <n v="24750"/>
    <n v="-24750"/>
    <x v="5"/>
    <s v="24년 상반기 14850+1년구독 9900"/>
  </r>
  <r>
    <x v="1699"/>
    <x v="641"/>
    <x v="2"/>
    <x v="3"/>
    <n v="5"/>
    <x v="1"/>
    <x v="4"/>
    <x v="4"/>
    <s v="서비스구독"/>
    <n v="68"/>
    <n v="-68"/>
    <x v="485"/>
    <m/>
  </r>
  <r>
    <x v="1700"/>
    <x v="641"/>
    <x v="2"/>
    <x v="3"/>
    <n v="5"/>
    <x v="1"/>
    <x v="1"/>
    <x v="10"/>
    <s v="선물"/>
    <n v="25500"/>
    <n v="-25500"/>
    <x v="17"/>
    <s v="호준 생일"/>
  </r>
  <r>
    <x v="1701"/>
    <x v="641"/>
    <x v="2"/>
    <x v="3"/>
    <n v="5"/>
    <x v="1"/>
    <x v="1"/>
    <x v="10"/>
    <s v="선물"/>
    <n v="20000"/>
    <n v="-20000"/>
    <x v="17"/>
    <s v="동근 생일"/>
  </r>
  <r>
    <x v="1702"/>
    <x v="641"/>
    <x v="2"/>
    <x v="3"/>
    <n v="5"/>
    <x v="1"/>
    <x v="1"/>
    <x v="12"/>
    <s v="취미"/>
    <n v="5000"/>
    <n v="-5000"/>
    <x v="506"/>
    <s v="10/8 볼링비"/>
  </r>
  <r>
    <x v="1703"/>
    <x v="642"/>
    <x v="2"/>
    <x v="3"/>
    <n v="7"/>
    <x v="1"/>
    <x v="1"/>
    <x v="7"/>
    <s v="대중교통"/>
    <n v="34160"/>
    <n v="-34160"/>
    <x v="33"/>
    <m/>
  </r>
  <r>
    <x v="1704"/>
    <x v="642"/>
    <x v="2"/>
    <x v="3"/>
    <n v="7"/>
    <x v="1"/>
    <x v="3"/>
    <x v="3"/>
    <s v="외식"/>
    <n v="9333"/>
    <n v="-9333"/>
    <x v="252"/>
    <m/>
  </r>
  <r>
    <x v="1705"/>
    <x v="643"/>
    <x v="2"/>
    <x v="3"/>
    <n v="8"/>
    <x v="1"/>
    <x v="2"/>
    <x v="2"/>
    <s v="기타수입"/>
    <n v="-10000"/>
    <n v="10000"/>
    <x v="15"/>
    <m/>
  </r>
  <r>
    <x v="1706"/>
    <x v="643"/>
    <x v="2"/>
    <x v="3"/>
    <n v="8"/>
    <x v="1"/>
    <x v="3"/>
    <x v="6"/>
    <s v="편의점"/>
    <n v="5100"/>
    <n v="-5100"/>
    <x v="206"/>
    <m/>
  </r>
  <r>
    <x v="1707"/>
    <x v="643"/>
    <x v="2"/>
    <x v="3"/>
    <n v="8"/>
    <x v="1"/>
    <x v="1"/>
    <x v="12"/>
    <s v="기타"/>
    <n v="1010"/>
    <n v="-1010"/>
    <x v="509"/>
    <s v="항공우편"/>
  </r>
  <r>
    <x v="1708"/>
    <x v="643"/>
    <x v="2"/>
    <x v="3"/>
    <n v="8"/>
    <x v="1"/>
    <x v="3"/>
    <x v="3"/>
    <s v="외식"/>
    <n v="7500"/>
    <n v="-7500"/>
    <x v="223"/>
    <m/>
  </r>
  <r>
    <x v="1709"/>
    <x v="644"/>
    <x v="2"/>
    <x v="3"/>
    <n v="10"/>
    <x v="1"/>
    <x v="3"/>
    <x v="3"/>
    <s v="외식"/>
    <n v="13000"/>
    <n v="-13000"/>
    <x v="221"/>
    <m/>
  </r>
  <r>
    <x v="1710"/>
    <x v="644"/>
    <x v="2"/>
    <x v="3"/>
    <n v="10"/>
    <x v="1"/>
    <x v="1"/>
    <x v="6"/>
    <s v="편의점"/>
    <n v="11950"/>
    <n v="-11950"/>
    <x v="10"/>
    <s v="우유 짜파게티"/>
  </r>
  <r>
    <x v="1711"/>
    <x v="645"/>
    <x v="2"/>
    <x v="3"/>
    <n v="11"/>
    <x v="1"/>
    <x v="1"/>
    <x v="4"/>
    <s v="인터넷쇼핑"/>
    <n v="15700"/>
    <n v="-15700"/>
    <x v="427"/>
    <s v="충전기"/>
  </r>
  <r>
    <x v="1712"/>
    <x v="645"/>
    <x v="2"/>
    <x v="3"/>
    <n v="11"/>
    <x v="1"/>
    <x v="3"/>
    <x v="3"/>
    <s v="외식"/>
    <n v="6600"/>
    <n v="-6600"/>
    <x v="83"/>
    <m/>
  </r>
  <r>
    <x v="1713"/>
    <x v="646"/>
    <x v="2"/>
    <x v="3"/>
    <n v="15"/>
    <x v="1"/>
    <x v="3"/>
    <x v="6"/>
    <s v="편의점"/>
    <n v="5600"/>
    <n v="-5600"/>
    <x v="206"/>
    <m/>
  </r>
  <r>
    <x v="1714"/>
    <x v="646"/>
    <x v="2"/>
    <x v="3"/>
    <n v="15"/>
    <x v="1"/>
    <x v="3"/>
    <x v="3"/>
    <s v="외식"/>
    <n v="7625"/>
    <n v="-7625"/>
    <x v="131"/>
    <m/>
  </r>
  <r>
    <x v="1715"/>
    <x v="646"/>
    <x v="2"/>
    <x v="3"/>
    <n v="15"/>
    <x v="1"/>
    <x v="3"/>
    <x v="3"/>
    <s v="외식"/>
    <n v="5000"/>
    <n v="-5000"/>
    <x v="193"/>
    <m/>
  </r>
  <r>
    <x v="1716"/>
    <x v="647"/>
    <x v="2"/>
    <x v="3"/>
    <n v="16"/>
    <x v="1"/>
    <x v="1"/>
    <x v="6"/>
    <s v="마트"/>
    <n v="17600"/>
    <n v="-17600"/>
    <x v="508"/>
    <s v="카레, 홈런볼"/>
  </r>
  <r>
    <x v="1717"/>
    <x v="647"/>
    <x v="2"/>
    <x v="3"/>
    <n v="16"/>
    <x v="1"/>
    <x v="3"/>
    <x v="3"/>
    <s v="외식"/>
    <n v="8000"/>
    <n v="-8000"/>
    <x v="207"/>
    <m/>
  </r>
  <r>
    <x v="1718"/>
    <x v="647"/>
    <x v="2"/>
    <x v="3"/>
    <n v="16"/>
    <x v="1"/>
    <x v="4"/>
    <x v="18"/>
    <s v="가스비"/>
    <n v="12840"/>
    <n v="-12840"/>
    <x v="404"/>
    <m/>
  </r>
  <r>
    <x v="1719"/>
    <x v="648"/>
    <x v="2"/>
    <x v="3"/>
    <n v="17"/>
    <x v="1"/>
    <x v="3"/>
    <x v="3"/>
    <s v="외식"/>
    <n v="6000"/>
    <n v="-6000"/>
    <x v="193"/>
    <m/>
  </r>
  <r>
    <x v="1720"/>
    <x v="649"/>
    <x v="2"/>
    <x v="3"/>
    <n v="18"/>
    <x v="1"/>
    <x v="3"/>
    <x v="3"/>
    <s v="외식"/>
    <n v="5000"/>
    <n v="-5000"/>
    <x v="193"/>
    <m/>
  </r>
  <r>
    <x v="1721"/>
    <x v="649"/>
    <x v="2"/>
    <x v="3"/>
    <n v="18"/>
    <x v="1"/>
    <x v="3"/>
    <x v="3"/>
    <s v="외식"/>
    <n v="13000"/>
    <n v="-13000"/>
    <x v="221"/>
    <m/>
  </r>
  <r>
    <x v="1722"/>
    <x v="649"/>
    <x v="2"/>
    <x v="3"/>
    <n v="18"/>
    <x v="1"/>
    <x v="1"/>
    <x v="13"/>
    <s v="주점"/>
    <n v="16500"/>
    <n v="-16500"/>
    <x v="510"/>
    <m/>
  </r>
  <r>
    <x v="1723"/>
    <x v="649"/>
    <x v="2"/>
    <x v="3"/>
    <n v="18"/>
    <x v="1"/>
    <x v="1"/>
    <x v="6"/>
    <s v="편의점"/>
    <n v="8200"/>
    <n v="-8200"/>
    <x v="10"/>
    <s v="우유 핫바"/>
  </r>
  <r>
    <x v="1724"/>
    <x v="650"/>
    <x v="2"/>
    <x v="3"/>
    <n v="19"/>
    <x v="1"/>
    <x v="3"/>
    <x v="3"/>
    <s v="외식"/>
    <n v="9000"/>
    <n v="-9000"/>
    <x v="207"/>
    <m/>
  </r>
  <r>
    <x v="1725"/>
    <x v="651"/>
    <x v="2"/>
    <x v="3"/>
    <n v="20"/>
    <x v="1"/>
    <x v="3"/>
    <x v="3"/>
    <s v="외식"/>
    <n v="8000"/>
    <n v="-8000"/>
    <x v="360"/>
    <m/>
  </r>
  <r>
    <x v="1726"/>
    <x v="652"/>
    <x v="2"/>
    <x v="3"/>
    <n v="21"/>
    <x v="1"/>
    <x v="4"/>
    <x v="18"/>
    <s v="휴대폰"/>
    <n v="370"/>
    <n v="-370"/>
    <x v="511"/>
    <s v="통신비 차액"/>
  </r>
  <r>
    <x v="1727"/>
    <x v="652"/>
    <x v="2"/>
    <x v="3"/>
    <n v="21"/>
    <x v="1"/>
    <x v="3"/>
    <x v="3"/>
    <s v="외식"/>
    <n v="9000"/>
    <n v="-9000"/>
    <x v="346"/>
    <m/>
  </r>
  <r>
    <x v="1728"/>
    <x v="652"/>
    <x v="2"/>
    <x v="3"/>
    <n v="21"/>
    <x v="1"/>
    <x v="1"/>
    <x v="10"/>
    <s v="선물"/>
    <n v="13500"/>
    <n v="-13500"/>
    <x v="17"/>
    <s v="조선앵 생일"/>
  </r>
  <r>
    <x v="1729"/>
    <x v="652"/>
    <x v="2"/>
    <x v="3"/>
    <n v="21"/>
    <x v="1"/>
    <x v="1"/>
    <x v="10"/>
    <s v="선물"/>
    <n v="6500"/>
    <n v="-6500"/>
    <x v="17"/>
    <s v="현우 생일"/>
  </r>
  <r>
    <x v="1730"/>
    <x v="653"/>
    <x v="2"/>
    <x v="3"/>
    <n v="22"/>
    <x v="1"/>
    <x v="3"/>
    <x v="3"/>
    <s v="외식"/>
    <n v="6000"/>
    <n v="-6000"/>
    <x v="193"/>
    <m/>
  </r>
  <r>
    <x v="1731"/>
    <x v="654"/>
    <x v="2"/>
    <x v="3"/>
    <n v="23"/>
    <x v="1"/>
    <x v="1"/>
    <x v="12"/>
    <s v="기타"/>
    <n v="24000"/>
    <n v="-24000"/>
    <x v="509"/>
    <s v="우편 특송"/>
  </r>
  <r>
    <x v="1732"/>
    <x v="654"/>
    <x v="2"/>
    <x v="3"/>
    <n v="23"/>
    <x v="1"/>
    <x v="3"/>
    <x v="3"/>
    <s v="외식"/>
    <n v="7500"/>
    <n v="-7500"/>
    <x v="83"/>
    <m/>
  </r>
  <r>
    <x v="1733"/>
    <x v="654"/>
    <x v="2"/>
    <x v="3"/>
    <n v="23"/>
    <x v="1"/>
    <x v="4"/>
    <x v="18"/>
    <s v="전기세"/>
    <n v="25140"/>
    <n v="-25140"/>
    <x v="414"/>
    <m/>
  </r>
  <r>
    <x v="1734"/>
    <x v="655"/>
    <x v="2"/>
    <x v="3"/>
    <n v="25"/>
    <x v="1"/>
    <x v="3"/>
    <x v="3"/>
    <s v="외식"/>
    <n v="5000"/>
    <n v="-5000"/>
    <x v="193"/>
    <m/>
  </r>
  <r>
    <x v="1735"/>
    <x v="655"/>
    <x v="2"/>
    <x v="3"/>
    <n v="25"/>
    <x v="6"/>
    <x v="1"/>
    <x v="17"/>
    <s v="병원"/>
    <n v="570000"/>
    <n v="-570000"/>
    <x v="512"/>
    <s v="가다실"/>
  </r>
  <r>
    <x v="1736"/>
    <x v="655"/>
    <x v="2"/>
    <x v="3"/>
    <n v="25"/>
    <x v="1"/>
    <x v="3"/>
    <x v="3"/>
    <s v="외식"/>
    <n v="6300"/>
    <n v="-6300"/>
    <x v="83"/>
    <m/>
  </r>
  <r>
    <x v="1737"/>
    <x v="655"/>
    <x v="2"/>
    <x v="3"/>
    <n v="25"/>
    <x v="1"/>
    <x v="3"/>
    <x v="6"/>
    <s v="편의점"/>
    <n v="5500"/>
    <n v="-5500"/>
    <x v="10"/>
    <m/>
  </r>
  <r>
    <x v="1738"/>
    <x v="656"/>
    <x v="2"/>
    <x v="3"/>
    <n v="26"/>
    <x v="1"/>
    <x v="3"/>
    <x v="8"/>
    <s v="헤어샵"/>
    <n v="15000"/>
    <n v="-15000"/>
    <x v="95"/>
    <m/>
  </r>
  <r>
    <x v="1739"/>
    <x v="656"/>
    <x v="2"/>
    <x v="3"/>
    <n v="26"/>
    <x v="1"/>
    <x v="1"/>
    <x v="6"/>
    <s v="마트"/>
    <n v="10700"/>
    <n v="-10700"/>
    <x v="263"/>
    <s v="립밤"/>
  </r>
  <r>
    <x v="1740"/>
    <x v="656"/>
    <x v="2"/>
    <x v="3"/>
    <n v="26"/>
    <x v="1"/>
    <x v="0"/>
    <x v="0"/>
    <s v="이체"/>
    <n v="-1600"/>
    <n v="1600"/>
    <x v="132"/>
    <s v="심부름 차액"/>
  </r>
  <r>
    <x v="1741"/>
    <x v="656"/>
    <x v="2"/>
    <x v="3"/>
    <n v="26"/>
    <x v="1"/>
    <x v="1"/>
    <x v="4"/>
    <s v="인터넷쇼핑"/>
    <n v="44800"/>
    <n v="-44800"/>
    <x v="427"/>
    <s v="충전기"/>
  </r>
  <r>
    <x v="1742"/>
    <x v="657"/>
    <x v="2"/>
    <x v="3"/>
    <n v="27"/>
    <x v="1"/>
    <x v="1"/>
    <x v="10"/>
    <s v="선물"/>
    <n v="26400"/>
    <n v="-26400"/>
    <x v="17"/>
    <s v="박수진 생일"/>
  </r>
  <r>
    <x v="1743"/>
    <x v="657"/>
    <x v="2"/>
    <x v="3"/>
    <n v="27"/>
    <x v="1"/>
    <x v="1"/>
    <x v="3"/>
    <s v="외식"/>
    <n v="17160"/>
    <n v="-17160"/>
    <x v="513"/>
    <s v="이지민 이체"/>
  </r>
  <r>
    <x v="1744"/>
    <x v="658"/>
    <x v="2"/>
    <x v="3"/>
    <n v="29"/>
    <x v="1"/>
    <x v="3"/>
    <x v="6"/>
    <s v="편의점"/>
    <n v="5300"/>
    <n v="-5300"/>
    <x v="206"/>
    <m/>
  </r>
  <r>
    <x v="1745"/>
    <x v="658"/>
    <x v="2"/>
    <x v="3"/>
    <n v="29"/>
    <x v="1"/>
    <x v="3"/>
    <x v="3"/>
    <s v="외식"/>
    <n v="6000"/>
    <n v="-6000"/>
    <x v="193"/>
    <m/>
  </r>
  <r>
    <x v="1746"/>
    <x v="659"/>
    <x v="2"/>
    <x v="3"/>
    <n v="30"/>
    <x v="1"/>
    <x v="4"/>
    <x v="4"/>
    <s v="서비스구독"/>
    <n v="2701"/>
    <n v="-2701"/>
    <x v="84"/>
    <m/>
  </r>
  <r>
    <x v="1747"/>
    <x v="659"/>
    <x v="2"/>
    <x v="3"/>
    <n v="30"/>
    <x v="1"/>
    <x v="3"/>
    <x v="3"/>
    <s v="외식"/>
    <n v="8000"/>
    <n v="-8000"/>
    <x v="207"/>
    <m/>
  </r>
  <r>
    <x v="1748"/>
    <x v="660"/>
    <x v="2"/>
    <x v="3"/>
    <n v="31"/>
    <x v="1"/>
    <x v="1"/>
    <x v="4"/>
    <s v="인터넷쇼핑"/>
    <n v="21900"/>
    <n v="-21900"/>
    <x v="167"/>
    <s v="거울, 권은희 이체"/>
  </r>
  <r>
    <x v="1749"/>
    <x v="660"/>
    <x v="2"/>
    <x v="3"/>
    <n v="31"/>
    <x v="1"/>
    <x v="1"/>
    <x v="4"/>
    <s v="인터넷쇼핑"/>
    <n v="58600"/>
    <n v="-58600"/>
    <x v="427"/>
    <s v="충전기(집용)"/>
  </r>
  <r>
    <x v="1750"/>
    <x v="660"/>
    <x v="2"/>
    <x v="3"/>
    <n v="31"/>
    <x v="1"/>
    <x v="3"/>
    <x v="3"/>
    <s v="외식"/>
    <n v="5700"/>
    <n v="-5700"/>
    <x v="83"/>
    <m/>
  </r>
  <r>
    <x v="1751"/>
    <x v="660"/>
    <x v="2"/>
    <x v="3"/>
    <n v="31"/>
    <x v="1"/>
    <x v="1"/>
    <x v="6"/>
    <s v="편의점"/>
    <n v="14070"/>
    <n v="-14070"/>
    <x v="10"/>
    <s v="우유, 맥주"/>
  </r>
  <r>
    <x v="1752"/>
    <x v="661"/>
    <x v="2"/>
    <x v="4"/>
    <n v="1"/>
    <x v="1"/>
    <x v="5"/>
    <x v="9"/>
    <s v="용돈"/>
    <n v="-600000"/>
    <n v="600000"/>
    <x v="58"/>
    <s v="11월 생활비"/>
  </r>
  <r>
    <x v="1753"/>
    <x v="661"/>
    <x v="2"/>
    <x v="4"/>
    <n v="1"/>
    <x v="1"/>
    <x v="3"/>
    <x v="3"/>
    <s v="외식"/>
    <n v="7500"/>
    <n v="-7500"/>
    <x v="224"/>
    <s v="장진영 이체"/>
  </r>
  <r>
    <x v="1754"/>
    <x v="662"/>
    <x v="2"/>
    <x v="4"/>
    <n v="3"/>
    <x v="1"/>
    <x v="3"/>
    <x v="3"/>
    <s v="외식"/>
    <n v="11900"/>
    <n v="-11900"/>
    <x v="405"/>
    <m/>
  </r>
  <r>
    <x v="1755"/>
    <x v="662"/>
    <x v="2"/>
    <x v="4"/>
    <n v="3"/>
    <x v="1"/>
    <x v="1"/>
    <x v="5"/>
    <s v="아이스크림_빙수"/>
    <n v="7900"/>
    <n v="-7900"/>
    <x v="514"/>
    <m/>
  </r>
  <r>
    <x v="1756"/>
    <x v="662"/>
    <x v="2"/>
    <x v="4"/>
    <n v="3"/>
    <x v="1"/>
    <x v="3"/>
    <x v="6"/>
    <s v="편의점"/>
    <n v="5950"/>
    <n v="-5950"/>
    <x v="10"/>
    <s v="우유"/>
  </r>
  <r>
    <x v="1757"/>
    <x v="663"/>
    <x v="2"/>
    <x v="4"/>
    <n v="4"/>
    <x v="1"/>
    <x v="3"/>
    <x v="3"/>
    <s v="외식"/>
    <n v="9500"/>
    <n v="-9500"/>
    <x v="346"/>
    <m/>
  </r>
  <r>
    <x v="1758"/>
    <x v="664"/>
    <x v="2"/>
    <x v="4"/>
    <n v="5"/>
    <x v="1"/>
    <x v="4"/>
    <x v="4"/>
    <s v="서비스구독"/>
    <n v="69"/>
    <n v="-69"/>
    <x v="485"/>
    <m/>
  </r>
  <r>
    <x v="1759"/>
    <x v="664"/>
    <x v="2"/>
    <x v="4"/>
    <n v="5"/>
    <x v="1"/>
    <x v="3"/>
    <x v="6"/>
    <s v="편의점"/>
    <n v="5600"/>
    <n v="-5600"/>
    <x v="206"/>
    <m/>
  </r>
  <r>
    <x v="1760"/>
    <x v="664"/>
    <x v="2"/>
    <x v="4"/>
    <n v="5"/>
    <x v="1"/>
    <x v="3"/>
    <x v="3"/>
    <s v="외식"/>
    <n v="6500"/>
    <n v="-6500"/>
    <x v="223"/>
    <m/>
  </r>
  <r>
    <x v="1761"/>
    <x v="664"/>
    <x v="2"/>
    <x v="4"/>
    <n v="5"/>
    <x v="1"/>
    <x v="1"/>
    <x v="7"/>
    <s v="대중교통"/>
    <n v="23520"/>
    <n v="-23520"/>
    <x v="33"/>
    <m/>
  </r>
  <r>
    <x v="1762"/>
    <x v="665"/>
    <x v="2"/>
    <x v="4"/>
    <n v="6"/>
    <x v="1"/>
    <x v="3"/>
    <x v="3"/>
    <s v="외식"/>
    <n v="5000"/>
    <n v="-5000"/>
    <x v="193"/>
    <m/>
  </r>
  <r>
    <x v="1763"/>
    <x v="665"/>
    <x v="2"/>
    <x v="4"/>
    <n v="6"/>
    <x v="1"/>
    <x v="1"/>
    <x v="6"/>
    <s v="편의점"/>
    <n v="2900"/>
    <n v="-2900"/>
    <x v="206"/>
    <s v="건전지"/>
  </r>
  <r>
    <x v="1764"/>
    <x v="665"/>
    <x v="2"/>
    <x v="4"/>
    <n v="6"/>
    <x v="1"/>
    <x v="3"/>
    <x v="3"/>
    <s v="외식"/>
    <n v="6000"/>
    <n v="-6000"/>
    <x v="193"/>
    <m/>
  </r>
  <r>
    <x v="1765"/>
    <x v="666"/>
    <x v="2"/>
    <x v="4"/>
    <n v="7"/>
    <x v="1"/>
    <x v="1"/>
    <x v="5"/>
    <s v="커피_음료"/>
    <n v="1400"/>
    <n v="-1400"/>
    <x v="193"/>
    <s v="숭마 카페"/>
  </r>
  <r>
    <x v="1766"/>
    <x v="666"/>
    <x v="2"/>
    <x v="4"/>
    <n v="7"/>
    <x v="1"/>
    <x v="3"/>
    <x v="3"/>
    <s v="외식"/>
    <n v="5900"/>
    <n v="-5900"/>
    <x v="83"/>
    <m/>
  </r>
  <r>
    <x v="1767"/>
    <x v="667"/>
    <x v="2"/>
    <x v="4"/>
    <n v="8"/>
    <x v="1"/>
    <x v="3"/>
    <x v="3"/>
    <s v="외식"/>
    <n v="5000"/>
    <n v="-5000"/>
    <x v="193"/>
    <m/>
  </r>
  <r>
    <x v="1768"/>
    <x v="667"/>
    <x v="2"/>
    <x v="4"/>
    <n v="8"/>
    <x v="1"/>
    <x v="3"/>
    <x v="3"/>
    <s v="외식"/>
    <n v="6000"/>
    <n v="-6000"/>
    <x v="193"/>
    <m/>
  </r>
  <r>
    <x v="1769"/>
    <x v="668"/>
    <x v="2"/>
    <x v="4"/>
    <n v="9"/>
    <x v="1"/>
    <x v="2"/>
    <x v="2"/>
    <s v="금융수입"/>
    <n v="-227"/>
    <n v="227"/>
    <x v="36"/>
    <m/>
  </r>
  <r>
    <x v="1770"/>
    <x v="668"/>
    <x v="2"/>
    <x v="4"/>
    <n v="9"/>
    <x v="1"/>
    <x v="3"/>
    <x v="3"/>
    <s v="외식"/>
    <n v="6000"/>
    <n v="-6000"/>
    <x v="198"/>
    <m/>
  </r>
  <r>
    <x v="1771"/>
    <x v="668"/>
    <x v="2"/>
    <x v="4"/>
    <n v="9"/>
    <x v="1"/>
    <x v="1"/>
    <x v="12"/>
    <s v="게임"/>
    <n v="7000"/>
    <n v="-7000"/>
    <x v="200"/>
    <s v="음료 4000원 포함"/>
  </r>
  <r>
    <x v="1772"/>
    <x v="668"/>
    <x v="2"/>
    <x v="4"/>
    <n v="9"/>
    <x v="1"/>
    <x v="1"/>
    <x v="5"/>
    <s v="아이스크림_빙수"/>
    <n v="1200"/>
    <n v="-1200"/>
    <x v="515"/>
    <s v="왕곡점"/>
  </r>
  <r>
    <x v="1773"/>
    <x v="668"/>
    <x v="2"/>
    <x v="4"/>
    <n v="9"/>
    <x v="1"/>
    <x v="1"/>
    <x v="6"/>
    <s v="마트"/>
    <n v="10000"/>
    <n v="-10000"/>
    <x v="516"/>
    <s v="과자, 맥주 등"/>
  </r>
  <r>
    <x v="1774"/>
    <x v="668"/>
    <x v="2"/>
    <x v="4"/>
    <n v="9"/>
    <x v="1"/>
    <x v="1"/>
    <x v="10"/>
    <s v="선물"/>
    <n v="15000"/>
    <n v="-15000"/>
    <x v="211"/>
    <s v="집들이 케잌"/>
  </r>
  <r>
    <x v="1775"/>
    <x v="669"/>
    <x v="2"/>
    <x v="4"/>
    <n v="10"/>
    <x v="1"/>
    <x v="4"/>
    <x v="18"/>
    <s v="가스비"/>
    <n v="12850"/>
    <n v="-12850"/>
    <x v="404"/>
    <m/>
  </r>
  <r>
    <x v="1776"/>
    <x v="670"/>
    <x v="2"/>
    <x v="4"/>
    <n v="11"/>
    <x v="1"/>
    <x v="1"/>
    <x v="5"/>
    <s v="커피_음료"/>
    <n v="2600"/>
    <n v="-2600"/>
    <x v="193"/>
    <s v="숭마 카페"/>
  </r>
  <r>
    <x v="1777"/>
    <x v="670"/>
    <x v="2"/>
    <x v="4"/>
    <n v="11"/>
    <x v="1"/>
    <x v="3"/>
    <x v="3"/>
    <s v="외식"/>
    <n v="8000"/>
    <n v="-8000"/>
    <x v="207"/>
    <m/>
  </r>
  <r>
    <x v="1778"/>
    <x v="671"/>
    <x v="2"/>
    <x v="4"/>
    <n v="12"/>
    <x v="1"/>
    <x v="3"/>
    <x v="3"/>
    <s v="외식"/>
    <n v="6000"/>
    <n v="-6000"/>
    <x v="83"/>
    <m/>
  </r>
  <r>
    <x v="1779"/>
    <x v="671"/>
    <x v="2"/>
    <x v="4"/>
    <n v="12"/>
    <x v="1"/>
    <x v="3"/>
    <x v="3"/>
    <s v="외식"/>
    <n v="6000"/>
    <n v="-6000"/>
    <x v="193"/>
    <m/>
  </r>
  <r>
    <x v="1780"/>
    <x v="671"/>
    <x v="2"/>
    <x v="4"/>
    <n v="12"/>
    <x v="1"/>
    <x v="3"/>
    <x v="6"/>
    <s v="편의점"/>
    <n v="8020"/>
    <n v="-8020"/>
    <x v="10"/>
    <s v="우유, 핫바"/>
  </r>
  <r>
    <x v="1781"/>
    <x v="671"/>
    <x v="2"/>
    <x v="4"/>
    <n v="12"/>
    <x v="1"/>
    <x v="3"/>
    <x v="3"/>
    <s v="외식"/>
    <n v="5000"/>
    <n v="-5000"/>
    <x v="193"/>
    <m/>
  </r>
  <r>
    <x v="1782"/>
    <x v="672"/>
    <x v="2"/>
    <x v="4"/>
    <n v="13"/>
    <x v="1"/>
    <x v="3"/>
    <x v="3"/>
    <s v="외식"/>
    <n v="5000"/>
    <n v="-5000"/>
    <x v="83"/>
    <m/>
  </r>
  <r>
    <x v="1783"/>
    <x v="672"/>
    <x v="2"/>
    <x v="4"/>
    <n v="13"/>
    <x v="1"/>
    <x v="3"/>
    <x v="3"/>
    <s v="외식"/>
    <n v="10000"/>
    <n v="-10000"/>
    <x v="359"/>
    <m/>
  </r>
  <r>
    <x v="1784"/>
    <x v="673"/>
    <x v="2"/>
    <x v="4"/>
    <n v="14"/>
    <x v="1"/>
    <x v="3"/>
    <x v="3"/>
    <s v="외식"/>
    <n v="5000"/>
    <n v="-5000"/>
    <x v="193"/>
    <m/>
  </r>
  <r>
    <x v="1785"/>
    <x v="674"/>
    <x v="2"/>
    <x v="4"/>
    <n v="15"/>
    <x v="1"/>
    <x v="1"/>
    <x v="5"/>
    <s v="커피_음료"/>
    <n v="1400"/>
    <n v="-1400"/>
    <x v="300"/>
    <m/>
  </r>
  <r>
    <x v="1786"/>
    <x v="675"/>
    <x v="2"/>
    <x v="4"/>
    <n v="16"/>
    <x v="1"/>
    <x v="1"/>
    <x v="4"/>
    <s v="서비스구독"/>
    <n v="24000"/>
    <n v="-24000"/>
    <x v="517"/>
    <m/>
  </r>
  <r>
    <x v="1787"/>
    <x v="675"/>
    <x v="2"/>
    <x v="4"/>
    <n v="16"/>
    <x v="1"/>
    <x v="3"/>
    <x v="3"/>
    <s v="외식"/>
    <n v="9000"/>
    <n v="-9000"/>
    <x v="346"/>
    <m/>
  </r>
  <r>
    <x v="1788"/>
    <x v="675"/>
    <x v="2"/>
    <x v="4"/>
    <n v="16"/>
    <x v="1"/>
    <x v="1"/>
    <x v="6"/>
    <s v="편의점"/>
    <n v="2500"/>
    <n v="-2500"/>
    <x v="206"/>
    <m/>
  </r>
  <r>
    <x v="1789"/>
    <x v="676"/>
    <x v="2"/>
    <x v="4"/>
    <n v="18"/>
    <x v="1"/>
    <x v="3"/>
    <x v="3"/>
    <s v="외식"/>
    <n v="6000"/>
    <n v="-6000"/>
    <x v="193"/>
    <m/>
  </r>
  <r>
    <x v="1790"/>
    <x v="676"/>
    <x v="2"/>
    <x v="4"/>
    <n v="18"/>
    <x v="1"/>
    <x v="1"/>
    <x v="6"/>
    <s v="편의점"/>
    <n v="8200"/>
    <n v="-8200"/>
    <x v="10"/>
    <s v="우유 핫바"/>
  </r>
  <r>
    <x v="1791"/>
    <x v="677"/>
    <x v="2"/>
    <x v="4"/>
    <n v="19"/>
    <x v="1"/>
    <x v="3"/>
    <x v="6"/>
    <s v="편의점"/>
    <n v="5600"/>
    <n v="-5600"/>
    <x v="206"/>
    <m/>
  </r>
  <r>
    <x v="1792"/>
    <x v="677"/>
    <x v="2"/>
    <x v="4"/>
    <n v="19"/>
    <x v="1"/>
    <x v="3"/>
    <x v="3"/>
    <s v="외식"/>
    <n v="9142"/>
    <n v="-9142"/>
    <x v="232"/>
    <s v="김서연 이체"/>
  </r>
  <r>
    <x v="1793"/>
    <x v="678"/>
    <x v="2"/>
    <x v="4"/>
    <n v="20"/>
    <x v="1"/>
    <x v="3"/>
    <x v="3"/>
    <s v="외식"/>
    <n v="5000"/>
    <n v="-5000"/>
    <x v="193"/>
    <m/>
  </r>
  <r>
    <x v="1794"/>
    <x v="678"/>
    <x v="2"/>
    <x v="4"/>
    <n v="20"/>
    <x v="1"/>
    <x v="1"/>
    <x v="10"/>
    <s v="선물"/>
    <n v="14900"/>
    <n v="-14900"/>
    <x v="17"/>
    <s v="가온이형 생일"/>
  </r>
  <r>
    <x v="1795"/>
    <x v="679"/>
    <x v="2"/>
    <x v="4"/>
    <n v="21"/>
    <x v="1"/>
    <x v="3"/>
    <x v="3"/>
    <s v="외식"/>
    <n v="6000"/>
    <n v="-6000"/>
    <x v="193"/>
    <m/>
  </r>
  <r>
    <x v="1796"/>
    <x v="679"/>
    <x v="2"/>
    <x v="4"/>
    <n v="21"/>
    <x v="1"/>
    <x v="2"/>
    <x v="2"/>
    <s v="기타수입"/>
    <n v="-10000"/>
    <n v="10000"/>
    <x v="15"/>
    <m/>
  </r>
  <r>
    <x v="1797"/>
    <x v="679"/>
    <x v="2"/>
    <x v="4"/>
    <n v="21"/>
    <x v="1"/>
    <x v="2"/>
    <x v="2"/>
    <s v="기타수입"/>
    <n v="-1"/>
    <n v="1"/>
    <x v="124"/>
    <m/>
  </r>
  <r>
    <x v="1798"/>
    <x v="680"/>
    <x v="2"/>
    <x v="4"/>
    <n v="22"/>
    <x v="1"/>
    <x v="4"/>
    <x v="18"/>
    <s v="전기세"/>
    <n v="21350"/>
    <n v="-21350"/>
    <x v="414"/>
    <m/>
  </r>
  <r>
    <x v="1799"/>
    <x v="680"/>
    <x v="2"/>
    <x v="4"/>
    <n v="22"/>
    <x v="1"/>
    <x v="3"/>
    <x v="3"/>
    <s v="외식"/>
    <n v="5000"/>
    <n v="-5000"/>
    <x v="193"/>
    <m/>
  </r>
  <r>
    <x v="1800"/>
    <x v="680"/>
    <x v="2"/>
    <x v="4"/>
    <n v="22"/>
    <x v="1"/>
    <x v="3"/>
    <x v="3"/>
    <s v="외식"/>
    <n v="6000"/>
    <n v="-6000"/>
    <x v="193"/>
    <m/>
  </r>
  <r>
    <x v="1801"/>
    <x v="681"/>
    <x v="2"/>
    <x v="4"/>
    <n v="23"/>
    <x v="1"/>
    <x v="1"/>
    <x v="6"/>
    <s v="편의점"/>
    <n v="2300"/>
    <n v="-2300"/>
    <x v="206"/>
    <s v="몬스터"/>
  </r>
  <r>
    <x v="1802"/>
    <x v="681"/>
    <x v="2"/>
    <x v="4"/>
    <n v="23"/>
    <x v="1"/>
    <x v="3"/>
    <x v="3"/>
    <s v="외식"/>
    <n v="8900"/>
    <n v="-8900"/>
    <x v="254"/>
    <m/>
  </r>
  <r>
    <x v="1803"/>
    <x v="682"/>
    <x v="2"/>
    <x v="4"/>
    <n v="26"/>
    <x v="1"/>
    <x v="3"/>
    <x v="3"/>
    <s v="외식"/>
    <n v="5300"/>
    <n v="-5300"/>
    <x v="83"/>
    <m/>
  </r>
  <r>
    <x v="1804"/>
    <x v="682"/>
    <x v="2"/>
    <x v="4"/>
    <n v="26"/>
    <x v="1"/>
    <x v="3"/>
    <x v="3"/>
    <s v="외식"/>
    <n v="6000"/>
    <n v="-6000"/>
    <x v="193"/>
    <m/>
  </r>
  <r>
    <x v="1805"/>
    <x v="683"/>
    <x v="2"/>
    <x v="4"/>
    <n v="27"/>
    <x v="1"/>
    <x v="3"/>
    <x v="3"/>
    <s v="외식"/>
    <n v="5000"/>
    <n v="-5000"/>
    <x v="193"/>
    <m/>
  </r>
  <r>
    <x v="1806"/>
    <x v="683"/>
    <x v="2"/>
    <x v="4"/>
    <n v="27"/>
    <x v="1"/>
    <x v="1"/>
    <x v="5"/>
    <s v="커피_음료"/>
    <n v="1600"/>
    <n v="-1600"/>
    <x v="106"/>
    <m/>
  </r>
  <r>
    <x v="1807"/>
    <x v="683"/>
    <x v="2"/>
    <x v="4"/>
    <n v="27"/>
    <x v="1"/>
    <x v="3"/>
    <x v="3"/>
    <s v="외식"/>
    <n v="8000"/>
    <n v="-8000"/>
    <x v="207"/>
    <m/>
  </r>
  <r>
    <x v="1808"/>
    <x v="683"/>
    <x v="2"/>
    <x v="4"/>
    <n v="27"/>
    <x v="1"/>
    <x v="1"/>
    <x v="6"/>
    <s v="편의점"/>
    <n v="8020"/>
    <n v="-8020"/>
    <x v="10"/>
    <m/>
  </r>
  <r>
    <x v="1809"/>
    <x v="684"/>
    <x v="2"/>
    <x v="4"/>
    <n v="28"/>
    <x v="1"/>
    <x v="3"/>
    <x v="3"/>
    <s v="외식"/>
    <n v="2800"/>
    <n v="-2800"/>
    <x v="83"/>
    <m/>
  </r>
  <r>
    <x v="1810"/>
    <x v="685"/>
    <x v="2"/>
    <x v="4"/>
    <n v="29"/>
    <x v="1"/>
    <x v="3"/>
    <x v="3"/>
    <s v="외식"/>
    <n v="8500"/>
    <n v="-8500"/>
    <x v="230"/>
    <m/>
  </r>
  <r>
    <x v="1811"/>
    <x v="686"/>
    <x v="2"/>
    <x v="4"/>
    <n v="30"/>
    <x v="1"/>
    <x v="3"/>
    <x v="8"/>
    <s v="헤어샵"/>
    <n v="15000"/>
    <n v="-15000"/>
    <x v="95"/>
    <m/>
  </r>
  <r>
    <x v="1812"/>
    <x v="686"/>
    <x v="2"/>
    <x v="4"/>
    <n v="30"/>
    <x v="1"/>
    <x v="4"/>
    <x v="4"/>
    <s v="서비스구독"/>
    <n v="1620"/>
    <n v="-1620"/>
    <x v="84"/>
    <m/>
  </r>
  <r>
    <x v="1813"/>
    <x v="687"/>
    <x v="2"/>
    <x v="5"/>
    <n v="1"/>
    <x v="1"/>
    <x v="5"/>
    <x v="9"/>
    <s v="용돈"/>
    <n v="-600000"/>
    <n v="600000"/>
    <x v="58"/>
    <m/>
  </r>
  <r>
    <x v="1814"/>
    <x v="687"/>
    <x v="2"/>
    <x v="5"/>
    <n v="1"/>
    <x v="1"/>
    <x v="3"/>
    <x v="3"/>
    <s v="외식"/>
    <n v="7400"/>
    <n v="-7400"/>
    <x v="83"/>
    <m/>
  </r>
  <r>
    <x v="1815"/>
    <x v="688"/>
    <x v="2"/>
    <x v="5"/>
    <n v="2"/>
    <x v="1"/>
    <x v="3"/>
    <x v="3"/>
    <s v="외식"/>
    <n v="6000"/>
    <n v="-6000"/>
    <x v="193"/>
    <m/>
  </r>
  <r>
    <x v="1816"/>
    <x v="689"/>
    <x v="2"/>
    <x v="5"/>
    <n v="3"/>
    <x v="1"/>
    <x v="1"/>
    <x v="4"/>
    <s v="인터넷쇼핑"/>
    <n v="14900"/>
    <n v="-14900"/>
    <x v="427"/>
    <s v="폰케이스"/>
  </r>
  <r>
    <x v="1817"/>
    <x v="689"/>
    <x v="2"/>
    <x v="5"/>
    <n v="3"/>
    <x v="1"/>
    <x v="3"/>
    <x v="6"/>
    <s v="편의점"/>
    <n v="5600"/>
    <n v="-5600"/>
    <x v="206"/>
    <m/>
  </r>
  <r>
    <x v="1818"/>
    <x v="689"/>
    <x v="2"/>
    <x v="5"/>
    <n v="3"/>
    <x v="1"/>
    <x v="3"/>
    <x v="3"/>
    <s v="외식"/>
    <n v="6000"/>
    <n v="-6000"/>
    <x v="193"/>
    <m/>
  </r>
  <r>
    <x v="1819"/>
    <x v="690"/>
    <x v="2"/>
    <x v="5"/>
    <n v="4"/>
    <x v="1"/>
    <x v="3"/>
    <x v="3"/>
    <s v="외식"/>
    <n v="5000"/>
    <n v="-5000"/>
    <x v="193"/>
    <m/>
  </r>
  <r>
    <x v="1820"/>
    <x v="690"/>
    <x v="2"/>
    <x v="5"/>
    <n v="4"/>
    <x v="1"/>
    <x v="3"/>
    <x v="3"/>
    <s v="외식"/>
    <n v="6000"/>
    <n v="-6000"/>
    <x v="193"/>
    <m/>
  </r>
  <r>
    <x v="1821"/>
    <x v="690"/>
    <x v="2"/>
    <x v="5"/>
    <n v="4"/>
    <x v="1"/>
    <x v="1"/>
    <x v="7"/>
    <s v="대중교통"/>
    <n v="10520"/>
    <n v="-10520"/>
    <x v="33"/>
    <m/>
  </r>
  <r>
    <x v="1822"/>
    <x v="690"/>
    <x v="2"/>
    <x v="5"/>
    <n v="4"/>
    <x v="1"/>
    <x v="1"/>
    <x v="6"/>
    <s v="편의점"/>
    <n v="8200"/>
    <n v="-8200"/>
    <x v="10"/>
    <m/>
  </r>
  <r>
    <x v="1823"/>
    <x v="691"/>
    <x v="2"/>
    <x v="5"/>
    <n v="5"/>
    <x v="1"/>
    <x v="3"/>
    <x v="3"/>
    <s v="외식"/>
    <n v="6000"/>
    <n v="-6000"/>
    <x v="193"/>
    <m/>
  </r>
  <r>
    <x v="1824"/>
    <x v="692"/>
    <x v="2"/>
    <x v="5"/>
    <n v="6"/>
    <x v="1"/>
    <x v="3"/>
    <x v="3"/>
    <s v="외식"/>
    <n v="5000"/>
    <n v="-5000"/>
    <x v="193"/>
    <m/>
  </r>
  <r>
    <x v="1825"/>
    <x v="692"/>
    <x v="2"/>
    <x v="5"/>
    <n v="6"/>
    <x v="1"/>
    <x v="1"/>
    <x v="6"/>
    <s v="편의점"/>
    <n v="2300"/>
    <n v="-2300"/>
    <x v="206"/>
    <s v="숭마 카페"/>
  </r>
  <r>
    <x v="1826"/>
    <x v="693"/>
    <x v="2"/>
    <x v="5"/>
    <n v="7"/>
    <x v="1"/>
    <x v="3"/>
    <x v="3"/>
    <s v="외식"/>
    <n v="11850"/>
    <n v="-11850"/>
    <x v="518"/>
    <m/>
  </r>
  <r>
    <x v="1827"/>
    <x v="694"/>
    <x v="2"/>
    <x v="5"/>
    <n v="9"/>
    <x v="1"/>
    <x v="3"/>
    <x v="3"/>
    <s v="외식"/>
    <n v="6000"/>
    <n v="-6000"/>
    <x v="193"/>
    <m/>
  </r>
  <r>
    <x v="1828"/>
    <x v="694"/>
    <x v="2"/>
    <x v="5"/>
    <n v="9"/>
    <x v="1"/>
    <x v="3"/>
    <x v="3"/>
    <s v="외식"/>
    <n v="8000"/>
    <n v="-8000"/>
    <x v="360"/>
    <m/>
  </r>
  <r>
    <x v="1829"/>
    <x v="695"/>
    <x v="2"/>
    <x v="5"/>
    <n v="10"/>
    <x v="1"/>
    <x v="3"/>
    <x v="3"/>
    <s v="외식"/>
    <n v="5800"/>
    <n v="-5800"/>
    <x v="83"/>
    <m/>
  </r>
  <r>
    <x v="1830"/>
    <x v="695"/>
    <x v="2"/>
    <x v="5"/>
    <n v="10"/>
    <x v="1"/>
    <x v="1"/>
    <x v="6"/>
    <s v="마트"/>
    <n v="3000"/>
    <n v="-3000"/>
    <x v="98"/>
    <s v="조명"/>
  </r>
  <r>
    <x v="1831"/>
    <x v="696"/>
    <x v="2"/>
    <x v="5"/>
    <n v="11"/>
    <x v="1"/>
    <x v="3"/>
    <x v="3"/>
    <s v="외식"/>
    <n v="6000"/>
    <n v="-6000"/>
    <x v="193"/>
    <m/>
  </r>
  <r>
    <x v="1832"/>
    <x v="697"/>
    <x v="2"/>
    <x v="5"/>
    <n v="12"/>
    <x v="1"/>
    <x v="3"/>
    <x v="3"/>
    <s v="외식"/>
    <n v="8500"/>
    <n v="-8500"/>
    <x v="207"/>
    <m/>
  </r>
  <r>
    <x v="1833"/>
    <x v="697"/>
    <x v="2"/>
    <x v="5"/>
    <n v="12"/>
    <x v="1"/>
    <x v="1"/>
    <x v="6"/>
    <s v="편의점"/>
    <n v="10450"/>
    <n v="-10450"/>
    <x v="10"/>
    <s v="우유, 닭가슴살"/>
  </r>
  <r>
    <x v="1834"/>
    <x v="698"/>
    <x v="2"/>
    <x v="5"/>
    <n v="13"/>
    <x v="1"/>
    <x v="4"/>
    <x v="18"/>
    <s v="가스비"/>
    <n v="29530"/>
    <n v="-29530"/>
    <x v="404"/>
    <m/>
  </r>
  <r>
    <x v="1835"/>
    <x v="698"/>
    <x v="2"/>
    <x v="5"/>
    <n v="13"/>
    <x v="1"/>
    <x v="3"/>
    <x v="3"/>
    <s v="외식"/>
    <n v="6000"/>
    <n v="-6000"/>
    <x v="193"/>
    <m/>
  </r>
  <r>
    <x v="1836"/>
    <x v="699"/>
    <x v="2"/>
    <x v="5"/>
    <n v="14"/>
    <x v="1"/>
    <x v="3"/>
    <x v="3"/>
    <s v="외식"/>
    <n v="7800"/>
    <n v="-7800"/>
    <x v="83"/>
    <m/>
  </r>
  <r>
    <x v="1837"/>
    <x v="699"/>
    <x v="2"/>
    <x v="5"/>
    <n v="14"/>
    <x v="1"/>
    <x v="3"/>
    <x v="3"/>
    <s v="외식"/>
    <n v="8000"/>
    <n v="-8000"/>
    <x v="310"/>
    <m/>
  </r>
  <r>
    <x v="1838"/>
    <x v="700"/>
    <x v="2"/>
    <x v="5"/>
    <n v="16"/>
    <x v="1"/>
    <x v="1"/>
    <x v="6"/>
    <s v="마트"/>
    <n v="18000"/>
    <n v="-18000"/>
    <x v="508"/>
    <s v="카레, 폼클렌징"/>
  </r>
  <r>
    <x v="1839"/>
    <x v="700"/>
    <x v="2"/>
    <x v="5"/>
    <n v="16"/>
    <x v="1"/>
    <x v="1"/>
    <x v="16"/>
    <s v="여행용품"/>
    <n v="3000"/>
    <n v="-3000"/>
    <x v="98"/>
    <s v="소분통, 폰거치대"/>
  </r>
  <r>
    <x v="1840"/>
    <x v="700"/>
    <x v="2"/>
    <x v="5"/>
    <n v="16"/>
    <x v="1"/>
    <x v="3"/>
    <x v="3"/>
    <s v="외식"/>
    <n v="8500"/>
    <n v="-8500"/>
    <x v="254"/>
    <m/>
  </r>
  <r>
    <x v="1841"/>
    <x v="700"/>
    <x v="2"/>
    <x v="5"/>
    <n v="16"/>
    <x v="1"/>
    <x v="1"/>
    <x v="12"/>
    <s v="게임"/>
    <n v="300"/>
    <n v="-300"/>
    <x v="208"/>
    <m/>
  </r>
  <r>
    <x v="1842"/>
    <x v="701"/>
    <x v="2"/>
    <x v="5"/>
    <n v="17"/>
    <x v="1"/>
    <x v="1"/>
    <x v="17"/>
    <s v="약국"/>
    <n v="10000"/>
    <n v="-10000"/>
    <x v="196"/>
    <s v="상비약"/>
  </r>
  <r>
    <x v="1843"/>
    <x v="701"/>
    <x v="2"/>
    <x v="5"/>
    <n v="17"/>
    <x v="6"/>
    <x v="2"/>
    <x v="2"/>
    <s v="용돈"/>
    <n v="-550000"/>
    <n v="550000"/>
    <x v="58"/>
    <s v="할머니 용돈 5만원 포함"/>
  </r>
  <r>
    <x v="1844"/>
    <x v="701"/>
    <x v="2"/>
    <x v="5"/>
    <n v="17"/>
    <x v="6"/>
    <x v="0"/>
    <x v="0"/>
    <s v="내계좌이체"/>
    <n v="-3000000"/>
    <n v="3000000"/>
    <x v="519"/>
    <m/>
  </r>
  <r>
    <x v="1845"/>
    <x v="702"/>
    <x v="2"/>
    <x v="5"/>
    <n v="20"/>
    <x v="1"/>
    <x v="2"/>
    <x v="2"/>
    <s v="기타수입"/>
    <n v="-10000"/>
    <n v="10000"/>
    <x v="15"/>
    <m/>
  </r>
  <r>
    <x v="1846"/>
    <x v="703"/>
    <x v="2"/>
    <x v="5"/>
    <n v="22"/>
    <x v="1"/>
    <x v="4"/>
    <x v="18"/>
    <s v="전기세"/>
    <n v="20740"/>
    <n v="-20740"/>
    <x v="414"/>
    <m/>
  </r>
  <r>
    <x v="1847"/>
    <x v="703"/>
    <x v="2"/>
    <x v="5"/>
    <n v="22"/>
    <x v="1"/>
    <x v="1"/>
    <x v="10"/>
    <s v="선물"/>
    <n v="3300"/>
    <n v="-3300"/>
    <x v="17"/>
    <s v="이서아 커피"/>
  </r>
  <r>
    <x v="1848"/>
    <x v="704"/>
    <x v="2"/>
    <x v="5"/>
    <n v="26"/>
    <x v="1"/>
    <x v="1"/>
    <x v="5"/>
    <s v="커피_음료"/>
    <n v="2900"/>
    <n v="-2900"/>
    <x v="106"/>
    <m/>
  </r>
  <r>
    <x v="1849"/>
    <x v="704"/>
    <x v="2"/>
    <x v="5"/>
    <n v="26"/>
    <x v="1"/>
    <x v="1"/>
    <x v="16"/>
    <s v="교통비"/>
    <n v="2730"/>
    <n v="-2730"/>
    <x v="150"/>
    <s v="아빠 면세점 차액, 카드혜택 3400 제외(원금 17000)"/>
  </r>
  <r>
    <x v="1850"/>
    <x v="704"/>
    <x v="2"/>
    <x v="5"/>
    <n v="26"/>
    <x v="6"/>
    <x v="0"/>
    <x v="0"/>
    <s v="이체"/>
    <n v="3436785"/>
    <n v="-3436785"/>
    <x v="520"/>
    <s v="교통, 식비, 숙박 모두 포함, 지출내역에서 제외"/>
  </r>
  <r>
    <x v="1851"/>
    <x v="705"/>
    <x v="2"/>
    <x v="5"/>
    <n v="27"/>
    <x v="1"/>
    <x v="1"/>
    <x v="10"/>
    <s v="선물"/>
    <n v="13260"/>
    <n v="-13260"/>
    <x v="17"/>
    <s v="평진이 생일"/>
  </r>
  <r>
    <x v="1852"/>
    <x v="705"/>
    <x v="2"/>
    <x v="5"/>
    <n v="27"/>
    <x v="1"/>
    <x v="3"/>
    <x v="6"/>
    <s v="편의점"/>
    <n v="2200"/>
    <n v="-2200"/>
    <x v="10"/>
    <s v="우유"/>
  </r>
  <r>
    <x v="1853"/>
    <x v="705"/>
    <x v="2"/>
    <x v="5"/>
    <n v="27"/>
    <x v="1"/>
    <x v="1"/>
    <x v="10"/>
    <s v="선물"/>
    <n v="22000"/>
    <n v="-22000"/>
    <x v="521"/>
    <s v="부겸 집들이"/>
  </r>
  <r>
    <x v="1854"/>
    <x v="705"/>
    <x v="2"/>
    <x v="5"/>
    <n v="27"/>
    <x v="1"/>
    <x v="1"/>
    <x v="3"/>
    <s v="외식"/>
    <n v="28571"/>
    <n v="-28571"/>
    <x v="522"/>
    <s v="김부겸 이체"/>
  </r>
  <r>
    <x v="1855"/>
    <x v="705"/>
    <x v="2"/>
    <x v="5"/>
    <n v="27"/>
    <x v="1"/>
    <x v="1"/>
    <x v="12"/>
    <s v="취미"/>
    <n v="5000"/>
    <n v="-5000"/>
    <x v="506"/>
    <s v="30일분 임혜원 이체"/>
  </r>
  <r>
    <x v="1856"/>
    <x v="706"/>
    <x v="2"/>
    <x v="5"/>
    <n v="28"/>
    <x v="1"/>
    <x v="1"/>
    <x v="3"/>
    <s v="외식"/>
    <n v="15000"/>
    <n v="-15000"/>
    <x v="523"/>
    <s v="이지민 이체"/>
  </r>
  <r>
    <x v="1857"/>
    <x v="707"/>
    <x v="2"/>
    <x v="5"/>
    <n v="29"/>
    <x v="1"/>
    <x v="3"/>
    <x v="6"/>
    <s v="편의점"/>
    <n v="1800"/>
    <n v="-1800"/>
    <x v="10"/>
    <s v="우유"/>
  </r>
  <r>
    <x v="1858"/>
    <x v="708"/>
    <x v="2"/>
    <x v="5"/>
    <n v="30"/>
    <x v="1"/>
    <x v="3"/>
    <x v="3"/>
    <s v="외식"/>
    <n v="11000"/>
    <n v="-11000"/>
    <x v="524"/>
    <s v="하정훈 이체"/>
  </r>
  <r>
    <x v="1859"/>
    <x v="709"/>
    <x v="2"/>
    <x v="5"/>
    <n v="31"/>
    <x v="1"/>
    <x v="4"/>
    <x v="4"/>
    <s v="서비스구독"/>
    <n v="8184"/>
    <n v="-8184"/>
    <x v="84"/>
    <m/>
  </r>
  <r>
    <x v="1860"/>
    <x v="709"/>
    <x v="2"/>
    <x v="5"/>
    <n v="31"/>
    <x v="1"/>
    <x v="3"/>
    <x v="8"/>
    <s v="헤어샵"/>
    <n v="15000"/>
    <n v="-15000"/>
    <x v="95"/>
    <m/>
  </r>
  <r>
    <x v="1861"/>
    <x v="710"/>
    <x v="3"/>
    <x v="6"/>
    <n v="1"/>
    <x v="1"/>
    <x v="5"/>
    <x v="9"/>
    <s v="용돈"/>
    <n v="-600000"/>
    <n v="600000"/>
    <x v="58"/>
    <s v="1월 생활비"/>
  </r>
  <r>
    <x v="1862"/>
    <x v="711"/>
    <x v="3"/>
    <x v="6"/>
    <n v="2"/>
    <x v="1"/>
    <x v="1"/>
    <x v="12"/>
    <s v="게임"/>
    <n v="9100"/>
    <n v="-9100"/>
    <x v="42"/>
    <s v="메탈슬러그"/>
  </r>
  <r>
    <x v="1863"/>
    <x v="711"/>
    <x v="3"/>
    <x v="6"/>
    <n v="2"/>
    <x v="1"/>
    <x v="1"/>
    <x v="12"/>
    <s v="게임"/>
    <n v="10020"/>
    <n v="-10020"/>
    <x v="102"/>
    <s v="오버쿡드"/>
  </r>
  <r>
    <x v="1864"/>
    <x v="712"/>
    <x v="3"/>
    <x v="6"/>
    <n v="4"/>
    <x v="1"/>
    <x v="1"/>
    <x v="3"/>
    <s v="외식"/>
    <n v="3000"/>
    <n v="-3000"/>
    <x v="83"/>
    <s v="커피, 치즈스틱"/>
  </r>
  <r>
    <x v="1865"/>
    <x v="713"/>
    <x v="3"/>
    <x v="6"/>
    <n v="5"/>
    <x v="1"/>
    <x v="3"/>
    <x v="6"/>
    <s v="편의점"/>
    <n v="5950"/>
    <n v="-5950"/>
    <x v="10"/>
    <s v="우유"/>
  </r>
  <r>
    <x v="1866"/>
    <x v="714"/>
    <x v="3"/>
    <x v="6"/>
    <n v="6"/>
    <x v="1"/>
    <x v="3"/>
    <x v="3"/>
    <s v="외식"/>
    <n v="6800"/>
    <n v="-6800"/>
    <x v="83"/>
    <m/>
  </r>
  <r>
    <x v="1867"/>
    <x v="714"/>
    <x v="3"/>
    <x v="6"/>
    <n v="6"/>
    <x v="1"/>
    <x v="3"/>
    <x v="6"/>
    <s v="마트"/>
    <n v="47300"/>
    <n v="-47300"/>
    <x v="501"/>
    <m/>
  </r>
  <r>
    <x v="1868"/>
    <x v="714"/>
    <x v="3"/>
    <x v="6"/>
    <n v="6"/>
    <x v="1"/>
    <x v="1"/>
    <x v="7"/>
    <s v="대중교통"/>
    <n v="29300"/>
    <n v="-29300"/>
    <x v="33"/>
    <m/>
  </r>
  <r>
    <x v="1869"/>
    <x v="715"/>
    <x v="3"/>
    <x v="6"/>
    <n v="7"/>
    <x v="1"/>
    <x v="1"/>
    <x v="6"/>
    <s v="마트"/>
    <n v="27970"/>
    <n v="-27970"/>
    <x v="410"/>
    <m/>
  </r>
  <r>
    <x v="1870"/>
    <x v="716"/>
    <x v="3"/>
    <x v="6"/>
    <n v="9"/>
    <x v="1"/>
    <x v="1"/>
    <x v="7"/>
    <s v="렌터카"/>
    <n v="64830"/>
    <n v="-64830"/>
    <x v="428"/>
    <m/>
  </r>
  <r>
    <x v="1871"/>
    <x v="716"/>
    <x v="3"/>
    <x v="6"/>
    <n v="9"/>
    <x v="1"/>
    <x v="1"/>
    <x v="12"/>
    <s v="기타"/>
    <n v="5000"/>
    <n v="-5000"/>
    <x v="48"/>
    <m/>
  </r>
  <r>
    <x v="1872"/>
    <x v="716"/>
    <x v="3"/>
    <x v="6"/>
    <n v="9"/>
    <x v="1"/>
    <x v="1"/>
    <x v="1"/>
    <s v="주차"/>
    <n v="5400"/>
    <n v="-5400"/>
    <x v="525"/>
    <m/>
  </r>
  <r>
    <x v="1873"/>
    <x v="717"/>
    <x v="3"/>
    <x v="6"/>
    <n v="10"/>
    <x v="1"/>
    <x v="3"/>
    <x v="6"/>
    <s v="마트"/>
    <n v="28830"/>
    <n v="-28830"/>
    <x v="382"/>
    <m/>
  </r>
  <r>
    <x v="1874"/>
    <x v="717"/>
    <x v="3"/>
    <x v="6"/>
    <n v="10"/>
    <x v="1"/>
    <x v="4"/>
    <x v="18"/>
    <s v="가스비"/>
    <n v="43110"/>
    <n v="-43110"/>
    <x v="404"/>
    <m/>
  </r>
  <r>
    <x v="1875"/>
    <x v="718"/>
    <x v="3"/>
    <x v="6"/>
    <n v="11"/>
    <x v="1"/>
    <x v="1"/>
    <x v="5"/>
    <s v="커피_음료"/>
    <n v="8400"/>
    <n v="-8400"/>
    <x v="526"/>
    <m/>
  </r>
  <r>
    <x v="1876"/>
    <x v="719"/>
    <x v="3"/>
    <x v="6"/>
    <n v="12"/>
    <x v="1"/>
    <x v="1"/>
    <x v="10"/>
    <s v="축의금"/>
    <n v="100000"/>
    <n v="-100000"/>
    <x v="527"/>
    <m/>
  </r>
  <r>
    <x v="1877"/>
    <x v="719"/>
    <x v="3"/>
    <x v="6"/>
    <n v="12"/>
    <x v="1"/>
    <x v="1"/>
    <x v="6"/>
    <s v="편의점"/>
    <n v="9500"/>
    <n v="-9500"/>
    <x v="10"/>
    <s v="배터리, 핫팩"/>
  </r>
  <r>
    <x v="1878"/>
    <x v="719"/>
    <x v="3"/>
    <x v="6"/>
    <n v="12"/>
    <x v="1"/>
    <x v="1"/>
    <x v="12"/>
    <s v="기타"/>
    <n v="4000"/>
    <n v="-4000"/>
    <x v="528"/>
    <m/>
  </r>
  <r>
    <x v="1879"/>
    <x v="720"/>
    <x v="3"/>
    <x v="6"/>
    <n v="14"/>
    <x v="1"/>
    <x v="1"/>
    <x v="1"/>
    <s v="차량보험"/>
    <n v="9220"/>
    <n v="-9220"/>
    <x v="500"/>
    <m/>
  </r>
  <r>
    <x v="1880"/>
    <x v="721"/>
    <x v="3"/>
    <x v="6"/>
    <n v="17"/>
    <x v="1"/>
    <x v="1"/>
    <x v="13"/>
    <s v="주점"/>
    <n v="45000"/>
    <n v="-45000"/>
    <x v="529"/>
    <m/>
  </r>
  <r>
    <x v="1881"/>
    <x v="722"/>
    <x v="3"/>
    <x v="6"/>
    <n v="19"/>
    <x v="1"/>
    <x v="1"/>
    <x v="6"/>
    <s v="편의점"/>
    <n v="2000"/>
    <n v="-2000"/>
    <x v="222"/>
    <s v="바나나우유"/>
  </r>
  <r>
    <x v="1882"/>
    <x v="722"/>
    <x v="3"/>
    <x v="6"/>
    <n v="19"/>
    <x v="1"/>
    <x v="1"/>
    <x v="3"/>
    <s v="외식"/>
    <n v="8000"/>
    <n v="-8000"/>
    <x v="530"/>
    <m/>
  </r>
  <r>
    <x v="1883"/>
    <x v="722"/>
    <x v="3"/>
    <x v="6"/>
    <n v="19"/>
    <x v="1"/>
    <x v="3"/>
    <x v="6"/>
    <s v="편의점"/>
    <n v="5950"/>
    <n v="-5950"/>
    <x v="10"/>
    <s v="우유"/>
  </r>
  <r>
    <x v="1884"/>
    <x v="723"/>
    <x v="3"/>
    <x v="6"/>
    <n v="20"/>
    <x v="1"/>
    <x v="1"/>
    <x v="5"/>
    <s v="디저트_빵"/>
    <n v="20000"/>
    <n v="-20000"/>
    <x v="531"/>
    <m/>
  </r>
  <r>
    <x v="1885"/>
    <x v="723"/>
    <x v="3"/>
    <x v="6"/>
    <n v="20"/>
    <x v="1"/>
    <x v="1"/>
    <x v="6"/>
    <s v="편의점"/>
    <n v="2160"/>
    <n v="-2160"/>
    <x v="10"/>
    <m/>
  </r>
  <r>
    <x v="1886"/>
    <x v="724"/>
    <x v="3"/>
    <x v="6"/>
    <n v="21"/>
    <x v="1"/>
    <x v="1"/>
    <x v="10"/>
    <s v="부조금"/>
    <n v="50000"/>
    <n v="-50000"/>
    <x v="532"/>
    <m/>
  </r>
  <r>
    <x v="1887"/>
    <x v="724"/>
    <x v="3"/>
    <x v="6"/>
    <n v="21"/>
    <x v="1"/>
    <x v="4"/>
    <x v="18"/>
    <s v="휴대폰"/>
    <n v="4490"/>
    <n v="-4490"/>
    <x v="511"/>
    <s v="통신비 차액"/>
  </r>
  <r>
    <x v="1888"/>
    <x v="724"/>
    <x v="3"/>
    <x v="6"/>
    <n v="21"/>
    <x v="1"/>
    <x v="4"/>
    <x v="18"/>
    <s v="전기세"/>
    <n v="18310"/>
    <n v="-18310"/>
    <x v="414"/>
    <m/>
  </r>
  <r>
    <x v="1889"/>
    <x v="724"/>
    <x v="3"/>
    <x v="6"/>
    <n v="21"/>
    <x v="1"/>
    <x v="1"/>
    <x v="7"/>
    <s v="택시"/>
    <n v="1800"/>
    <n v="-1800"/>
    <x v="465"/>
    <m/>
  </r>
  <r>
    <x v="1890"/>
    <x v="725"/>
    <x v="3"/>
    <x v="6"/>
    <n v="22"/>
    <x v="1"/>
    <x v="3"/>
    <x v="3"/>
    <s v="배달"/>
    <n v="3000"/>
    <n v="-3000"/>
    <x v="533"/>
    <s v="굽네 배달비"/>
  </r>
  <r>
    <x v="1891"/>
    <x v="725"/>
    <x v="3"/>
    <x v="6"/>
    <n v="22"/>
    <x v="1"/>
    <x v="1"/>
    <x v="6"/>
    <s v="편의점"/>
    <n v="12500"/>
    <n v="-12500"/>
    <x v="10"/>
    <s v="맥주"/>
  </r>
  <r>
    <x v="1892"/>
    <x v="726"/>
    <x v="3"/>
    <x v="6"/>
    <n v="23"/>
    <x v="1"/>
    <x v="1"/>
    <x v="3"/>
    <s v="외식"/>
    <n v="17500"/>
    <n v="-17500"/>
    <x v="534"/>
    <m/>
  </r>
  <r>
    <x v="1893"/>
    <x v="726"/>
    <x v="3"/>
    <x v="6"/>
    <n v="23"/>
    <x v="1"/>
    <x v="1"/>
    <x v="12"/>
    <s v="게임"/>
    <n v="5000"/>
    <n v="-5000"/>
    <x v="535"/>
    <m/>
  </r>
  <r>
    <x v="1894"/>
    <x v="726"/>
    <x v="3"/>
    <x v="6"/>
    <n v="23"/>
    <x v="1"/>
    <x v="1"/>
    <x v="12"/>
    <s v="전시_관람_체험"/>
    <n v="2000"/>
    <n v="-2000"/>
    <x v="536"/>
    <m/>
  </r>
  <r>
    <x v="1895"/>
    <x v="726"/>
    <x v="3"/>
    <x v="6"/>
    <n v="23"/>
    <x v="1"/>
    <x v="1"/>
    <x v="13"/>
    <s v="주점"/>
    <n v="29825"/>
    <n v="-29825"/>
    <x v="495"/>
    <m/>
  </r>
  <r>
    <x v="1896"/>
    <x v="726"/>
    <x v="3"/>
    <x v="6"/>
    <n v="23"/>
    <x v="1"/>
    <x v="1"/>
    <x v="5"/>
    <s v="커피_음료"/>
    <n v="5750"/>
    <n v="-5750"/>
    <x v="211"/>
    <m/>
  </r>
  <r>
    <x v="1897"/>
    <x v="727"/>
    <x v="3"/>
    <x v="6"/>
    <n v="25"/>
    <x v="1"/>
    <x v="1"/>
    <x v="12"/>
    <s v="게임"/>
    <n v="1530"/>
    <n v="-1530"/>
    <x v="537"/>
    <s v="패스 구독료"/>
  </r>
  <r>
    <x v="1898"/>
    <x v="728"/>
    <x v="3"/>
    <x v="6"/>
    <n v="27"/>
    <x v="1"/>
    <x v="1"/>
    <x v="5"/>
    <s v="커피_음료"/>
    <n v="2000"/>
    <n v="-2000"/>
    <x v="300"/>
    <m/>
  </r>
  <r>
    <x v="1899"/>
    <x v="729"/>
    <x v="3"/>
    <x v="6"/>
    <n v="30"/>
    <x v="1"/>
    <x v="1"/>
    <x v="5"/>
    <s v="커피_음료"/>
    <n v="4000"/>
    <n v="-4000"/>
    <x v="106"/>
    <m/>
  </r>
  <r>
    <x v="1900"/>
    <x v="730"/>
    <x v="3"/>
    <x v="6"/>
    <n v="31"/>
    <x v="1"/>
    <x v="3"/>
    <x v="8"/>
    <s v="헤어샵"/>
    <n v="15000"/>
    <n v="-15000"/>
    <x v="95"/>
    <m/>
  </r>
  <r>
    <x v="1901"/>
    <x v="731"/>
    <x v="3"/>
    <x v="7"/>
    <n v="1"/>
    <x v="1"/>
    <x v="5"/>
    <x v="9"/>
    <s v="용돈"/>
    <n v="-600000"/>
    <n v="600000"/>
    <x v="58"/>
    <s v="2월 생활비"/>
  </r>
  <r>
    <x v="1902"/>
    <x v="731"/>
    <x v="3"/>
    <x v="7"/>
    <n v="1"/>
    <x v="1"/>
    <x v="1"/>
    <x v="4"/>
    <s v="인터넷쇼핑"/>
    <n v="8900"/>
    <n v="-8900"/>
    <x v="167"/>
    <s v="접이식의자"/>
  </r>
  <r>
    <x v="1903"/>
    <x v="732"/>
    <x v="3"/>
    <x v="7"/>
    <n v="2"/>
    <x v="1"/>
    <x v="3"/>
    <x v="6"/>
    <s v="마트"/>
    <n v="39340"/>
    <n v="-39340"/>
    <x v="382"/>
    <m/>
  </r>
  <r>
    <x v="1904"/>
    <x v="732"/>
    <x v="3"/>
    <x v="7"/>
    <n v="2"/>
    <x v="6"/>
    <x v="0"/>
    <x v="0"/>
    <s v="이체"/>
    <n v="-500000"/>
    <n v="500000"/>
    <x v="538"/>
    <s v="미국여행비 입금, 잔액 116만"/>
  </r>
  <r>
    <x v="1905"/>
    <x v="733"/>
    <x v="3"/>
    <x v="7"/>
    <n v="3"/>
    <x v="1"/>
    <x v="1"/>
    <x v="5"/>
    <s v="커피_음료"/>
    <n v="5500"/>
    <n v="-5500"/>
    <x v="274"/>
    <m/>
  </r>
  <r>
    <x v="1906"/>
    <x v="733"/>
    <x v="3"/>
    <x v="7"/>
    <n v="3"/>
    <x v="1"/>
    <x v="1"/>
    <x v="3"/>
    <s v="외식"/>
    <n v="10700"/>
    <n v="-10700"/>
    <x v="539"/>
    <m/>
  </r>
  <r>
    <x v="1907"/>
    <x v="733"/>
    <x v="3"/>
    <x v="7"/>
    <n v="3"/>
    <x v="1"/>
    <x v="1"/>
    <x v="6"/>
    <s v="마트"/>
    <n v="5000"/>
    <n v="-5000"/>
    <x v="98"/>
    <s v="고무장갑, 배터리"/>
  </r>
  <r>
    <x v="1908"/>
    <x v="733"/>
    <x v="3"/>
    <x v="7"/>
    <n v="3"/>
    <x v="1"/>
    <x v="1"/>
    <x v="13"/>
    <s v="주점"/>
    <n v="10800"/>
    <n v="-10800"/>
    <x v="394"/>
    <m/>
  </r>
  <r>
    <x v="1909"/>
    <x v="734"/>
    <x v="3"/>
    <x v="7"/>
    <n v="4"/>
    <x v="1"/>
    <x v="1"/>
    <x v="10"/>
    <s v="선물"/>
    <n v="23100"/>
    <n v="-23100"/>
    <x v="490"/>
    <s v="편지지, 선물"/>
  </r>
  <r>
    <x v="1910"/>
    <x v="734"/>
    <x v="3"/>
    <x v="7"/>
    <n v="4"/>
    <x v="6"/>
    <x v="2"/>
    <x v="2"/>
    <s v="용돈"/>
    <n v="-400000"/>
    <n v="400000"/>
    <x v="540"/>
    <m/>
  </r>
  <r>
    <x v="1911"/>
    <x v="734"/>
    <x v="3"/>
    <x v="7"/>
    <n v="4"/>
    <x v="1"/>
    <x v="0"/>
    <x v="0"/>
    <s v="이체"/>
    <n v="5000"/>
    <n v="-5000"/>
    <x v="541"/>
    <s v="경빈이 공연 입장료"/>
  </r>
  <r>
    <x v="1912"/>
    <x v="735"/>
    <x v="3"/>
    <x v="7"/>
    <n v="5"/>
    <x v="1"/>
    <x v="0"/>
    <x v="0"/>
    <s v="내계좌이체"/>
    <n v="10000"/>
    <n v="-10000"/>
    <x v="542"/>
    <m/>
  </r>
  <r>
    <x v="1913"/>
    <x v="735"/>
    <x v="3"/>
    <x v="7"/>
    <n v="5"/>
    <x v="8"/>
    <x v="0"/>
    <x v="0"/>
    <s v="내계좌이체"/>
    <n v="-10000"/>
    <n v="10000"/>
    <x v="542"/>
    <m/>
  </r>
  <r>
    <x v="1914"/>
    <x v="735"/>
    <x v="3"/>
    <x v="7"/>
    <n v="5"/>
    <x v="1"/>
    <x v="1"/>
    <x v="7"/>
    <s v="대중교통"/>
    <n v="32200"/>
    <n v="-32200"/>
    <x v="33"/>
    <m/>
  </r>
  <r>
    <x v="1915"/>
    <x v="736"/>
    <x v="3"/>
    <x v="7"/>
    <n v="6"/>
    <x v="1"/>
    <x v="1"/>
    <x v="4"/>
    <s v="수수료"/>
    <n v="1000"/>
    <n v="-1000"/>
    <x v="305"/>
    <m/>
  </r>
  <r>
    <x v="1916"/>
    <x v="736"/>
    <x v="3"/>
    <x v="7"/>
    <n v="6"/>
    <x v="1"/>
    <x v="1"/>
    <x v="4"/>
    <s v="인터넷쇼핑"/>
    <n v="14000"/>
    <n v="-14000"/>
    <x v="427"/>
    <s v="c타입 젠더"/>
  </r>
  <r>
    <x v="1917"/>
    <x v="736"/>
    <x v="3"/>
    <x v="7"/>
    <n v="6"/>
    <x v="1"/>
    <x v="1"/>
    <x v="6"/>
    <s v="마트"/>
    <n v="7000"/>
    <n v="-7000"/>
    <x v="98"/>
    <s v="부겸이 생일"/>
  </r>
  <r>
    <x v="1918"/>
    <x v="736"/>
    <x v="3"/>
    <x v="7"/>
    <n v="6"/>
    <x v="1"/>
    <x v="1"/>
    <x v="3"/>
    <s v="배달"/>
    <n v="29800"/>
    <n v="-29800"/>
    <x v="543"/>
    <s v="부겸이 생일"/>
  </r>
  <r>
    <x v="1919"/>
    <x v="737"/>
    <x v="3"/>
    <x v="7"/>
    <n v="7"/>
    <x v="1"/>
    <x v="3"/>
    <x v="6"/>
    <s v="마트"/>
    <n v="14310"/>
    <n v="-14310"/>
    <x v="382"/>
    <m/>
  </r>
  <r>
    <x v="1920"/>
    <x v="738"/>
    <x v="3"/>
    <x v="7"/>
    <n v="8"/>
    <x v="1"/>
    <x v="1"/>
    <x v="3"/>
    <s v="외식"/>
    <n v="20000"/>
    <n v="-20000"/>
    <x v="544"/>
    <s v="경빈이 공연"/>
  </r>
  <r>
    <x v="1921"/>
    <x v="738"/>
    <x v="3"/>
    <x v="7"/>
    <n v="8"/>
    <x v="1"/>
    <x v="1"/>
    <x v="3"/>
    <s v="외식"/>
    <n v="27600"/>
    <n v="-27600"/>
    <x v="424"/>
    <s v="최재은 이체"/>
  </r>
  <r>
    <x v="1922"/>
    <x v="739"/>
    <x v="3"/>
    <x v="7"/>
    <n v="10"/>
    <x v="1"/>
    <x v="3"/>
    <x v="3"/>
    <s v="외식"/>
    <n v="2000"/>
    <n v="-2000"/>
    <x v="335"/>
    <m/>
  </r>
  <r>
    <x v="1923"/>
    <x v="739"/>
    <x v="3"/>
    <x v="7"/>
    <n v="10"/>
    <x v="1"/>
    <x v="4"/>
    <x v="18"/>
    <s v="가스비"/>
    <n v="51640"/>
    <n v="-51640"/>
    <x v="404"/>
    <m/>
  </r>
  <r>
    <x v="1924"/>
    <x v="740"/>
    <x v="3"/>
    <x v="7"/>
    <n v="11"/>
    <x v="1"/>
    <x v="1"/>
    <x v="12"/>
    <s v="게임"/>
    <n v="30987"/>
    <n v="-30987"/>
    <x v="403"/>
    <s v="시티즈2"/>
  </r>
  <r>
    <x v="1925"/>
    <x v="740"/>
    <x v="3"/>
    <x v="7"/>
    <n v="11"/>
    <x v="1"/>
    <x v="1"/>
    <x v="12"/>
    <s v="게임"/>
    <n v="9000"/>
    <n v="-9000"/>
    <x v="102"/>
    <s v="갤럭시버거"/>
  </r>
  <r>
    <x v="1926"/>
    <x v="741"/>
    <x v="3"/>
    <x v="7"/>
    <n v="13"/>
    <x v="1"/>
    <x v="1"/>
    <x v="3"/>
    <s v="외식"/>
    <n v="21700"/>
    <n v="-21700"/>
    <x v="545"/>
    <m/>
  </r>
  <r>
    <x v="1927"/>
    <x v="741"/>
    <x v="3"/>
    <x v="7"/>
    <n v="13"/>
    <x v="1"/>
    <x v="1"/>
    <x v="5"/>
    <s v="아이스크림_빙수"/>
    <n v="7100"/>
    <n v="-7100"/>
    <x v="514"/>
    <m/>
  </r>
  <r>
    <x v="1928"/>
    <x v="742"/>
    <x v="3"/>
    <x v="7"/>
    <n v="15"/>
    <x v="1"/>
    <x v="2"/>
    <x v="2"/>
    <s v="금융수입"/>
    <n v="-294"/>
    <n v="294"/>
    <x v="36"/>
    <m/>
  </r>
  <r>
    <x v="1929"/>
    <x v="742"/>
    <x v="3"/>
    <x v="7"/>
    <n v="15"/>
    <x v="1"/>
    <x v="1"/>
    <x v="6"/>
    <s v="세탁"/>
    <n v="15000"/>
    <n v="-15000"/>
    <x v="397"/>
    <s v="니트세탁"/>
  </r>
  <r>
    <x v="1930"/>
    <x v="742"/>
    <x v="3"/>
    <x v="7"/>
    <n v="15"/>
    <x v="1"/>
    <x v="1"/>
    <x v="5"/>
    <s v="커피_음료"/>
    <n v="3000"/>
    <n v="-3000"/>
    <x v="460"/>
    <m/>
  </r>
  <r>
    <x v="1931"/>
    <x v="743"/>
    <x v="3"/>
    <x v="7"/>
    <n v="16"/>
    <x v="1"/>
    <x v="1"/>
    <x v="6"/>
    <s v="편의점"/>
    <n v="5950"/>
    <n v="-5950"/>
    <x v="10"/>
    <m/>
  </r>
  <r>
    <x v="1932"/>
    <x v="743"/>
    <x v="3"/>
    <x v="7"/>
    <n v="16"/>
    <x v="1"/>
    <x v="1"/>
    <x v="3"/>
    <s v="외식"/>
    <n v="39000"/>
    <n v="-39000"/>
    <x v="546"/>
    <m/>
  </r>
  <r>
    <x v="1933"/>
    <x v="743"/>
    <x v="3"/>
    <x v="7"/>
    <n v="16"/>
    <x v="1"/>
    <x v="1"/>
    <x v="12"/>
    <s v="기타"/>
    <n v="5000"/>
    <n v="-5000"/>
    <x v="547"/>
    <m/>
  </r>
  <r>
    <x v="1934"/>
    <x v="744"/>
    <x v="3"/>
    <x v="7"/>
    <n v="17"/>
    <x v="1"/>
    <x v="1"/>
    <x v="3"/>
    <s v="외식"/>
    <n v="12000"/>
    <n v="-12000"/>
    <x v="548"/>
    <m/>
  </r>
  <r>
    <x v="1935"/>
    <x v="744"/>
    <x v="3"/>
    <x v="7"/>
    <n v="17"/>
    <x v="1"/>
    <x v="3"/>
    <x v="6"/>
    <s v="마트"/>
    <n v="27400"/>
    <n v="-27400"/>
    <x v="382"/>
    <m/>
  </r>
  <r>
    <x v="1936"/>
    <x v="744"/>
    <x v="3"/>
    <x v="7"/>
    <n v="17"/>
    <x v="1"/>
    <x v="1"/>
    <x v="6"/>
    <s v="마트"/>
    <n v="40300"/>
    <n v="-40300"/>
    <x v="410"/>
    <m/>
  </r>
  <r>
    <x v="1937"/>
    <x v="745"/>
    <x v="3"/>
    <x v="7"/>
    <n v="18"/>
    <x v="1"/>
    <x v="1"/>
    <x v="12"/>
    <s v="게임"/>
    <n v="4500"/>
    <n v="-4500"/>
    <x v="478"/>
    <m/>
  </r>
  <r>
    <x v="1938"/>
    <x v="745"/>
    <x v="3"/>
    <x v="7"/>
    <n v="18"/>
    <x v="1"/>
    <x v="1"/>
    <x v="5"/>
    <s v="베이커리"/>
    <n v="13000"/>
    <n v="-13000"/>
    <x v="248"/>
    <s v="동근이 집들이"/>
  </r>
  <r>
    <x v="1939"/>
    <x v="745"/>
    <x v="3"/>
    <x v="7"/>
    <n v="18"/>
    <x v="1"/>
    <x v="1"/>
    <x v="12"/>
    <s v="취미"/>
    <n v="2000"/>
    <n v="-2000"/>
    <x v="476"/>
    <m/>
  </r>
  <r>
    <x v="1940"/>
    <x v="745"/>
    <x v="3"/>
    <x v="7"/>
    <n v="18"/>
    <x v="1"/>
    <x v="1"/>
    <x v="12"/>
    <s v="취미"/>
    <n v="1000"/>
    <n v="-1000"/>
    <x v="549"/>
    <m/>
  </r>
  <r>
    <x v="1941"/>
    <x v="745"/>
    <x v="3"/>
    <x v="7"/>
    <n v="18"/>
    <x v="1"/>
    <x v="1"/>
    <x v="3"/>
    <s v="배달"/>
    <n v="13800"/>
    <n v="-13800"/>
    <x v="103"/>
    <s v="중국집 배달"/>
  </r>
  <r>
    <x v="1942"/>
    <x v="746"/>
    <x v="3"/>
    <x v="7"/>
    <n v="19"/>
    <x v="1"/>
    <x v="1"/>
    <x v="6"/>
    <s v="편의점"/>
    <n v="1400"/>
    <n v="-1400"/>
    <x v="10"/>
    <m/>
  </r>
  <r>
    <x v="1943"/>
    <x v="747"/>
    <x v="3"/>
    <x v="7"/>
    <n v="20"/>
    <x v="1"/>
    <x v="4"/>
    <x v="18"/>
    <s v="전기세"/>
    <n v="23620"/>
    <n v="-23620"/>
    <x v="414"/>
    <m/>
  </r>
  <r>
    <x v="1944"/>
    <x v="748"/>
    <x v="3"/>
    <x v="7"/>
    <n v="24"/>
    <x v="1"/>
    <x v="1"/>
    <x v="3"/>
    <s v="외식"/>
    <n v="15000"/>
    <n v="-15000"/>
    <x v="548"/>
    <m/>
  </r>
  <r>
    <x v="1945"/>
    <x v="748"/>
    <x v="3"/>
    <x v="7"/>
    <n v="24"/>
    <x v="1"/>
    <x v="1"/>
    <x v="5"/>
    <s v="디저트_빵"/>
    <n v="3900"/>
    <n v="-3900"/>
    <x v="550"/>
    <m/>
  </r>
  <r>
    <x v="1946"/>
    <x v="748"/>
    <x v="3"/>
    <x v="7"/>
    <n v="24"/>
    <x v="1"/>
    <x v="1"/>
    <x v="6"/>
    <s v="편의점"/>
    <n v="5950"/>
    <n v="-5950"/>
    <x v="10"/>
    <m/>
  </r>
  <r>
    <x v="1947"/>
    <x v="749"/>
    <x v="3"/>
    <x v="7"/>
    <n v="25"/>
    <x v="1"/>
    <x v="3"/>
    <x v="3"/>
    <s v="외식"/>
    <n v="8900"/>
    <n v="-8900"/>
    <x v="261"/>
    <m/>
  </r>
  <r>
    <x v="1948"/>
    <x v="749"/>
    <x v="3"/>
    <x v="7"/>
    <n v="25"/>
    <x v="1"/>
    <x v="1"/>
    <x v="5"/>
    <s v="커피_음료"/>
    <n v="100"/>
    <n v="-100"/>
    <x v="217"/>
    <s v="기프티콘사용"/>
  </r>
  <r>
    <x v="1949"/>
    <x v="749"/>
    <x v="3"/>
    <x v="7"/>
    <n v="25"/>
    <x v="1"/>
    <x v="3"/>
    <x v="3"/>
    <s v="배달"/>
    <n v="14400"/>
    <n v="-14400"/>
    <x v="518"/>
    <m/>
  </r>
  <r>
    <x v="1950"/>
    <x v="750"/>
    <x v="3"/>
    <x v="7"/>
    <n v="27"/>
    <x v="1"/>
    <x v="3"/>
    <x v="6"/>
    <s v="마트"/>
    <n v="42610"/>
    <n v="-42610"/>
    <x v="501"/>
    <m/>
  </r>
  <r>
    <x v="1951"/>
    <x v="750"/>
    <x v="3"/>
    <x v="7"/>
    <n v="27"/>
    <x v="6"/>
    <x v="0"/>
    <x v="0"/>
    <s v="이체"/>
    <n v="-160000"/>
    <n v="160000"/>
    <x v="538"/>
    <s v="미국여행비 입금, 잔액 100만"/>
  </r>
  <r>
    <x v="1952"/>
    <x v="751"/>
    <x v="3"/>
    <x v="7"/>
    <n v="28"/>
    <x v="8"/>
    <x v="4"/>
    <x v="4"/>
    <s v="서비스구독"/>
    <n v="8280"/>
    <n v="-8280"/>
    <x v="84"/>
    <m/>
  </r>
  <r>
    <x v="1953"/>
    <x v="751"/>
    <x v="3"/>
    <x v="7"/>
    <n v="28"/>
    <x v="1"/>
    <x v="1"/>
    <x v="12"/>
    <s v="게임"/>
    <n v="9000"/>
    <n v="-9000"/>
    <x v="102"/>
    <m/>
  </r>
  <r>
    <x v="1954"/>
    <x v="751"/>
    <x v="3"/>
    <x v="7"/>
    <n v="28"/>
    <x v="1"/>
    <x v="1"/>
    <x v="3"/>
    <s v="외식"/>
    <n v="14550"/>
    <n v="-14550"/>
    <x v="551"/>
    <m/>
  </r>
  <r>
    <x v="1955"/>
    <x v="751"/>
    <x v="3"/>
    <x v="7"/>
    <n v="28"/>
    <x v="1"/>
    <x v="1"/>
    <x v="6"/>
    <s v="마트"/>
    <n v="4900"/>
    <n v="-4900"/>
    <x v="552"/>
    <s v="초콜릿"/>
  </r>
  <r>
    <x v="1956"/>
    <x v="751"/>
    <x v="3"/>
    <x v="7"/>
    <n v="28"/>
    <x v="1"/>
    <x v="1"/>
    <x v="5"/>
    <s v="베이커리"/>
    <n v="9900"/>
    <n v="-9900"/>
    <x v="441"/>
    <m/>
  </r>
  <r>
    <x v="1957"/>
    <x v="751"/>
    <x v="3"/>
    <x v="7"/>
    <n v="28"/>
    <x v="8"/>
    <x v="4"/>
    <x v="4"/>
    <s v="서비스구독"/>
    <n v="8027"/>
    <n v="-8027"/>
    <x v="84"/>
    <m/>
  </r>
  <r>
    <x v="1958"/>
    <x v="752"/>
    <x v="3"/>
    <x v="8"/>
    <n v="1"/>
    <x v="1"/>
    <x v="5"/>
    <x v="9"/>
    <s v="용돈"/>
    <n v="-600000"/>
    <n v="600000"/>
    <x v="58"/>
    <s v="3월 생활비"/>
  </r>
  <r>
    <x v="1959"/>
    <x v="752"/>
    <x v="3"/>
    <x v="8"/>
    <n v="1"/>
    <x v="1"/>
    <x v="3"/>
    <x v="8"/>
    <s v="헤어샵"/>
    <n v="15000"/>
    <n v="-15000"/>
    <x v="95"/>
    <m/>
  </r>
  <r>
    <x v="1960"/>
    <x v="753"/>
    <x v="3"/>
    <x v="8"/>
    <n v="2"/>
    <x v="1"/>
    <x v="3"/>
    <x v="3"/>
    <s v="외식"/>
    <n v="8500"/>
    <n v="-8500"/>
    <x v="225"/>
    <m/>
  </r>
  <r>
    <x v="1961"/>
    <x v="754"/>
    <x v="3"/>
    <x v="8"/>
    <n v="4"/>
    <x v="1"/>
    <x v="1"/>
    <x v="12"/>
    <s v="게임"/>
    <n v="4500"/>
    <n v="-4500"/>
    <x v="478"/>
    <m/>
  </r>
  <r>
    <x v="1962"/>
    <x v="754"/>
    <x v="3"/>
    <x v="8"/>
    <n v="4"/>
    <x v="1"/>
    <x v="1"/>
    <x v="6"/>
    <s v="문구류"/>
    <n v="4050"/>
    <n v="-4050"/>
    <x v="193"/>
    <s v="파일, 포스트잇"/>
  </r>
  <r>
    <x v="1963"/>
    <x v="754"/>
    <x v="3"/>
    <x v="8"/>
    <n v="4"/>
    <x v="1"/>
    <x v="0"/>
    <x v="0"/>
    <s v="이체"/>
    <n v="-13000"/>
    <n v="13000"/>
    <x v="422"/>
    <s v="블씨 상금"/>
  </r>
  <r>
    <x v="1964"/>
    <x v="755"/>
    <x v="3"/>
    <x v="8"/>
    <n v="5"/>
    <x v="1"/>
    <x v="3"/>
    <x v="3"/>
    <s v="외식"/>
    <n v="9000"/>
    <n v="-9000"/>
    <x v="229"/>
    <m/>
  </r>
  <r>
    <x v="1965"/>
    <x v="755"/>
    <x v="3"/>
    <x v="8"/>
    <n v="5"/>
    <x v="1"/>
    <x v="3"/>
    <x v="3"/>
    <s v="외식"/>
    <n v="8000"/>
    <n v="-8000"/>
    <x v="228"/>
    <m/>
  </r>
  <r>
    <x v="1966"/>
    <x v="755"/>
    <x v="3"/>
    <x v="8"/>
    <n v="5"/>
    <x v="8"/>
    <x v="4"/>
    <x v="4"/>
    <s v="서비스구독"/>
    <n v="73"/>
    <n v="-73"/>
    <x v="485"/>
    <m/>
  </r>
  <r>
    <x v="1967"/>
    <x v="755"/>
    <x v="3"/>
    <x v="8"/>
    <n v="5"/>
    <x v="1"/>
    <x v="1"/>
    <x v="6"/>
    <s v="편의점"/>
    <n v="12500"/>
    <n v="-12500"/>
    <x v="10"/>
    <m/>
  </r>
  <r>
    <x v="1968"/>
    <x v="756"/>
    <x v="3"/>
    <x v="8"/>
    <n v="6"/>
    <x v="1"/>
    <x v="1"/>
    <x v="7"/>
    <s v="대중교통"/>
    <n v="34960"/>
    <n v="-34960"/>
    <x v="33"/>
    <m/>
  </r>
  <r>
    <x v="1969"/>
    <x v="756"/>
    <x v="3"/>
    <x v="8"/>
    <n v="6"/>
    <x v="1"/>
    <x v="1"/>
    <x v="6"/>
    <s v="편의점"/>
    <n v="12970"/>
    <n v="-12970"/>
    <x v="10"/>
    <m/>
  </r>
  <r>
    <x v="1970"/>
    <x v="757"/>
    <x v="3"/>
    <x v="8"/>
    <n v="8"/>
    <x v="1"/>
    <x v="1"/>
    <x v="3"/>
    <s v="외식"/>
    <n v="77777"/>
    <n v="-77777"/>
    <x v="553"/>
    <m/>
  </r>
  <r>
    <x v="1971"/>
    <x v="758"/>
    <x v="3"/>
    <x v="8"/>
    <n v="9"/>
    <x v="1"/>
    <x v="2"/>
    <x v="2"/>
    <s v="용돈"/>
    <n v="-200000"/>
    <n v="200000"/>
    <x v="554"/>
    <m/>
  </r>
  <r>
    <x v="1972"/>
    <x v="758"/>
    <x v="3"/>
    <x v="8"/>
    <n v="9"/>
    <x v="1"/>
    <x v="4"/>
    <x v="18"/>
    <s v="가스비"/>
    <n v="55700"/>
    <n v="-55700"/>
    <x v="404"/>
    <m/>
  </r>
  <r>
    <x v="1973"/>
    <x v="759"/>
    <x v="3"/>
    <x v="8"/>
    <n v="11"/>
    <x v="1"/>
    <x v="1"/>
    <x v="6"/>
    <s v="편의점"/>
    <n v="5420"/>
    <n v="-5420"/>
    <x v="10"/>
    <m/>
  </r>
  <r>
    <x v="1974"/>
    <x v="760"/>
    <x v="3"/>
    <x v="8"/>
    <n v="12"/>
    <x v="1"/>
    <x v="0"/>
    <x v="0"/>
    <s v="내계좌이체"/>
    <n v="10000"/>
    <n v="-10000"/>
    <x v="555"/>
    <m/>
  </r>
  <r>
    <x v="1975"/>
    <x v="760"/>
    <x v="3"/>
    <x v="8"/>
    <n v="12"/>
    <x v="8"/>
    <x v="0"/>
    <x v="0"/>
    <s v="내계좌이체"/>
    <n v="-10000"/>
    <n v="10000"/>
    <x v="555"/>
    <m/>
  </r>
  <r>
    <x v="1976"/>
    <x v="761"/>
    <x v="3"/>
    <x v="8"/>
    <n v="13"/>
    <x v="1"/>
    <x v="1"/>
    <x v="5"/>
    <s v="아이스크림_빙수"/>
    <n v="7300"/>
    <n v="-7300"/>
    <x v="514"/>
    <m/>
  </r>
  <r>
    <x v="1977"/>
    <x v="762"/>
    <x v="3"/>
    <x v="8"/>
    <n v="14"/>
    <x v="1"/>
    <x v="1"/>
    <x v="5"/>
    <s v="커피_음료"/>
    <n v="1800"/>
    <n v="-1800"/>
    <x v="106"/>
    <m/>
  </r>
  <r>
    <x v="1978"/>
    <x v="762"/>
    <x v="3"/>
    <x v="8"/>
    <n v="14"/>
    <x v="1"/>
    <x v="1"/>
    <x v="5"/>
    <s v="디저트_빵"/>
    <n v="1600"/>
    <n v="-1600"/>
    <x v="556"/>
    <m/>
  </r>
  <r>
    <x v="1979"/>
    <x v="762"/>
    <x v="3"/>
    <x v="8"/>
    <n v="14"/>
    <x v="1"/>
    <x v="1"/>
    <x v="5"/>
    <s v="디저트_빵"/>
    <n v="8600"/>
    <n v="-8600"/>
    <x v="557"/>
    <m/>
  </r>
  <r>
    <x v="1980"/>
    <x v="762"/>
    <x v="3"/>
    <x v="8"/>
    <n v="14"/>
    <x v="1"/>
    <x v="1"/>
    <x v="6"/>
    <s v="편의점"/>
    <n v="7600"/>
    <n v="-7600"/>
    <x v="206"/>
    <m/>
  </r>
  <r>
    <x v="1981"/>
    <x v="763"/>
    <x v="3"/>
    <x v="8"/>
    <n v="15"/>
    <x v="1"/>
    <x v="1"/>
    <x v="3"/>
    <s v="외식"/>
    <n v="11000"/>
    <n v="-11000"/>
    <x v="558"/>
    <s v="연희동"/>
  </r>
  <r>
    <x v="1982"/>
    <x v="763"/>
    <x v="3"/>
    <x v="8"/>
    <n v="15"/>
    <x v="1"/>
    <x v="1"/>
    <x v="5"/>
    <s v="커피_음료"/>
    <n v="6000"/>
    <n v="-6000"/>
    <x v="559"/>
    <m/>
  </r>
  <r>
    <x v="1983"/>
    <x v="763"/>
    <x v="3"/>
    <x v="8"/>
    <n v="15"/>
    <x v="1"/>
    <x v="1"/>
    <x v="3"/>
    <s v="외식"/>
    <n v="21000"/>
    <n v="-21000"/>
    <x v="560"/>
    <m/>
  </r>
  <r>
    <x v="1984"/>
    <x v="764"/>
    <x v="3"/>
    <x v="8"/>
    <n v="16"/>
    <x v="1"/>
    <x v="1"/>
    <x v="12"/>
    <s v="게임"/>
    <n v="13200"/>
    <n v="-13200"/>
    <x v="102"/>
    <s v="잇테이크투"/>
  </r>
  <r>
    <x v="1985"/>
    <x v="765"/>
    <x v="3"/>
    <x v="8"/>
    <n v="17"/>
    <x v="1"/>
    <x v="1"/>
    <x v="4"/>
    <s v="인터넷쇼핑"/>
    <n v="82000"/>
    <n v="-82000"/>
    <x v="427"/>
    <s v="키보드"/>
  </r>
  <r>
    <x v="1986"/>
    <x v="765"/>
    <x v="3"/>
    <x v="8"/>
    <n v="17"/>
    <x v="1"/>
    <x v="3"/>
    <x v="3"/>
    <s v="외식"/>
    <n v="6000"/>
    <n v="-6000"/>
    <x v="193"/>
    <m/>
  </r>
  <r>
    <x v="1987"/>
    <x v="765"/>
    <x v="3"/>
    <x v="8"/>
    <n v="17"/>
    <x v="1"/>
    <x v="3"/>
    <x v="3"/>
    <s v="외식"/>
    <n v="2500"/>
    <n v="-2500"/>
    <x v="83"/>
    <m/>
  </r>
  <r>
    <x v="1988"/>
    <x v="765"/>
    <x v="3"/>
    <x v="8"/>
    <n v="17"/>
    <x v="1"/>
    <x v="1"/>
    <x v="6"/>
    <s v="편의점"/>
    <n v="8200"/>
    <n v="-8200"/>
    <x v="10"/>
    <m/>
  </r>
  <r>
    <x v="1989"/>
    <x v="766"/>
    <x v="3"/>
    <x v="8"/>
    <n v="19"/>
    <x v="1"/>
    <x v="1"/>
    <x v="6"/>
    <s v="편의점"/>
    <n v="3900"/>
    <n v="-3900"/>
    <x v="10"/>
    <m/>
  </r>
  <r>
    <x v="1990"/>
    <x v="767"/>
    <x v="3"/>
    <x v="8"/>
    <n v="20"/>
    <x v="1"/>
    <x v="4"/>
    <x v="18"/>
    <s v="전기세"/>
    <n v="26660"/>
    <n v="-26660"/>
    <x v="414"/>
    <m/>
  </r>
  <r>
    <x v="1991"/>
    <x v="768"/>
    <x v="3"/>
    <x v="8"/>
    <n v="21"/>
    <x v="1"/>
    <x v="2"/>
    <x v="2"/>
    <s v="기타수입"/>
    <n v="-10000"/>
    <n v="10000"/>
    <x v="15"/>
    <m/>
  </r>
  <r>
    <x v="1992"/>
    <x v="768"/>
    <x v="3"/>
    <x v="8"/>
    <n v="21"/>
    <x v="1"/>
    <x v="1"/>
    <x v="3"/>
    <s v="외식"/>
    <n v="30600"/>
    <n v="-30600"/>
    <x v="561"/>
    <m/>
  </r>
  <r>
    <x v="1993"/>
    <x v="769"/>
    <x v="3"/>
    <x v="8"/>
    <n v="22"/>
    <x v="1"/>
    <x v="1"/>
    <x v="3"/>
    <s v="외식"/>
    <n v="19000"/>
    <n v="-19000"/>
    <x v="562"/>
    <m/>
  </r>
  <r>
    <x v="1994"/>
    <x v="769"/>
    <x v="3"/>
    <x v="8"/>
    <n v="22"/>
    <x v="1"/>
    <x v="1"/>
    <x v="5"/>
    <s v="아이스크림_빙수"/>
    <n v="600"/>
    <n v="-600"/>
    <x v="334"/>
    <m/>
  </r>
  <r>
    <x v="1995"/>
    <x v="770"/>
    <x v="3"/>
    <x v="8"/>
    <n v="23"/>
    <x v="1"/>
    <x v="3"/>
    <x v="6"/>
    <s v="마트"/>
    <n v="33380"/>
    <n v="-33380"/>
    <x v="382"/>
    <m/>
  </r>
  <r>
    <x v="1996"/>
    <x v="770"/>
    <x v="3"/>
    <x v="8"/>
    <n v="23"/>
    <x v="1"/>
    <x v="1"/>
    <x v="6"/>
    <s v="마트"/>
    <n v="38950"/>
    <n v="-38950"/>
    <x v="410"/>
    <m/>
  </r>
  <r>
    <x v="1997"/>
    <x v="771"/>
    <x v="3"/>
    <x v="8"/>
    <n v="25"/>
    <x v="6"/>
    <x v="0"/>
    <x v="0"/>
    <s v="이체"/>
    <n v="-400000"/>
    <n v="400000"/>
    <x v="538"/>
    <s v="여행비 입금, 잔액 60만"/>
  </r>
  <r>
    <x v="1998"/>
    <x v="771"/>
    <x v="3"/>
    <x v="8"/>
    <n v="25"/>
    <x v="1"/>
    <x v="3"/>
    <x v="6"/>
    <s v="마트"/>
    <n v="27340"/>
    <n v="-27340"/>
    <x v="382"/>
    <m/>
  </r>
  <r>
    <x v="1999"/>
    <x v="771"/>
    <x v="3"/>
    <x v="8"/>
    <n v="25"/>
    <x v="1"/>
    <x v="1"/>
    <x v="5"/>
    <s v="아이스크림_빙수"/>
    <n v="4700"/>
    <n v="-4700"/>
    <x v="113"/>
    <m/>
  </r>
  <r>
    <x v="2000"/>
    <x v="772"/>
    <x v="3"/>
    <x v="8"/>
    <n v="27"/>
    <x v="1"/>
    <x v="3"/>
    <x v="3"/>
    <s v="외식"/>
    <n v="9000"/>
    <n v="-9000"/>
    <x v="310"/>
    <m/>
  </r>
  <r>
    <x v="2001"/>
    <x v="773"/>
    <x v="3"/>
    <x v="8"/>
    <n v="28"/>
    <x v="1"/>
    <x v="3"/>
    <x v="8"/>
    <s v="헤어샵"/>
    <n v="15000"/>
    <n v="-15000"/>
    <x v="95"/>
    <m/>
  </r>
  <r>
    <x v="2002"/>
    <x v="774"/>
    <x v="3"/>
    <x v="8"/>
    <n v="29"/>
    <x v="1"/>
    <x v="1"/>
    <x v="5"/>
    <s v="아이스크림_빙수"/>
    <n v="15900"/>
    <n v="-15900"/>
    <x v="273"/>
    <m/>
  </r>
  <r>
    <x v="2003"/>
    <x v="775"/>
    <x v="3"/>
    <x v="8"/>
    <n v="31"/>
    <x v="8"/>
    <x v="4"/>
    <x v="4"/>
    <s v="서비스구독"/>
    <n v="8027"/>
    <n v="-8027"/>
    <x v="84"/>
    <m/>
  </r>
  <r>
    <x v="2004"/>
    <x v="776"/>
    <x v="3"/>
    <x v="9"/>
    <n v="1"/>
    <x v="1"/>
    <x v="5"/>
    <x v="9"/>
    <s v="용돈"/>
    <n v="-600000"/>
    <n v="600000"/>
    <x v="58"/>
    <s v="4월 생활비"/>
  </r>
  <r>
    <x v="2005"/>
    <x v="776"/>
    <x v="3"/>
    <x v="9"/>
    <n v="1"/>
    <x v="1"/>
    <x v="3"/>
    <x v="6"/>
    <s v="마트"/>
    <n v="34560"/>
    <n v="-34560"/>
    <x v="382"/>
    <m/>
  </r>
  <r>
    <x v="2006"/>
    <x v="777"/>
    <x v="3"/>
    <x v="9"/>
    <n v="3"/>
    <x v="1"/>
    <x v="1"/>
    <x v="7"/>
    <s v="대중교통"/>
    <n v="19760"/>
    <n v="-19760"/>
    <x v="33"/>
    <m/>
  </r>
  <r>
    <x v="2007"/>
    <x v="777"/>
    <x v="3"/>
    <x v="9"/>
    <n v="3"/>
    <x v="1"/>
    <x v="1"/>
    <x v="3"/>
    <s v="포장"/>
    <n v="2000"/>
    <n v="-2000"/>
    <x v="83"/>
    <m/>
  </r>
  <r>
    <x v="2008"/>
    <x v="778"/>
    <x v="3"/>
    <x v="9"/>
    <n v="4"/>
    <x v="1"/>
    <x v="1"/>
    <x v="12"/>
    <s v="게임"/>
    <n v="4500"/>
    <n v="-4500"/>
    <x v="478"/>
    <m/>
  </r>
  <r>
    <x v="2009"/>
    <x v="779"/>
    <x v="3"/>
    <x v="9"/>
    <n v="5"/>
    <x v="1"/>
    <x v="1"/>
    <x v="6"/>
    <s v="마트"/>
    <n v="3000"/>
    <n v="-3000"/>
    <x v="98"/>
    <m/>
  </r>
  <r>
    <x v="2010"/>
    <x v="779"/>
    <x v="3"/>
    <x v="9"/>
    <n v="5"/>
    <x v="1"/>
    <x v="1"/>
    <x v="3"/>
    <s v="외식"/>
    <n v="2300"/>
    <n v="-2300"/>
    <x v="563"/>
    <m/>
  </r>
  <r>
    <x v="2011"/>
    <x v="780"/>
    <x v="3"/>
    <x v="9"/>
    <n v="6"/>
    <x v="1"/>
    <x v="3"/>
    <x v="6"/>
    <s v="마트"/>
    <n v="38160"/>
    <n v="-38160"/>
    <x v="382"/>
    <m/>
  </r>
  <r>
    <x v="2012"/>
    <x v="781"/>
    <x v="3"/>
    <x v="9"/>
    <n v="7"/>
    <x v="1"/>
    <x v="2"/>
    <x v="2"/>
    <s v="기타수입"/>
    <n v="-2"/>
    <n v="2"/>
    <x v="124"/>
    <m/>
  </r>
  <r>
    <x v="2013"/>
    <x v="782"/>
    <x v="3"/>
    <x v="9"/>
    <n v="9"/>
    <x v="1"/>
    <x v="1"/>
    <x v="10"/>
    <s v="선물"/>
    <n v="1700"/>
    <n v="-1700"/>
    <x v="17"/>
    <s v="비타오백"/>
  </r>
  <r>
    <x v="2014"/>
    <x v="782"/>
    <x v="3"/>
    <x v="9"/>
    <n v="9"/>
    <x v="1"/>
    <x v="4"/>
    <x v="18"/>
    <s v="가스비"/>
    <n v="34790"/>
    <n v="-34790"/>
    <x v="404"/>
    <m/>
  </r>
  <r>
    <x v="2015"/>
    <x v="782"/>
    <x v="3"/>
    <x v="9"/>
    <n v="9"/>
    <x v="1"/>
    <x v="3"/>
    <x v="6"/>
    <s v="마트"/>
    <n v="7780"/>
    <n v="-7780"/>
    <x v="382"/>
    <m/>
  </r>
  <r>
    <x v="2016"/>
    <x v="783"/>
    <x v="3"/>
    <x v="9"/>
    <n v="12"/>
    <x v="1"/>
    <x v="3"/>
    <x v="3"/>
    <s v="외식"/>
    <n v="9750"/>
    <n v="-9750"/>
    <x v="215"/>
    <m/>
  </r>
  <r>
    <x v="2017"/>
    <x v="783"/>
    <x v="3"/>
    <x v="9"/>
    <n v="12"/>
    <x v="1"/>
    <x v="3"/>
    <x v="5"/>
    <s v="커피_음료"/>
    <n v="7600"/>
    <n v="-7600"/>
    <x v="564"/>
    <m/>
  </r>
  <r>
    <x v="2018"/>
    <x v="783"/>
    <x v="3"/>
    <x v="9"/>
    <n v="12"/>
    <x v="1"/>
    <x v="1"/>
    <x v="3"/>
    <s v="외식"/>
    <n v="12750"/>
    <n v="-12750"/>
    <x v="487"/>
    <m/>
  </r>
  <r>
    <x v="2019"/>
    <x v="783"/>
    <x v="3"/>
    <x v="9"/>
    <n v="12"/>
    <x v="1"/>
    <x v="1"/>
    <x v="5"/>
    <s v="커피_음료"/>
    <n v="3800"/>
    <n v="-3800"/>
    <x v="565"/>
    <m/>
  </r>
  <r>
    <x v="2020"/>
    <x v="784"/>
    <x v="3"/>
    <x v="9"/>
    <n v="16"/>
    <x v="1"/>
    <x v="1"/>
    <x v="6"/>
    <s v="편의점"/>
    <n v="5950"/>
    <n v="-5950"/>
    <x v="10"/>
    <m/>
  </r>
  <r>
    <x v="2021"/>
    <x v="785"/>
    <x v="3"/>
    <x v="9"/>
    <n v="17"/>
    <x v="1"/>
    <x v="1"/>
    <x v="12"/>
    <s v="도서"/>
    <n v="19800"/>
    <n v="-19800"/>
    <x v="566"/>
    <s v="책 펀딩"/>
  </r>
  <r>
    <x v="2022"/>
    <x v="786"/>
    <x v="3"/>
    <x v="9"/>
    <n v="18"/>
    <x v="1"/>
    <x v="1"/>
    <x v="10"/>
    <s v="선물"/>
    <n v="200000"/>
    <n v="-200000"/>
    <x v="567"/>
    <s v="할머니 생신"/>
  </r>
  <r>
    <x v="2023"/>
    <x v="786"/>
    <x v="3"/>
    <x v="9"/>
    <n v="18"/>
    <x v="1"/>
    <x v="1"/>
    <x v="10"/>
    <s v="선물"/>
    <n v="122000"/>
    <n v="-122000"/>
    <x v="427"/>
    <s v="엄마 생신"/>
  </r>
  <r>
    <x v="2024"/>
    <x v="787"/>
    <x v="3"/>
    <x v="9"/>
    <n v="19"/>
    <x v="1"/>
    <x v="1"/>
    <x v="5"/>
    <s v="커피_음료"/>
    <n v="1800"/>
    <n v="-1800"/>
    <x v="439"/>
    <m/>
  </r>
  <r>
    <x v="2025"/>
    <x v="788"/>
    <x v="3"/>
    <x v="9"/>
    <n v="21"/>
    <x v="1"/>
    <x v="3"/>
    <x v="3"/>
    <s v="외식"/>
    <n v="8000"/>
    <n v="-8000"/>
    <x v="207"/>
    <m/>
  </r>
  <r>
    <x v="2026"/>
    <x v="788"/>
    <x v="3"/>
    <x v="9"/>
    <n v="21"/>
    <x v="1"/>
    <x v="4"/>
    <x v="18"/>
    <s v="전기세"/>
    <n v="25900"/>
    <n v="-25900"/>
    <x v="414"/>
    <m/>
  </r>
  <r>
    <x v="2027"/>
    <x v="789"/>
    <x v="3"/>
    <x v="9"/>
    <n v="23"/>
    <x v="1"/>
    <x v="1"/>
    <x v="6"/>
    <s v="편의점"/>
    <n v="15860"/>
    <n v="-15860"/>
    <x v="10"/>
    <m/>
  </r>
  <r>
    <x v="2028"/>
    <x v="790"/>
    <x v="3"/>
    <x v="9"/>
    <n v="24"/>
    <x v="1"/>
    <x v="0"/>
    <x v="0"/>
    <s v="내계좌이체"/>
    <n v="40000"/>
    <n v="-40000"/>
    <x v="542"/>
    <m/>
  </r>
  <r>
    <x v="2029"/>
    <x v="790"/>
    <x v="3"/>
    <x v="9"/>
    <n v="24"/>
    <x v="8"/>
    <x v="0"/>
    <x v="0"/>
    <s v="내계좌이체"/>
    <n v="-40000"/>
    <n v="40000"/>
    <x v="542"/>
    <m/>
  </r>
  <r>
    <x v="2030"/>
    <x v="790"/>
    <x v="3"/>
    <x v="9"/>
    <n v="24"/>
    <x v="8"/>
    <x v="1"/>
    <x v="4"/>
    <s v="서비스구독"/>
    <n v="30662"/>
    <n v="-30662"/>
    <x v="517"/>
    <m/>
  </r>
  <r>
    <x v="2031"/>
    <x v="790"/>
    <x v="3"/>
    <x v="9"/>
    <n v="24"/>
    <x v="6"/>
    <x v="0"/>
    <x v="0"/>
    <s v="이체"/>
    <n v="-300000"/>
    <n v="300000"/>
    <x v="538"/>
    <s v="미국여행비 입금, 잔액 30만"/>
  </r>
  <r>
    <x v="2032"/>
    <x v="790"/>
    <x v="3"/>
    <x v="9"/>
    <n v="24"/>
    <x v="1"/>
    <x v="1"/>
    <x v="10"/>
    <s v="선물"/>
    <n v="20000"/>
    <n v="-20000"/>
    <x v="17"/>
    <m/>
  </r>
  <r>
    <x v="2033"/>
    <x v="791"/>
    <x v="3"/>
    <x v="9"/>
    <n v="25"/>
    <x v="1"/>
    <x v="1"/>
    <x v="3"/>
    <s v="외식"/>
    <n v="15000"/>
    <n v="-15000"/>
    <x v="568"/>
    <m/>
  </r>
  <r>
    <x v="2034"/>
    <x v="791"/>
    <x v="3"/>
    <x v="9"/>
    <n v="25"/>
    <x v="1"/>
    <x v="1"/>
    <x v="5"/>
    <s v="커피_음료"/>
    <n v="4300"/>
    <n v="-4300"/>
    <x v="211"/>
    <m/>
  </r>
  <r>
    <x v="2035"/>
    <x v="792"/>
    <x v="3"/>
    <x v="9"/>
    <n v="26"/>
    <x v="1"/>
    <x v="3"/>
    <x v="8"/>
    <s v="헤어샵"/>
    <n v="15000"/>
    <n v="-15000"/>
    <x v="95"/>
    <m/>
  </r>
  <r>
    <x v="2036"/>
    <x v="793"/>
    <x v="3"/>
    <x v="9"/>
    <n v="27"/>
    <x v="1"/>
    <x v="1"/>
    <x v="5"/>
    <s v="커피_음료"/>
    <n v="5500"/>
    <n v="-5500"/>
    <x v="569"/>
    <m/>
  </r>
  <r>
    <x v="2037"/>
    <x v="793"/>
    <x v="3"/>
    <x v="9"/>
    <n v="27"/>
    <x v="1"/>
    <x v="1"/>
    <x v="3"/>
    <s v="외식"/>
    <n v="10400"/>
    <n v="-10400"/>
    <x v="570"/>
    <m/>
  </r>
  <r>
    <x v="2038"/>
    <x v="793"/>
    <x v="3"/>
    <x v="9"/>
    <n v="27"/>
    <x v="1"/>
    <x v="1"/>
    <x v="16"/>
    <s v="숙박비"/>
    <n v="12000"/>
    <n v="-12000"/>
    <x v="265"/>
    <m/>
  </r>
  <r>
    <x v="2039"/>
    <x v="794"/>
    <x v="3"/>
    <x v="9"/>
    <n v="29"/>
    <x v="1"/>
    <x v="3"/>
    <x v="6"/>
    <s v="마트"/>
    <n v="55350"/>
    <n v="-55350"/>
    <x v="501"/>
    <m/>
  </r>
  <r>
    <x v="2040"/>
    <x v="795"/>
    <x v="3"/>
    <x v="9"/>
    <n v="30"/>
    <x v="8"/>
    <x v="4"/>
    <x v="4"/>
    <s v="서비스구독"/>
    <n v="7972"/>
    <n v="-7972"/>
    <x v="84"/>
    <m/>
  </r>
  <r>
    <x v="2041"/>
    <x v="796"/>
    <x v="3"/>
    <x v="10"/>
    <n v="1"/>
    <x v="1"/>
    <x v="5"/>
    <x v="9"/>
    <s v="용돈"/>
    <n v="-600000"/>
    <n v="600000"/>
    <x v="58"/>
    <s v="5월 용돈"/>
  </r>
  <r>
    <x v="2042"/>
    <x v="796"/>
    <x v="3"/>
    <x v="10"/>
    <n v="1"/>
    <x v="1"/>
    <x v="0"/>
    <x v="0"/>
    <s v="내계좌이체"/>
    <n v="20000"/>
    <n v="-20000"/>
    <x v="542"/>
    <m/>
  </r>
  <r>
    <x v="2043"/>
    <x v="796"/>
    <x v="3"/>
    <x v="10"/>
    <n v="1"/>
    <x v="8"/>
    <x v="0"/>
    <x v="0"/>
    <s v="내계좌이체"/>
    <n v="-20000"/>
    <n v="20000"/>
    <x v="542"/>
    <m/>
  </r>
  <r>
    <x v="2044"/>
    <x v="797"/>
    <x v="3"/>
    <x v="10"/>
    <n v="2"/>
    <x v="1"/>
    <x v="1"/>
    <x v="3"/>
    <s v="외식"/>
    <n v="29000"/>
    <n v="-29000"/>
    <x v="571"/>
    <m/>
  </r>
  <r>
    <x v="2045"/>
    <x v="797"/>
    <x v="3"/>
    <x v="10"/>
    <n v="2"/>
    <x v="1"/>
    <x v="1"/>
    <x v="5"/>
    <s v="커피_음료"/>
    <n v="21000"/>
    <n v="-21000"/>
    <x v="572"/>
    <m/>
  </r>
  <r>
    <x v="2046"/>
    <x v="798"/>
    <x v="3"/>
    <x v="10"/>
    <n v="5"/>
    <x v="1"/>
    <x v="1"/>
    <x v="6"/>
    <s v="마트"/>
    <n v="43400"/>
    <n v="-43400"/>
    <x v="410"/>
    <m/>
  </r>
  <r>
    <x v="2047"/>
    <x v="798"/>
    <x v="3"/>
    <x v="10"/>
    <n v="5"/>
    <x v="8"/>
    <x v="1"/>
    <x v="4"/>
    <s v="서비스구독"/>
    <n v="7665"/>
    <n v="-7665"/>
    <x v="573"/>
    <m/>
  </r>
  <r>
    <x v="2048"/>
    <x v="799"/>
    <x v="3"/>
    <x v="10"/>
    <n v="6"/>
    <x v="1"/>
    <x v="1"/>
    <x v="12"/>
    <s v="게임"/>
    <n v="3000"/>
    <n v="-3000"/>
    <x v="343"/>
    <m/>
  </r>
  <r>
    <x v="2049"/>
    <x v="799"/>
    <x v="3"/>
    <x v="10"/>
    <n v="6"/>
    <x v="1"/>
    <x v="1"/>
    <x v="3"/>
    <s v="외식"/>
    <n v="22000"/>
    <n v="-22000"/>
    <x v="424"/>
    <s v="김우재 이체"/>
  </r>
  <r>
    <x v="2050"/>
    <x v="800"/>
    <x v="3"/>
    <x v="10"/>
    <n v="8"/>
    <x v="1"/>
    <x v="1"/>
    <x v="7"/>
    <s v="대중교통"/>
    <n v="27640"/>
    <n v="-27640"/>
    <x v="33"/>
    <m/>
  </r>
  <r>
    <x v="2051"/>
    <x v="800"/>
    <x v="3"/>
    <x v="10"/>
    <n v="8"/>
    <x v="1"/>
    <x v="3"/>
    <x v="3"/>
    <s v="외식"/>
    <n v="7800"/>
    <n v="-7800"/>
    <x v="83"/>
    <m/>
  </r>
  <r>
    <x v="2052"/>
    <x v="800"/>
    <x v="3"/>
    <x v="10"/>
    <n v="8"/>
    <x v="1"/>
    <x v="1"/>
    <x v="6"/>
    <s v="편의점"/>
    <n v="5750"/>
    <n v="-5750"/>
    <x v="10"/>
    <m/>
  </r>
  <r>
    <x v="2053"/>
    <x v="801"/>
    <x v="3"/>
    <x v="10"/>
    <n v="9"/>
    <x v="1"/>
    <x v="4"/>
    <x v="18"/>
    <s v="가스비"/>
    <n v="27320"/>
    <n v="-27320"/>
    <x v="404"/>
    <m/>
  </r>
  <r>
    <x v="2054"/>
    <x v="801"/>
    <x v="3"/>
    <x v="10"/>
    <n v="9"/>
    <x v="1"/>
    <x v="1"/>
    <x v="5"/>
    <s v="커피_음료"/>
    <n v="6100"/>
    <n v="-6100"/>
    <x v="569"/>
    <m/>
  </r>
  <r>
    <x v="2055"/>
    <x v="801"/>
    <x v="3"/>
    <x v="10"/>
    <n v="9"/>
    <x v="1"/>
    <x v="2"/>
    <x v="2"/>
    <s v="금융수입"/>
    <n v="-292"/>
    <n v="292"/>
    <x v="36"/>
    <m/>
  </r>
  <r>
    <x v="2056"/>
    <x v="802"/>
    <x v="3"/>
    <x v="10"/>
    <n v="13"/>
    <x v="1"/>
    <x v="3"/>
    <x v="14"/>
    <s v="옷"/>
    <n v="54910"/>
    <n v="-54910"/>
    <x v="154"/>
    <m/>
  </r>
  <r>
    <x v="2057"/>
    <x v="802"/>
    <x v="3"/>
    <x v="10"/>
    <n v="13"/>
    <x v="1"/>
    <x v="3"/>
    <x v="3"/>
    <s v="외식"/>
    <n v="5600"/>
    <n v="-5600"/>
    <x v="83"/>
    <m/>
  </r>
  <r>
    <x v="2058"/>
    <x v="802"/>
    <x v="3"/>
    <x v="10"/>
    <n v="13"/>
    <x v="1"/>
    <x v="1"/>
    <x v="6"/>
    <s v="편의점"/>
    <n v="6000"/>
    <n v="-6000"/>
    <x v="10"/>
    <m/>
  </r>
  <r>
    <x v="2059"/>
    <x v="803"/>
    <x v="3"/>
    <x v="10"/>
    <n v="14"/>
    <x v="1"/>
    <x v="1"/>
    <x v="6"/>
    <s v="편의점"/>
    <n v="8750"/>
    <n v="-8750"/>
    <x v="10"/>
    <m/>
  </r>
  <r>
    <x v="2060"/>
    <x v="804"/>
    <x v="3"/>
    <x v="10"/>
    <n v="15"/>
    <x v="1"/>
    <x v="1"/>
    <x v="6"/>
    <s v="편의점"/>
    <n v="2400"/>
    <n v="-2400"/>
    <x v="206"/>
    <m/>
  </r>
  <r>
    <x v="2061"/>
    <x v="805"/>
    <x v="3"/>
    <x v="10"/>
    <n v="16"/>
    <x v="1"/>
    <x v="3"/>
    <x v="3"/>
    <s v="외식"/>
    <n v="13600"/>
    <n v="-13600"/>
    <x v="574"/>
    <m/>
  </r>
  <r>
    <x v="2062"/>
    <x v="805"/>
    <x v="3"/>
    <x v="10"/>
    <n v="16"/>
    <x v="1"/>
    <x v="1"/>
    <x v="6"/>
    <s v="마트"/>
    <n v="6000"/>
    <n v="-6000"/>
    <x v="98"/>
    <m/>
  </r>
  <r>
    <x v="2063"/>
    <x v="806"/>
    <x v="3"/>
    <x v="10"/>
    <n v="17"/>
    <x v="1"/>
    <x v="1"/>
    <x v="10"/>
    <s v="선물"/>
    <n v="5000"/>
    <n v="-5000"/>
    <x v="17"/>
    <s v="배틀코인 선물"/>
  </r>
  <r>
    <x v="2064"/>
    <x v="806"/>
    <x v="3"/>
    <x v="10"/>
    <n v="17"/>
    <x v="1"/>
    <x v="3"/>
    <x v="3"/>
    <s v="외식"/>
    <n v="4000"/>
    <n v="-4000"/>
    <x v="407"/>
    <m/>
  </r>
  <r>
    <x v="2065"/>
    <x v="806"/>
    <x v="3"/>
    <x v="10"/>
    <n v="17"/>
    <x v="1"/>
    <x v="1"/>
    <x v="5"/>
    <s v="커피_음료"/>
    <n v="3650"/>
    <n v="-3650"/>
    <x v="569"/>
    <m/>
  </r>
  <r>
    <x v="2066"/>
    <x v="806"/>
    <x v="3"/>
    <x v="10"/>
    <n v="17"/>
    <x v="1"/>
    <x v="1"/>
    <x v="3"/>
    <s v="외식"/>
    <n v="11000"/>
    <n v="-11000"/>
    <x v="575"/>
    <m/>
  </r>
  <r>
    <x v="2067"/>
    <x v="806"/>
    <x v="3"/>
    <x v="10"/>
    <n v="17"/>
    <x v="1"/>
    <x v="1"/>
    <x v="5"/>
    <s v="아이스크림_빙수"/>
    <n v="6950"/>
    <n v="-6950"/>
    <x v="273"/>
    <m/>
  </r>
  <r>
    <x v="2068"/>
    <x v="807"/>
    <x v="3"/>
    <x v="10"/>
    <n v="18"/>
    <x v="1"/>
    <x v="1"/>
    <x v="4"/>
    <s v="인터넷쇼핑"/>
    <n v="31700"/>
    <n v="-31700"/>
    <x v="406"/>
    <m/>
  </r>
  <r>
    <x v="2069"/>
    <x v="807"/>
    <x v="3"/>
    <x v="10"/>
    <n v="18"/>
    <x v="6"/>
    <x v="0"/>
    <x v="0"/>
    <s v="이체"/>
    <n v="-300000"/>
    <n v="300000"/>
    <x v="538"/>
    <s v="미국여행비 입금, 잔액 0"/>
  </r>
  <r>
    <x v="2070"/>
    <x v="808"/>
    <x v="3"/>
    <x v="10"/>
    <n v="20"/>
    <x v="1"/>
    <x v="3"/>
    <x v="3"/>
    <s v="외식"/>
    <n v="9000"/>
    <n v="-9000"/>
    <x v="83"/>
    <m/>
  </r>
  <r>
    <x v="2071"/>
    <x v="808"/>
    <x v="3"/>
    <x v="10"/>
    <n v="20"/>
    <x v="1"/>
    <x v="4"/>
    <x v="18"/>
    <s v="휴대폰"/>
    <n v="5400"/>
    <n v="-5400"/>
    <x v="511"/>
    <m/>
  </r>
  <r>
    <x v="2072"/>
    <x v="809"/>
    <x v="3"/>
    <x v="10"/>
    <n v="21"/>
    <x v="1"/>
    <x v="3"/>
    <x v="3"/>
    <s v="외식"/>
    <n v="6000"/>
    <n v="-6000"/>
    <x v="193"/>
    <m/>
  </r>
  <r>
    <x v="2073"/>
    <x v="809"/>
    <x v="3"/>
    <x v="10"/>
    <n v="21"/>
    <x v="1"/>
    <x v="3"/>
    <x v="3"/>
    <s v="외식"/>
    <n v="9000"/>
    <n v="-9000"/>
    <x v="245"/>
    <m/>
  </r>
  <r>
    <x v="2074"/>
    <x v="809"/>
    <x v="3"/>
    <x v="10"/>
    <n v="21"/>
    <x v="1"/>
    <x v="4"/>
    <x v="18"/>
    <s v="전기세"/>
    <n v="28170"/>
    <n v="-28170"/>
    <x v="414"/>
    <m/>
  </r>
  <r>
    <x v="2075"/>
    <x v="810"/>
    <x v="3"/>
    <x v="10"/>
    <n v="22"/>
    <x v="1"/>
    <x v="3"/>
    <x v="3"/>
    <s v="외식"/>
    <n v="6600"/>
    <n v="-6600"/>
    <x v="83"/>
    <m/>
  </r>
  <r>
    <x v="2076"/>
    <x v="810"/>
    <x v="3"/>
    <x v="10"/>
    <n v="22"/>
    <x v="1"/>
    <x v="1"/>
    <x v="10"/>
    <s v="선물"/>
    <n v="19900"/>
    <n v="-19900"/>
    <x v="576"/>
    <m/>
  </r>
  <r>
    <x v="2077"/>
    <x v="811"/>
    <x v="3"/>
    <x v="10"/>
    <n v="23"/>
    <x v="1"/>
    <x v="3"/>
    <x v="3"/>
    <s v="외식"/>
    <n v="9500"/>
    <n v="-9500"/>
    <x v="229"/>
    <m/>
  </r>
  <r>
    <x v="2078"/>
    <x v="811"/>
    <x v="3"/>
    <x v="10"/>
    <n v="23"/>
    <x v="1"/>
    <x v="1"/>
    <x v="13"/>
    <s v="주점"/>
    <n v="23550"/>
    <n v="-23550"/>
    <x v="394"/>
    <m/>
  </r>
  <r>
    <x v="2079"/>
    <x v="812"/>
    <x v="3"/>
    <x v="10"/>
    <n v="24"/>
    <x v="1"/>
    <x v="3"/>
    <x v="3"/>
    <s v="외식"/>
    <n v="10000"/>
    <n v="-10000"/>
    <x v="577"/>
    <m/>
  </r>
  <r>
    <x v="2080"/>
    <x v="812"/>
    <x v="3"/>
    <x v="10"/>
    <n v="24"/>
    <x v="1"/>
    <x v="1"/>
    <x v="5"/>
    <s v="커피_음료"/>
    <n v="1400"/>
    <n v="-1400"/>
    <x v="106"/>
    <m/>
  </r>
  <r>
    <x v="2081"/>
    <x v="812"/>
    <x v="3"/>
    <x v="10"/>
    <n v="24"/>
    <x v="1"/>
    <x v="3"/>
    <x v="6"/>
    <s v="마트"/>
    <n v="1000"/>
    <n v="-1000"/>
    <x v="578"/>
    <m/>
  </r>
  <r>
    <x v="2082"/>
    <x v="813"/>
    <x v="3"/>
    <x v="10"/>
    <n v="25"/>
    <x v="1"/>
    <x v="3"/>
    <x v="3"/>
    <s v="배달"/>
    <n v="4900"/>
    <n v="-4900"/>
    <x v="579"/>
    <m/>
  </r>
  <r>
    <x v="2083"/>
    <x v="813"/>
    <x v="3"/>
    <x v="10"/>
    <n v="25"/>
    <x v="1"/>
    <x v="3"/>
    <x v="6"/>
    <s v="마트"/>
    <n v="47050"/>
    <n v="-47050"/>
    <x v="382"/>
    <m/>
  </r>
  <r>
    <x v="2084"/>
    <x v="814"/>
    <x v="3"/>
    <x v="10"/>
    <n v="26"/>
    <x v="1"/>
    <x v="1"/>
    <x v="10"/>
    <s v="선물"/>
    <n v="35250"/>
    <n v="-35250"/>
    <x v="580"/>
    <s v="기프티쇼"/>
  </r>
  <r>
    <x v="2085"/>
    <x v="815"/>
    <x v="3"/>
    <x v="10"/>
    <n v="27"/>
    <x v="1"/>
    <x v="3"/>
    <x v="3"/>
    <s v="외식"/>
    <n v="6000"/>
    <n v="-6000"/>
    <x v="193"/>
    <m/>
  </r>
  <r>
    <x v="2086"/>
    <x v="816"/>
    <x v="3"/>
    <x v="10"/>
    <n v="28"/>
    <x v="1"/>
    <x v="3"/>
    <x v="3"/>
    <s v="외식"/>
    <n v="6000"/>
    <n v="-6000"/>
    <x v="193"/>
    <m/>
  </r>
  <r>
    <x v="2087"/>
    <x v="816"/>
    <x v="3"/>
    <x v="10"/>
    <n v="28"/>
    <x v="1"/>
    <x v="3"/>
    <x v="3"/>
    <s v="외식"/>
    <n v="6300"/>
    <n v="-6300"/>
    <x v="83"/>
    <m/>
  </r>
  <r>
    <x v="2088"/>
    <x v="817"/>
    <x v="3"/>
    <x v="10"/>
    <n v="29"/>
    <x v="1"/>
    <x v="1"/>
    <x v="10"/>
    <s v="선물"/>
    <n v="3000"/>
    <n v="-3000"/>
    <x v="581"/>
    <s v="네잎클로버"/>
  </r>
  <r>
    <x v="2089"/>
    <x v="818"/>
    <x v="3"/>
    <x v="10"/>
    <n v="30"/>
    <x v="1"/>
    <x v="3"/>
    <x v="8"/>
    <s v="헤어샵"/>
    <n v="15000"/>
    <n v="-15000"/>
    <x v="95"/>
    <m/>
  </r>
  <r>
    <x v="2090"/>
    <x v="818"/>
    <x v="3"/>
    <x v="10"/>
    <n v="30"/>
    <x v="1"/>
    <x v="1"/>
    <x v="5"/>
    <s v="커피_음료"/>
    <n v="1800"/>
    <n v="-1800"/>
    <x v="106"/>
    <m/>
  </r>
  <r>
    <x v="2091"/>
    <x v="818"/>
    <x v="3"/>
    <x v="10"/>
    <n v="30"/>
    <x v="1"/>
    <x v="1"/>
    <x v="5"/>
    <s v="커피_음료"/>
    <n v="3450"/>
    <n v="-3450"/>
    <x v="582"/>
    <m/>
  </r>
  <r>
    <x v="2092"/>
    <x v="819"/>
    <x v="3"/>
    <x v="10"/>
    <n v="31"/>
    <x v="1"/>
    <x v="1"/>
    <x v="3"/>
    <s v="외식"/>
    <n v="5500"/>
    <n v="-5500"/>
    <x v="583"/>
    <m/>
  </r>
  <r>
    <x v="2093"/>
    <x v="819"/>
    <x v="3"/>
    <x v="10"/>
    <n v="31"/>
    <x v="1"/>
    <x v="1"/>
    <x v="5"/>
    <s v="커피_음료"/>
    <n v="5400"/>
    <n v="-5400"/>
    <x v="211"/>
    <m/>
  </r>
  <r>
    <x v="2094"/>
    <x v="819"/>
    <x v="3"/>
    <x v="10"/>
    <n v="31"/>
    <x v="1"/>
    <x v="1"/>
    <x v="16"/>
    <s v="숙박비"/>
    <n v="12500"/>
    <n v="-12500"/>
    <x v="584"/>
    <m/>
  </r>
  <r>
    <x v="2095"/>
    <x v="819"/>
    <x v="3"/>
    <x v="10"/>
    <n v="31"/>
    <x v="1"/>
    <x v="1"/>
    <x v="3"/>
    <s v="외식"/>
    <n v="11000"/>
    <n v="-11000"/>
    <x v="585"/>
    <m/>
  </r>
  <r>
    <x v="2096"/>
    <x v="819"/>
    <x v="3"/>
    <x v="10"/>
    <n v="31"/>
    <x v="8"/>
    <x v="4"/>
    <x v="4"/>
    <s v="서비스구독"/>
    <n v="10140"/>
    <n v="-10140"/>
    <x v="84"/>
    <m/>
  </r>
  <r>
    <x v="2097"/>
    <x v="820"/>
    <x v="3"/>
    <x v="11"/>
    <n v="1"/>
    <x v="1"/>
    <x v="5"/>
    <x v="9"/>
    <s v="용돈"/>
    <n v="-600000"/>
    <n v="600000"/>
    <x v="58"/>
    <s v="6월 생활비"/>
  </r>
  <r>
    <x v="2098"/>
    <x v="820"/>
    <x v="3"/>
    <x v="11"/>
    <n v="1"/>
    <x v="1"/>
    <x v="3"/>
    <x v="3"/>
    <s v="배달"/>
    <n v="7300"/>
    <n v="-7300"/>
    <x v="579"/>
    <m/>
  </r>
  <r>
    <x v="2099"/>
    <x v="820"/>
    <x v="3"/>
    <x v="11"/>
    <n v="1"/>
    <x v="1"/>
    <x v="3"/>
    <x v="3"/>
    <s v="배달"/>
    <n v="8900"/>
    <n v="-8900"/>
    <x v="579"/>
    <m/>
  </r>
  <r>
    <x v="2100"/>
    <x v="821"/>
    <x v="3"/>
    <x v="11"/>
    <n v="2"/>
    <x v="1"/>
    <x v="3"/>
    <x v="3"/>
    <s v="외식"/>
    <n v="4000"/>
    <n v="-4000"/>
    <x v="83"/>
    <m/>
  </r>
  <r>
    <x v="2101"/>
    <x v="821"/>
    <x v="3"/>
    <x v="11"/>
    <n v="2"/>
    <x v="1"/>
    <x v="1"/>
    <x v="6"/>
    <s v="편의점"/>
    <n v="7210"/>
    <n v="-7210"/>
    <x v="10"/>
    <m/>
  </r>
  <r>
    <x v="2102"/>
    <x v="821"/>
    <x v="3"/>
    <x v="11"/>
    <n v="2"/>
    <x v="1"/>
    <x v="3"/>
    <x v="3"/>
    <s v="외식"/>
    <n v="11800"/>
    <n v="-11800"/>
    <x v="215"/>
    <m/>
  </r>
  <r>
    <x v="2103"/>
    <x v="822"/>
    <x v="3"/>
    <x v="11"/>
    <n v="3"/>
    <x v="1"/>
    <x v="1"/>
    <x v="12"/>
    <s v="영화"/>
    <n v="14610"/>
    <n v="-14610"/>
    <x v="312"/>
    <m/>
  </r>
  <r>
    <x v="2104"/>
    <x v="823"/>
    <x v="3"/>
    <x v="11"/>
    <n v="4"/>
    <x v="1"/>
    <x v="3"/>
    <x v="3"/>
    <s v="외식"/>
    <n v="6000"/>
    <n v="-6000"/>
    <x v="193"/>
    <m/>
  </r>
  <r>
    <x v="2105"/>
    <x v="824"/>
    <x v="3"/>
    <x v="11"/>
    <n v="5"/>
    <x v="1"/>
    <x v="3"/>
    <x v="3"/>
    <s v="외식"/>
    <n v="6000"/>
    <n v="-6000"/>
    <x v="193"/>
    <m/>
  </r>
  <r>
    <x v="2106"/>
    <x v="824"/>
    <x v="3"/>
    <x v="11"/>
    <n v="5"/>
    <x v="1"/>
    <x v="1"/>
    <x v="7"/>
    <s v="대중교통"/>
    <n v="22640"/>
    <n v="-22640"/>
    <x v="33"/>
    <m/>
  </r>
  <r>
    <x v="2107"/>
    <x v="824"/>
    <x v="3"/>
    <x v="11"/>
    <n v="5"/>
    <x v="1"/>
    <x v="1"/>
    <x v="10"/>
    <s v="부조금"/>
    <n v="50000"/>
    <n v="-50000"/>
    <x v="586"/>
    <m/>
  </r>
  <r>
    <x v="2108"/>
    <x v="824"/>
    <x v="3"/>
    <x v="11"/>
    <n v="5"/>
    <x v="1"/>
    <x v="1"/>
    <x v="4"/>
    <s v="수수료"/>
    <n v="1000"/>
    <n v="-1000"/>
    <x v="305"/>
    <m/>
  </r>
  <r>
    <x v="2109"/>
    <x v="825"/>
    <x v="3"/>
    <x v="11"/>
    <n v="6"/>
    <x v="1"/>
    <x v="1"/>
    <x v="5"/>
    <s v="디저트_빵"/>
    <n v="2000"/>
    <n v="-2000"/>
    <x v="312"/>
    <s v="팝콘"/>
  </r>
  <r>
    <x v="2110"/>
    <x v="825"/>
    <x v="3"/>
    <x v="11"/>
    <n v="6"/>
    <x v="1"/>
    <x v="1"/>
    <x v="3"/>
    <s v="외식"/>
    <n v="18000"/>
    <n v="-18000"/>
    <x v="587"/>
    <m/>
  </r>
  <r>
    <x v="2111"/>
    <x v="825"/>
    <x v="3"/>
    <x v="11"/>
    <n v="6"/>
    <x v="1"/>
    <x v="1"/>
    <x v="5"/>
    <s v="커피_음료"/>
    <n v="3500"/>
    <n v="-3500"/>
    <x v="588"/>
    <m/>
  </r>
  <r>
    <x v="2112"/>
    <x v="826"/>
    <x v="3"/>
    <x v="11"/>
    <n v="8"/>
    <x v="1"/>
    <x v="0"/>
    <x v="0"/>
    <s v="내계좌이체"/>
    <n v="10000"/>
    <n v="-10000"/>
    <x v="542"/>
    <m/>
  </r>
  <r>
    <x v="2113"/>
    <x v="826"/>
    <x v="3"/>
    <x v="11"/>
    <n v="8"/>
    <x v="8"/>
    <x v="0"/>
    <x v="0"/>
    <s v="내계좌이체"/>
    <n v="-10000"/>
    <n v="10000"/>
    <x v="542"/>
    <m/>
  </r>
  <r>
    <x v="2114"/>
    <x v="826"/>
    <x v="3"/>
    <x v="11"/>
    <n v="8"/>
    <x v="1"/>
    <x v="1"/>
    <x v="3"/>
    <s v="외식"/>
    <n v="17000"/>
    <n v="-17000"/>
    <x v="589"/>
    <m/>
  </r>
  <r>
    <x v="2115"/>
    <x v="826"/>
    <x v="3"/>
    <x v="11"/>
    <n v="8"/>
    <x v="1"/>
    <x v="1"/>
    <x v="7"/>
    <s v="택시"/>
    <n v="1500"/>
    <n v="-1500"/>
    <x v="465"/>
    <m/>
  </r>
  <r>
    <x v="2116"/>
    <x v="826"/>
    <x v="3"/>
    <x v="11"/>
    <n v="8"/>
    <x v="1"/>
    <x v="1"/>
    <x v="5"/>
    <s v="아이스크림_빙수"/>
    <n v="6000"/>
    <n v="-6000"/>
    <x v="273"/>
    <m/>
  </r>
  <r>
    <x v="2117"/>
    <x v="826"/>
    <x v="3"/>
    <x v="11"/>
    <n v="8"/>
    <x v="8"/>
    <x v="1"/>
    <x v="4"/>
    <s v="서비스구독"/>
    <n v="9000"/>
    <n v="-9000"/>
    <x v="590"/>
    <s v="코파일럿 프리미엄"/>
  </r>
  <r>
    <x v="2118"/>
    <x v="827"/>
    <x v="3"/>
    <x v="11"/>
    <n v="9"/>
    <x v="1"/>
    <x v="4"/>
    <x v="18"/>
    <s v="가스비"/>
    <n v="18000"/>
    <n v="-18000"/>
    <x v="404"/>
    <m/>
  </r>
  <r>
    <x v="2119"/>
    <x v="827"/>
    <x v="3"/>
    <x v="11"/>
    <n v="9"/>
    <x v="1"/>
    <x v="3"/>
    <x v="3"/>
    <s v="외식"/>
    <n v="6000"/>
    <n v="-6000"/>
    <x v="193"/>
    <m/>
  </r>
  <r>
    <x v="2120"/>
    <x v="827"/>
    <x v="3"/>
    <x v="11"/>
    <n v="9"/>
    <x v="1"/>
    <x v="1"/>
    <x v="6"/>
    <s v="편의점"/>
    <n v="9760"/>
    <n v="-9760"/>
    <x v="10"/>
    <m/>
  </r>
  <r>
    <x v="2121"/>
    <x v="827"/>
    <x v="3"/>
    <x v="11"/>
    <n v="9"/>
    <x v="1"/>
    <x v="1"/>
    <x v="4"/>
    <s v="수수료"/>
    <n v="1000"/>
    <n v="-1000"/>
    <x v="591"/>
    <m/>
  </r>
  <r>
    <x v="2122"/>
    <x v="828"/>
    <x v="3"/>
    <x v="11"/>
    <n v="10"/>
    <x v="1"/>
    <x v="3"/>
    <x v="3"/>
    <s v="외식"/>
    <n v="5000"/>
    <n v="-5000"/>
    <x v="193"/>
    <m/>
  </r>
  <r>
    <x v="2123"/>
    <x v="828"/>
    <x v="3"/>
    <x v="11"/>
    <n v="10"/>
    <x v="1"/>
    <x v="3"/>
    <x v="3"/>
    <s v="외식"/>
    <n v="6000"/>
    <n v="-6000"/>
    <x v="193"/>
    <m/>
  </r>
  <r>
    <x v="2124"/>
    <x v="828"/>
    <x v="3"/>
    <x v="11"/>
    <n v="10"/>
    <x v="1"/>
    <x v="1"/>
    <x v="6"/>
    <s v="편의점"/>
    <n v="6300"/>
    <n v="-6300"/>
    <x v="10"/>
    <m/>
  </r>
  <r>
    <x v="2125"/>
    <x v="829"/>
    <x v="3"/>
    <x v="11"/>
    <n v="11"/>
    <x v="1"/>
    <x v="1"/>
    <x v="5"/>
    <s v="베이커리"/>
    <n v="6700"/>
    <n v="-6700"/>
    <x v="441"/>
    <m/>
  </r>
  <r>
    <x v="2126"/>
    <x v="829"/>
    <x v="3"/>
    <x v="11"/>
    <n v="11"/>
    <x v="1"/>
    <x v="1"/>
    <x v="4"/>
    <s v="인터넷쇼핑"/>
    <n v="77000"/>
    <n v="-77000"/>
    <x v="592"/>
    <s v="2주년 선물"/>
  </r>
  <r>
    <x v="2127"/>
    <x v="830"/>
    <x v="3"/>
    <x v="11"/>
    <n v="12"/>
    <x v="1"/>
    <x v="3"/>
    <x v="3"/>
    <s v="외식"/>
    <n v="3600"/>
    <n v="-3600"/>
    <x v="83"/>
    <m/>
  </r>
  <r>
    <x v="2128"/>
    <x v="830"/>
    <x v="3"/>
    <x v="11"/>
    <n v="12"/>
    <x v="1"/>
    <x v="3"/>
    <x v="3"/>
    <s v="외식"/>
    <n v="6000"/>
    <n v="-6000"/>
    <x v="193"/>
    <m/>
  </r>
  <r>
    <x v="2129"/>
    <x v="830"/>
    <x v="3"/>
    <x v="11"/>
    <n v="12"/>
    <x v="1"/>
    <x v="1"/>
    <x v="6"/>
    <s v="편의점"/>
    <n v="1980"/>
    <n v="-1980"/>
    <x v="10"/>
    <m/>
  </r>
  <r>
    <x v="2130"/>
    <x v="831"/>
    <x v="3"/>
    <x v="11"/>
    <n v="13"/>
    <x v="1"/>
    <x v="3"/>
    <x v="3"/>
    <s v="외식"/>
    <n v="6000"/>
    <n v="-6000"/>
    <x v="193"/>
    <m/>
  </r>
  <r>
    <x v="2131"/>
    <x v="832"/>
    <x v="3"/>
    <x v="11"/>
    <n v="14"/>
    <x v="1"/>
    <x v="3"/>
    <x v="3"/>
    <s v="외식"/>
    <n v="8500"/>
    <n v="-8500"/>
    <x v="254"/>
    <m/>
  </r>
  <r>
    <x v="2132"/>
    <x v="833"/>
    <x v="3"/>
    <x v="11"/>
    <n v="15"/>
    <x v="1"/>
    <x v="3"/>
    <x v="3"/>
    <s v="배달"/>
    <n v="9800"/>
    <n v="-9800"/>
    <x v="579"/>
    <m/>
  </r>
  <r>
    <x v="2133"/>
    <x v="834"/>
    <x v="3"/>
    <x v="11"/>
    <n v="16"/>
    <x v="1"/>
    <x v="3"/>
    <x v="3"/>
    <s v="배달"/>
    <n v="8900"/>
    <n v="-8900"/>
    <x v="579"/>
    <m/>
  </r>
  <r>
    <x v="2134"/>
    <x v="835"/>
    <x v="3"/>
    <x v="11"/>
    <n v="17"/>
    <x v="1"/>
    <x v="1"/>
    <x v="10"/>
    <s v="선물"/>
    <n v="2000"/>
    <n v="-2000"/>
    <x v="345"/>
    <m/>
  </r>
  <r>
    <x v="2135"/>
    <x v="835"/>
    <x v="3"/>
    <x v="11"/>
    <n v="17"/>
    <x v="1"/>
    <x v="1"/>
    <x v="5"/>
    <s v="베이커리"/>
    <n v="9500"/>
    <n v="-9500"/>
    <x v="441"/>
    <m/>
  </r>
  <r>
    <x v="2136"/>
    <x v="835"/>
    <x v="3"/>
    <x v="11"/>
    <n v="17"/>
    <x v="1"/>
    <x v="1"/>
    <x v="6"/>
    <s v="편의점"/>
    <n v="1400"/>
    <n v="-1400"/>
    <x v="206"/>
    <m/>
  </r>
  <r>
    <x v="2137"/>
    <x v="835"/>
    <x v="3"/>
    <x v="11"/>
    <n v="17"/>
    <x v="1"/>
    <x v="3"/>
    <x v="3"/>
    <s v="외식"/>
    <n v="6000"/>
    <n v="-6000"/>
    <x v="193"/>
    <m/>
  </r>
  <r>
    <x v="2138"/>
    <x v="835"/>
    <x v="3"/>
    <x v="11"/>
    <n v="17"/>
    <x v="1"/>
    <x v="3"/>
    <x v="3"/>
    <s v="외식"/>
    <n v="6000"/>
    <n v="-6000"/>
    <x v="193"/>
    <m/>
  </r>
  <r>
    <x v="2139"/>
    <x v="836"/>
    <x v="3"/>
    <x v="11"/>
    <n v="19"/>
    <x v="1"/>
    <x v="4"/>
    <x v="18"/>
    <s v="전기세"/>
    <n v="34980"/>
    <n v="-34980"/>
    <x v="414"/>
    <m/>
  </r>
  <r>
    <x v="2140"/>
    <x v="836"/>
    <x v="3"/>
    <x v="11"/>
    <n v="19"/>
    <x v="1"/>
    <x v="1"/>
    <x v="3"/>
    <s v="외식"/>
    <n v="12600"/>
    <n v="-12600"/>
    <x v="593"/>
    <m/>
  </r>
  <r>
    <x v="2141"/>
    <x v="836"/>
    <x v="3"/>
    <x v="11"/>
    <n v="19"/>
    <x v="1"/>
    <x v="1"/>
    <x v="5"/>
    <s v="아이스크림_빙수"/>
    <n v="3600"/>
    <n v="-3600"/>
    <x v="514"/>
    <s v=" "/>
  </r>
  <r>
    <x v="2142"/>
    <x v="837"/>
    <x v="3"/>
    <x v="11"/>
    <n v="20"/>
    <x v="1"/>
    <x v="2"/>
    <x v="2"/>
    <s v="기타수입"/>
    <n v="-10000"/>
    <n v="10000"/>
    <x v="15"/>
    <m/>
  </r>
  <r>
    <x v="2143"/>
    <x v="837"/>
    <x v="3"/>
    <x v="11"/>
    <n v="20"/>
    <x v="1"/>
    <x v="1"/>
    <x v="3"/>
    <s v="외식"/>
    <n v="24000"/>
    <n v="-24000"/>
    <x v="594"/>
    <m/>
  </r>
  <r>
    <x v="2144"/>
    <x v="838"/>
    <x v="3"/>
    <x v="11"/>
    <n v="21"/>
    <x v="1"/>
    <x v="3"/>
    <x v="3"/>
    <s v="배달"/>
    <n v="7900"/>
    <n v="-7900"/>
    <x v="579"/>
    <m/>
  </r>
  <r>
    <x v="2145"/>
    <x v="839"/>
    <x v="3"/>
    <x v="11"/>
    <n v="22"/>
    <x v="1"/>
    <x v="3"/>
    <x v="3"/>
    <s v="배달"/>
    <n v="5900"/>
    <n v="-5900"/>
    <x v="579"/>
    <m/>
  </r>
  <r>
    <x v="2146"/>
    <x v="840"/>
    <x v="3"/>
    <x v="11"/>
    <n v="23"/>
    <x v="1"/>
    <x v="3"/>
    <x v="3"/>
    <s v="배달"/>
    <n v="6900"/>
    <n v="-6900"/>
    <x v="579"/>
    <m/>
  </r>
  <r>
    <x v="2147"/>
    <x v="840"/>
    <x v="3"/>
    <x v="11"/>
    <n v="23"/>
    <x v="1"/>
    <x v="4"/>
    <x v="18"/>
    <s v="휴대폰"/>
    <n v="5400"/>
    <n v="-5400"/>
    <x v="511"/>
    <m/>
  </r>
  <r>
    <x v="2148"/>
    <x v="840"/>
    <x v="3"/>
    <x v="11"/>
    <n v="23"/>
    <x v="1"/>
    <x v="2"/>
    <x v="2"/>
    <s v="기타수입"/>
    <n v="-1"/>
    <n v="1"/>
    <x v="124"/>
    <m/>
  </r>
  <r>
    <x v="2149"/>
    <x v="841"/>
    <x v="3"/>
    <x v="11"/>
    <n v="24"/>
    <x v="1"/>
    <x v="1"/>
    <x v="5"/>
    <s v="커피_음료"/>
    <n v="900"/>
    <n v="-900"/>
    <x v="106"/>
    <m/>
  </r>
  <r>
    <x v="2150"/>
    <x v="842"/>
    <x v="3"/>
    <x v="11"/>
    <n v="26"/>
    <x v="1"/>
    <x v="3"/>
    <x v="3"/>
    <s v="외식"/>
    <n v="13900"/>
    <n v="-13900"/>
    <x v="83"/>
    <m/>
  </r>
  <r>
    <x v="2151"/>
    <x v="842"/>
    <x v="3"/>
    <x v="11"/>
    <n v="26"/>
    <x v="1"/>
    <x v="2"/>
    <x v="2"/>
    <s v="금융수입"/>
    <n v="-2180"/>
    <n v="2180"/>
    <x v="85"/>
    <s v="스벅 환급"/>
  </r>
  <r>
    <x v="2152"/>
    <x v="843"/>
    <x v="3"/>
    <x v="11"/>
    <n v="27"/>
    <x v="1"/>
    <x v="1"/>
    <x v="16"/>
    <s v="기념품"/>
    <n v="47000"/>
    <n v="-47000"/>
    <x v="175"/>
    <m/>
  </r>
  <r>
    <x v="2153"/>
    <x v="844"/>
    <x v="3"/>
    <x v="11"/>
    <n v="29"/>
    <x v="1"/>
    <x v="1"/>
    <x v="3"/>
    <s v="외식"/>
    <n v="9900"/>
    <n v="-9900"/>
    <x v="13"/>
    <m/>
  </r>
  <r>
    <x v="2154"/>
    <x v="845"/>
    <x v="3"/>
    <x v="11"/>
    <n v="30"/>
    <x v="1"/>
    <x v="0"/>
    <x v="0"/>
    <s v="내계좌이체"/>
    <n v="10000"/>
    <n v="-10000"/>
    <x v="555"/>
    <m/>
  </r>
  <r>
    <x v="2155"/>
    <x v="845"/>
    <x v="3"/>
    <x v="11"/>
    <n v="30"/>
    <x v="8"/>
    <x v="0"/>
    <x v="0"/>
    <s v="내계좌이체"/>
    <n v="-10000"/>
    <n v="10000"/>
    <x v="555"/>
    <m/>
  </r>
  <r>
    <x v="2156"/>
    <x v="845"/>
    <x v="3"/>
    <x v="11"/>
    <n v="30"/>
    <x v="1"/>
    <x v="1"/>
    <x v="3"/>
    <s v="외식"/>
    <n v="14300"/>
    <n v="-14300"/>
    <x v="595"/>
    <m/>
  </r>
  <r>
    <x v="2157"/>
    <x v="846"/>
    <x v="3"/>
    <x v="0"/>
    <n v="1"/>
    <x v="1"/>
    <x v="5"/>
    <x v="9"/>
    <s v="용돈"/>
    <n v="-600000"/>
    <n v="600000"/>
    <x v="58"/>
    <s v="7월 생활비"/>
  </r>
  <r>
    <x v="2158"/>
    <x v="847"/>
    <x v="3"/>
    <x v="0"/>
    <n v="2"/>
    <x v="1"/>
    <x v="1"/>
    <x v="3"/>
    <s v="외식"/>
    <n v="11000"/>
    <n v="-11000"/>
    <x v="596"/>
    <m/>
  </r>
  <r>
    <x v="2159"/>
    <x v="847"/>
    <x v="3"/>
    <x v="0"/>
    <n v="2"/>
    <x v="1"/>
    <x v="1"/>
    <x v="5"/>
    <s v="커피_음료"/>
    <n v="6600"/>
    <n v="-6600"/>
    <x v="211"/>
    <m/>
  </r>
  <r>
    <x v="2160"/>
    <x v="848"/>
    <x v="3"/>
    <x v="0"/>
    <n v="3"/>
    <x v="1"/>
    <x v="3"/>
    <x v="8"/>
    <s v="헤어샵"/>
    <n v="15000"/>
    <n v="-15000"/>
    <x v="95"/>
    <m/>
  </r>
  <r>
    <x v="2161"/>
    <x v="848"/>
    <x v="3"/>
    <x v="0"/>
    <n v="3"/>
    <x v="1"/>
    <x v="1"/>
    <x v="7"/>
    <s v="대중교통"/>
    <n v="22080"/>
    <n v="-22080"/>
    <x v="33"/>
    <m/>
  </r>
  <r>
    <x v="2162"/>
    <x v="849"/>
    <x v="3"/>
    <x v="0"/>
    <n v="4"/>
    <x v="1"/>
    <x v="1"/>
    <x v="4"/>
    <s v="인터넷쇼핑"/>
    <n v="34900"/>
    <n v="-34900"/>
    <x v="427"/>
    <s v="노트북거치대"/>
  </r>
  <r>
    <x v="2163"/>
    <x v="850"/>
    <x v="3"/>
    <x v="0"/>
    <n v="5"/>
    <x v="1"/>
    <x v="3"/>
    <x v="3"/>
    <s v="배달"/>
    <n v="2900"/>
    <n v="-2900"/>
    <x v="579"/>
    <m/>
  </r>
  <r>
    <x v="2164"/>
    <x v="850"/>
    <x v="3"/>
    <x v="0"/>
    <n v="5"/>
    <x v="1"/>
    <x v="1"/>
    <x v="3"/>
    <s v="외식"/>
    <n v="10000"/>
    <n v="-10000"/>
    <x v="597"/>
    <m/>
  </r>
  <r>
    <x v="2165"/>
    <x v="850"/>
    <x v="3"/>
    <x v="0"/>
    <n v="5"/>
    <x v="1"/>
    <x v="1"/>
    <x v="5"/>
    <s v="커피_음료"/>
    <n v="7100"/>
    <n v="-7100"/>
    <x v="598"/>
    <m/>
  </r>
  <r>
    <x v="2166"/>
    <x v="850"/>
    <x v="3"/>
    <x v="0"/>
    <n v="5"/>
    <x v="1"/>
    <x v="1"/>
    <x v="12"/>
    <s v="테마파크"/>
    <n v="16500"/>
    <n v="-16500"/>
    <x v="96"/>
    <s v="입장료, 체크할인 포함"/>
  </r>
  <r>
    <x v="2167"/>
    <x v="850"/>
    <x v="3"/>
    <x v="0"/>
    <n v="5"/>
    <x v="1"/>
    <x v="1"/>
    <x v="5"/>
    <s v="디저트_빵"/>
    <n v="10500"/>
    <n v="-10500"/>
    <x v="96"/>
    <s v="간식"/>
  </r>
  <r>
    <x v="2168"/>
    <x v="851"/>
    <x v="3"/>
    <x v="0"/>
    <n v="7"/>
    <x v="1"/>
    <x v="3"/>
    <x v="3"/>
    <s v="외식"/>
    <n v="8000"/>
    <n v="-8000"/>
    <x v="207"/>
    <m/>
  </r>
  <r>
    <x v="2169"/>
    <x v="851"/>
    <x v="3"/>
    <x v="0"/>
    <n v="7"/>
    <x v="1"/>
    <x v="3"/>
    <x v="3"/>
    <s v="외식"/>
    <n v="9000"/>
    <n v="-9000"/>
    <x v="360"/>
    <m/>
  </r>
  <r>
    <x v="2170"/>
    <x v="851"/>
    <x v="3"/>
    <x v="0"/>
    <n v="7"/>
    <x v="1"/>
    <x v="1"/>
    <x v="6"/>
    <s v="편의점"/>
    <n v="18800"/>
    <n v="-18800"/>
    <x v="10"/>
    <s v="하겐다즈 이체 포함"/>
  </r>
  <r>
    <x v="2171"/>
    <x v="852"/>
    <x v="3"/>
    <x v="0"/>
    <n v="8"/>
    <x v="1"/>
    <x v="3"/>
    <x v="6"/>
    <s v="마트"/>
    <n v="53850"/>
    <n v="-53850"/>
    <x v="501"/>
    <m/>
  </r>
  <r>
    <x v="2172"/>
    <x v="852"/>
    <x v="3"/>
    <x v="0"/>
    <n v="8"/>
    <x v="1"/>
    <x v="1"/>
    <x v="3"/>
    <s v="외식"/>
    <n v="4500"/>
    <n v="-4500"/>
    <x v="599"/>
    <m/>
  </r>
  <r>
    <x v="2173"/>
    <x v="852"/>
    <x v="3"/>
    <x v="0"/>
    <n v="8"/>
    <x v="1"/>
    <x v="1"/>
    <x v="6"/>
    <s v="마트"/>
    <n v="3000"/>
    <n v="-3000"/>
    <x v="98"/>
    <m/>
  </r>
  <r>
    <x v="2174"/>
    <x v="852"/>
    <x v="3"/>
    <x v="0"/>
    <n v="8"/>
    <x v="1"/>
    <x v="1"/>
    <x v="5"/>
    <s v="커피_음료"/>
    <n v="5200"/>
    <n v="-5200"/>
    <x v="29"/>
    <m/>
  </r>
  <r>
    <x v="2175"/>
    <x v="853"/>
    <x v="3"/>
    <x v="0"/>
    <n v="9"/>
    <x v="1"/>
    <x v="4"/>
    <x v="18"/>
    <s v="가스비"/>
    <n v="12760"/>
    <n v="-12760"/>
    <x v="404"/>
    <m/>
  </r>
  <r>
    <x v="2176"/>
    <x v="854"/>
    <x v="3"/>
    <x v="0"/>
    <n v="10"/>
    <x v="1"/>
    <x v="1"/>
    <x v="6"/>
    <s v="편의점"/>
    <n v="1500"/>
    <n v="-1500"/>
    <x v="206"/>
    <m/>
  </r>
  <r>
    <x v="2177"/>
    <x v="855"/>
    <x v="3"/>
    <x v="0"/>
    <n v="11"/>
    <x v="1"/>
    <x v="3"/>
    <x v="3"/>
    <s v="외식"/>
    <n v="6500"/>
    <n v="-6500"/>
    <x v="198"/>
    <m/>
  </r>
  <r>
    <x v="2178"/>
    <x v="855"/>
    <x v="3"/>
    <x v="0"/>
    <n v="11"/>
    <x v="1"/>
    <x v="1"/>
    <x v="6"/>
    <s v="편의점"/>
    <n v="20500"/>
    <n v="-20500"/>
    <x v="10"/>
    <m/>
  </r>
  <r>
    <x v="2179"/>
    <x v="856"/>
    <x v="3"/>
    <x v="0"/>
    <n v="12"/>
    <x v="1"/>
    <x v="1"/>
    <x v="6"/>
    <s v="편의점"/>
    <n v="30340"/>
    <n v="-30340"/>
    <x v="10"/>
    <s v="수박"/>
  </r>
  <r>
    <x v="2180"/>
    <x v="857"/>
    <x v="3"/>
    <x v="0"/>
    <n v="14"/>
    <x v="1"/>
    <x v="3"/>
    <x v="6"/>
    <s v="마트"/>
    <n v="38130"/>
    <n v="-38130"/>
    <x v="501"/>
    <m/>
  </r>
  <r>
    <x v="2181"/>
    <x v="858"/>
    <x v="3"/>
    <x v="0"/>
    <n v="15"/>
    <x v="1"/>
    <x v="1"/>
    <x v="6"/>
    <s v="편의점"/>
    <n v="3300"/>
    <n v="-3300"/>
    <x v="10"/>
    <m/>
  </r>
  <r>
    <x v="2182"/>
    <x v="859"/>
    <x v="3"/>
    <x v="0"/>
    <n v="16"/>
    <x v="1"/>
    <x v="1"/>
    <x v="3"/>
    <s v="외식"/>
    <n v="13000"/>
    <n v="-13000"/>
    <x v="600"/>
    <m/>
  </r>
  <r>
    <x v="2183"/>
    <x v="859"/>
    <x v="3"/>
    <x v="0"/>
    <n v="16"/>
    <x v="1"/>
    <x v="1"/>
    <x v="6"/>
    <s v="전자제품"/>
    <n v="36993"/>
    <n v="-36993"/>
    <x v="373"/>
    <s v="키보드, 체크할인 포함"/>
  </r>
  <r>
    <x v="2184"/>
    <x v="860"/>
    <x v="3"/>
    <x v="0"/>
    <n v="18"/>
    <x v="1"/>
    <x v="1"/>
    <x v="12"/>
    <s v="취미"/>
    <n v="2000"/>
    <n v="-2000"/>
    <x v="279"/>
    <m/>
  </r>
  <r>
    <x v="2185"/>
    <x v="861"/>
    <x v="3"/>
    <x v="0"/>
    <n v="19"/>
    <x v="1"/>
    <x v="1"/>
    <x v="3"/>
    <s v="외식"/>
    <n v="6750"/>
    <n v="-6750"/>
    <x v="563"/>
    <m/>
  </r>
  <r>
    <x v="2186"/>
    <x v="861"/>
    <x v="3"/>
    <x v="0"/>
    <n v="19"/>
    <x v="1"/>
    <x v="1"/>
    <x v="1"/>
    <s v="주차"/>
    <n v="3300"/>
    <n v="-3300"/>
    <x v="275"/>
    <m/>
  </r>
  <r>
    <x v="2187"/>
    <x v="861"/>
    <x v="3"/>
    <x v="0"/>
    <n v="19"/>
    <x v="1"/>
    <x v="1"/>
    <x v="3"/>
    <s v="외식"/>
    <n v="17400"/>
    <n v="-17400"/>
    <x v="601"/>
    <m/>
  </r>
  <r>
    <x v="2188"/>
    <x v="861"/>
    <x v="3"/>
    <x v="0"/>
    <n v="19"/>
    <x v="1"/>
    <x v="1"/>
    <x v="1"/>
    <s v="주유"/>
    <n v="70000"/>
    <n v="-70000"/>
    <x v="186"/>
    <m/>
  </r>
  <r>
    <x v="2189"/>
    <x v="862"/>
    <x v="3"/>
    <x v="0"/>
    <n v="20"/>
    <x v="1"/>
    <x v="1"/>
    <x v="16"/>
    <s v="숙박비"/>
    <n v="12000"/>
    <n v="-12000"/>
    <x v="584"/>
    <m/>
  </r>
  <r>
    <x v="2190"/>
    <x v="862"/>
    <x v="3"/>
    <x v="0"/>
    <n v="20"/>
    <x v="1"/>
    <x v="1"/>
    <x v="13"/>
    <s v="주점"/>
    <n v="25650"/>
    <n v="-25650"/>
    <x v="495"/>
    <m/>
  </r>
  <r>
    <x v="2191"/>
    <x v="862"/>
    <x v="3"/>
    <x v="0"/>
    <n v="20"/>
    <x v="1"/>
    <x v="1"/>
    <x v="6"/>
    <s v="마트"/>
    <n v="2500"/>
    <n v="-2500"/>
    <x v="98"/>
    <s v="배드민턴채"/>
  </r>
  <r>
    <x v="2192"/>
    <x v="862"/>
    <x v="3"/>
    <x v="0"/>
    <n v="20"/>
    <x v="1"/>
    <x v="1"/>
    <x v="6"/>
    <s v="마트"/>
    <n v="4500"/>
    <n v="-4500"/>
    <x v="263"/>
    <m/>
  </r>
  <r>
    <x v="2193"/>
    <x v="863"/>
    <x v="3"/>
    <x v="0"/>
    <n v="21"/>
    <x v="1"/>
    <x v="4"/>
    <x v="18"/>
    <s v="휴대폰"/>
    <n v="5400"/>
    <n v="-5400"/>
    <x v="511"/>
    <m/>
  </r>
  <r>
    <x v="2194"/>
    <x v="863"/>
    <x v="3"/>
    <x v="0"/>
    <n v="21"/>
    <x v="1"/>
    <x v="1"/>
    <x v="15"/>
    <s v="시험료"/>
    <n v="10700"/>
    <n v="-10700"/>
    <x v="602"/>
    <s v="재학증명서 포함"/>
  </r>
  <r>
    <x v="2195"/>
    <x v="863"/>
    <x v="3"/>
    <x v="0"/>
    <n v="21"/>
    <x v="1"/>
    <x v="1"/>
    <x v="15"/>
    <s v="시험료"/>
    <n v="69000"/>
    <n v="-69000"/>
    <x v="603"/>
    <m/>
  </r>
  <r>
    <x v="2196"/>
    <x v="863"/>
    <x v="3"/>
    <x v="0"/>
    <n v="21"/>
    <x v="1"/>
    <x v="4"/>
    <x v="18"/>
    <s v="전기세"/>
    <n v="43710"/>
    <n v="-43710"/>
    <x v="414"/>
    <m/>
  </r>
  <r>
    <x v="2197"/>
    <x v="864"/>
    <x v="3"/>
    <x v="0"/>
    <n v="23"/>
    <x v="1"/>
    <x v="1"/>
    <x v="12"/>
    <s v="게임"/>
    <n v="2600"/>
    <n v="-2600"/>
    <x v="42"/>
    <m/>
  </r>
  <r>
    <x v="2198"/>
    <x v="864"/>
    <x v="3"/>
    <x v="0"/>
    <n v="23"/>
    <x v="1"/>
    <x v="3"/>
    <x v="6"/>
    <s v="마트"/>
    <n v="34950"/>
    <n v="-34950"/>
    <x v="501"/>
    <m/>
  </r>
  <r>
    <x v="2199"/>
    <x v="865"/>
    <x v="3"/>
    <x v="0"/>
    <n v="24"/>
    <x v="1"/>
    <x v="3"/>
    <x v="3"/>
    <s v="외식"/>
    <n v="25900"/>
    <n v="-25900"/>
    <x v="604"/>
    <m/>
  </r>
  <r>
    <x v="2200"/>
    <x v="866"/>
    <x v="3"/>
    <x v="0"/>
    <n v="26"/>
    <x v="1"/>
    <x v="1"/>
    <x v="6"/>
    <s v="마트"/>
    <n v="2000"/>
    <n v="-2000"/>
    <x v="98"/>
    <m/>
  </r>
  <r>
    <x v="2201"/>
    <x v="866"/>
    <x v="3"/>
    <x v="0"/>
    <n v="26"/>
    <x v="1"/>
    <x v="3"/>
    <x v="3"/>
    <s v="외식"/>
    <n v="12000"/>
    <n v="-12000"/>
    <x v="215"/>
    <m/>
  </r>
  <r>
    <x v="2202"/>
    <x v="866"/>
    <x v="3"/>
    <x v="0"/>
    <n v="26"/>
    <x v="1"/>
    <x v="1"/>
    <x v="3"/>
    <s v="외식"/>
    <n v="7500"/>
    <n v="-7500"/>
    <x v="433"/>
    <m/>
  </r>
  <r>
    <x v="2203"/>
    <x v="867"/>
    <x v="3"/>
    <x v="0"/>
    <n v="27"/>
    <x v="1"/>
    <x v="1"/>
    <x v="3"/>
    <s v="외식"/>
    <n v="6900"/>
    <n v="-6900"/>
    <x v="570"/>
    <m/>
  </r>
  <r>
    <x v="2204"/>
    <x v="867"/>
    <x v="3"/>
    <x v="0"/>
    <n v="27"/>
    <x v="1"/>
    <x v="1"/>
    <x v="5"/>
    <s v="커피_음료"/>
    <n v="3400"/>
    <n v="-3400"/>
    <x v="460"/>
    <m/>
  </r>
  <r>
    <x v="2205"/>
    <x v="867"/>
    <x v="3"/>
    <x v="0"/>
    <n v="27"/>
    <x v="1"/>
    <x v="3"/>
    <x v="3"/>
    <s v="외식"/>
    <n v="11000"/>
    <n v="-11000"/>
    <x v="221"/>
    <m/>
  </r>
  <r>
    <x v="2206"/>
    <x v="867"/>
    <x v="3"/>
    <x v="0"/>
    <n v="27"/>
    <x v="1"/>
    <x v="1"/>
    <x v="16"/>
    <s v="숙박비"/>
    <n v="12500"/>
    <n v="-12500"/>
    <x v="584"/>
    <m/>
  </r>
  <r>
    <x v="2207"/>
    <x v="868"/>
    <x v="3"/>
    <x v="0"/>
    <n v="28"/>
    <x v="1"/>
    <x v="3"/>
    <x v="3"/>
    <s v="배달"/>
    <n v="7900"/>
    <n v="-7900"/>
    <x v="579"/>
    <s v="피자"/>
  </r>
  <r>
    <x v="2208"/>
    <x v="869"/>
    <x v="3"/>
    <x v="0"/>
    <n v="30"/>
    <x v="1"/>
    <x v="4"/>
    <x v="4"/>
    <s v="서비스구독"/>
    <n v="22800"/>
    <n v="-22800"/>
    <x v="605"/>
    <m/>
  </r>
  <r>
    <x v="2209"/>
    <x v="869"/>
    <x v="3"/>
    <x v="0"/>
    <n v="30"/>
    <x v="1"/>
    <x v="3"/>
    <x v="3"/>
    <s v="배달"/>
    <n v="7900"/>
    <n v="-7900"/>
    <x v="579"/>
    <m/>
  </r>
  <r>
    <x v="2210"/>
    <x v="870"/>
    <x v="3"/>
    <x v="0"/>
    <n v="31"/>
    <x v="1"/>
    <x v="1"/>
    <x v="5"/>
    <s v="커피_음료"/>
    <n v="9520"/>
    <n v="-9520"/>
    <x v="106"/>
    <s v="환급 2380 포함"/>
  </r>
  <r>
    <x v="2211"/>
    <x v="870"/>
    <x v="3"/>
    <x v="0"/>
    <n v="31"/>
    <x v="1"/>
    <x v="3"/>
    <x v="3"/>
    <s v="외식"/>
    <n v="6000"/>
    <n v="-6000"/>
    <x v="193"/>
    <m/>
  </r>
  <r>
    <x v="2212"/>
    <x v="871"/>
    <x v="3"/>
    <x v="1"/>
    <n v="1"/>
    <x v="1"/>
    <x v="5"/>
    <x v="9"/>
    <s v="용돈"/>
    <n v="-600000"/>
    <n v="600000"/>
    <x v="58"/>
    <s v="8월 생활비"/>
  </r>
  <r>
    <x v="2213"/>
    <x v="871"/>
    <x v="3"/>
    <x v="1"/>
    <n v="1"/>
    <x v="1"/>
    <x v="1"/>
    <x v="12"/>
    <s v="게임"/>
    <n v="6600"/>
    <n v="-6600"/>
    <x v="42"/>
    <m/>
  </r>
  <r>
    <x v="2214"/>
    <x v="872"/>
    <x v="3"/>
    <x v="1"/>
    <n v="2"/>
    <x v="1"/>
    <x v="3"/>
    <x v="8"/>
    <s v="헤어샵"/>
    <n v="15000"/>
    <n v="-15000"/>
    <x v="95"/>
    <m/>
  </r>
  <r>
    <x v="2215"/>
    <x v="872"/>
    <x v="3"/>
    <x v="1"/>
    <n v="2"/>
    <x v="1"/>
    <x v="1"/>
    <x v="4"/>
    <s v="수수료"/>
    <n v="1000"/>
    <n v="-1000"/>
    <x v="591"/>
    <m/>
  </r>
  <r>
    <x v="2216"/>
    <x v="872"/>
    <x v="3"/>
    <x v="1"/>
    <n v="2"/>
    <x v="1"/>
    <x v="1"/>
    <x v="4"/>
    <s v="서비스구독"/>
    <n v="30693"/>
    <n v="-30693"/>
    <x v="484"/>
    <s v="원드라이브 구독"/>
  </r>
  <r>
    <x v="2217"/>
    <x v="873"/>
    <x v="3"/>
    <x v="1"/>
    <n v="3"/>
    <x v="1"/>
    <x v="1"/>
    <x v="3"/>
    <s v="외식"/>
    <n v="16400"/>
    <n v="-16400"/>
    <x v="480"/>
    <m/>
  </r>
  <r>
    <x v="2218"/>
    <x v="874"/>
    <x v="3"/>
    <x v="1"/>
    <n v="5"/>
    <x v="1"/>
    <x v="3"/>
    <x v="3"/>
    <s v="배달"/>
    <n v="2900"/>
    <n v="-2900"/>
    <x v="579"/>
    <s v="구독"/>
  </r>
  <r>
    <x v="2219"/>
    <x v="874"/>
    <x v="3"/>
    <x v="1"/>
    <n v="5"/>
    <x v="1"/>
    <x v="0"/>
    <x v="0"/>
    <s v="이체"/>
    <n v="-248106"/>
    <n v="248106"/>
    <x v="606"/>
    <m/>
  </r>
  <r>
    <x v="2220"/>
    <x v="874"/>
    <x v="3"/>
    <x v="1"/>
    <n v="5"/>
    <x v="1"/>
    <x v="0"/>
    <x v="0"/>
    <s v="이체"/>
    <n v="-25400"/>
    <n v="25400"/>
    <x v="607"/>
    <s v="-------------출금 후 삭제"/>
  </r>
  <r>
    <x v="2221"/>
    <x v="874"/>
    <x v="3"/>
    <x v="1"/>
    <n v="5"/>
    <x v="1"/>
    <x v="0"/>
    <x v="0"/>
    <s v="이체"/>
    <n v="-13500"/>
    <n v="13500"/>
    <x v="608"/>
    <s v="-----출금 후 삭제"/>
  </r>
  <r>
    <x v="2222"/>
    <x v="874"/>
    <x v="3"/>
    <x v="1"/>
    <n v="5"/>
    <x v="1"/>
    <x v="3"/>
    <x v="6"/>
    <s v="마트"/>
    <n v="34100"/>
    <n v="-34100"/>
    <x v="501"/>
    <m/>
  </r>
  <r>
    <x v="2223"/>
    <x v="874"/>
    <x v="3"/>
    <x v="1"/>
    <n v="5"/>
    <x v="1"/>
    <x v="1"/>
    <x v="7"/>
    <s v="대중교통"/>
    <n v="50327"/>
    <n v="-50327"/>
    <x v="33"/>
    <m/>
  </r>
  <r>
    <x v="2224"/>
    <x v="875"/>
    <x v="3"/>
    <x v="1"/>
    <n v="7"/>
    <x v="1"/>
    <x v="3"/>
    <x v="6"/>
    <s v="편의점"/>
    <n v="3200"/>
    <n v="-3200"/>
    <x v="206"/>
    <m/>
  </r>
  <r>
    <x v="2225"/>
    <x v="876"/>
    <x v="3"/>
    <x v="1"/>
    <n v="9"/>
    <x v="1"/>
    <x v="2"/>
    <x v="2"/>
    <s v="금융수입"/>
    <n v="-241"/>
    <n v="241"/>
    <x v="36"/>
    <m/>
  </r>
  <r>
    <x v="2226"/>
    <x v="877"/>
    <x v="4"/>
    <x v="12"/>
    <m/>
    <x v="9"/>
    <x v="6"/>
    <x v="19"/>
    <m/>
    <m/>
    <m/>
    <x v="60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B71E8C-ADFB-4DDC-B1C9-0BA1B00FA854}" name="소비TOP10"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4:J25" firstHeaderRow="1" firstDataRow="1" firstDataCol="2" rowPageCount="2"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axis="axisPage" compact="0" multipleItemSelectionAllowed="1" showAll="0">
      <items count="15">
        <item x="0"/>
        <item x="1"/>
        <item x="2"/>
        <item x="3"/>
        <item x="4"/>
        <item x="5"/>
        <item x="6"/>
        <item x="7"/>
        <item x="8"/>
        <item x="9"/>
        <item x="10"/>
        <item x="11"/>
        <item x="12"/>
        <item x="13"/>
        <item t="default"/>
      </items>
    </pivotField>
    <pivotField compact="0" showAll="0"/>
    <pivotField compact="0" multipleItemSelectionAllowed="1" showAll="0"/>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21">
    <i>
      <x v="1754"/>
    </i>
    <i r="1">
      <x v="456"/>
    </i>
    <i>
      <x v="1521"/>
    </i>
    <i r="1">
      <x v="529"/>
    </i>
    <i>
      <x v="2157"/>
    </i>
    <i r="1">
      <x v="529"/>
    </i>
    <i>
      <x v="1789"/>
    </i>
    <i r="1">
      <x v="542"/>
    </i>
    <i>
      <x v="2156"/>
    </i>
    <i r="1">
      <x v="410"/>
    </i>
    <i>
      <x v="1452"/>
    </i>
    <i r="1">
      <x v="32"/>
    </i>
    <i>
      <x v="1674"/>
    </i>
    <i r="1">
      <x v="127"/>
    </i>
    <i>
      <x v="1619"/>
    </i>
    <i r="1">
      <x v="141"/>
    </i>
    <i>
      <x v="1855"/>
    </i>
    <i r="1">
      <x v="468"/>
    </i>
    <i>
      <x v="1679"/>
    </i>
    <i r="1">
      <x v="646"/>
    </i>
    <i t="grand">
      <x/>
    </i>
  </rowItems>
  <colItems count="1">
    <i/>
  </colItems>
  <pageFields count="2">
    <pageField fld="6" hier="-1"/>
    <pageField fld="1"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115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3B3E0A-670F-453F-94B9-D68B18AED9EB}" name="누계금액"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33">
  <location ref="AI4:AJ38" firstHeaderRow="1" firstDataRow="1" firstDataCol="1" rowPageCount="1" colPageCount="1"/>
  <pivotFields count="15">
    <pivotField subtotalTop="0" showAll="0" defaultSubtotal="0"/>
    <pivotField axis="axisPage" showAll="0" sortType="ascending" defaultSubtotal="0">
      <items count="14">
        <item x="1"/>
        <item x="2"/>
        <item x="3"/>
        <item x="4"/>
        <item x="5"/>
        <item x="6"/>
        <item x="7"/>
        <item x="8"/>
        <item x="9"/>
        <item x="10"/>
        <item x="11"/>
        <item x="12"/>
        <item x="0"/>
        <item x="13"/>
      </items>
    </pivotField>
    <pivotField axis="axisRow" showAll="0" sortType="ascending" defaultSubtotal="0">
      <items count="5">
        <item x="0"/>
        <item x="1"/>
        <item x="2"/>
        <item h="1" x="3"/>
        <item h="1" x="4"/>
      </items>
    </pivotField>
    <pivotField axis="axisRow" multipleItemSelectionAllowed="1" showAll="0" sortType="ascending" defaultSubtotal="0">
      <items count="13">
        <item x="6"/>
        <item x="7"/>
        <item x="8"/>
        <item x="9"/>
        <item x="10"/>
        <item x="11"/>
        <item x="0"/>
        <item x="1"/>
        <item x="2"/>
        <item x="3"/>
        <item x="4"/>
        <item x="5"/>
        <item x="12"/>
      </items>
    </pivotField>
    <pivotField showAll="0" defaultSubtotal="0"/>
    <pivotField showAll="0" defaultSubtotal="0"/>
    <pivotField multipleItemSelectionAllowed="1"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items count="6">
        <item x="0"/>
        <item x="1"/>
        <item x="2"/>
        <item x="3"/>
        <item x="4"/>
        <item x="5"/>
      </items>
    </pivotField>
    <pivotField subtotalTop="0" dragToRow="0" dragToCol="0" dragToPage="0" showAll="0" defaultSubtotal="0"/>
  </pivotFields>
  <rowFields count="2">
    <field x="2"/>
    <field x="3"/>
  </rowFields>
  <rowItems count="34">
    <i>
      <x/>
    </i>
    <i r="1">
      <x v="6"/>
    </i>
    <i r="1">
      <x v="7"/>
    </i>
    <i r="1">
      <x v="8"/>
    </i>
    <i r="1">
      <x v="9"/>
    </i>
    <i r="1">
      <x v="10"/>
    </i>
    <i r="1">
      <x v="11"/>
    </i>
    <i>
      <x v="1"/>
    </i>
    <i r="1">
      <x/>
    </i>
    <i r="1">
      <x v="1"/>
    </i>
    <i r="1">
      <x v="2"/>
    </i>
    <i r="1">
      <x v="3"/>
    </i>
    <i r="1">
      <x v="4"/>
    </i>
    <i r="1">
      <x v="5"/>
    </i>
    <i r="1">
      <x v="6"/>
    </i>
    <i r="1">
      <x v="7"/>
    </i>
    <i r="1">
      <x v="8"/>
    </i>
    <i r="1">
      <x v="9"/>
    </i>
    <i r="1">
      <x v="10"/>
    </i>
    <i r="1">
      <x v="11"/>
    </i>
    <i>
      <x v="2"/>
    </i>
    <i r="1">
      <x/>
    </i>
    <i r="1">
      <x v="1"/>
    </i>
    <i r="1">
      <x v="2"/>
    </i>
    <i r="1">
      <x v="3"/>
    </i>
    <i r="1">
      <x v="4"/>
    </i>
    <i r="1">
      <x v="5"/>
    </i>
    <i r="1">
      <x v="6"/>
    </i>
    <i r="1">
      <x v="7"/>
    </i>
    <i r="1">
      <x v="8"/>
    </i>
    <i r="1">
      <x v="9"/>
    </i>
    <i r="1">
      <x v="10"/>
    </i>
    <i r="1">
      <x v="11"/>
    </i>
    <i t="grand">
      <x/>
    </i>
  </rowItems>
  <colItems count="1">
    <i/>
  </colItems>
  <pageFields count="1">
    <pageField fld="1" hier="-1"/>
  </pageFields>
  <dataFields count="1">
    <dataField name="합계 : 금액rev" fld="10" baseField="2"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0BB435-98FF-48F0-B766-A91BAA41875A}" name="대분류별 지출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8">
  <location ref="W4:X13"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sortType="descending">
      <items count="6">
        <item h="1" x="0"/>
        <item h="1" x="4"/>
        <item h="1" x="1"/>
        <item h="1" x="2"/>
        <item x="3"/>
        <item t="default"/>
      </items>
      <autoSortScope>
        <pivotArea dataOnly="0" outline="0" fieldPosition="0">
          <references count="1">
            <reference field="4294967294" count="1" selected="0">
              <x v="0"/>
            </reference>
          </references>
        </pivotArea>
      </autoSortScope>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multipleItemSelectionAllowed="1" showAll="0"/>
    <pivotField axis="axisRow" showAll="0" sortType="descending">
      <items count="21">
        <item h="1" x="0"/>
        <item x="1"/>
        <item x="5"/>
        <item x="19"/>
        <item h="1" x="2"/>
        <item x="3"/>
        <item x="4"/>
        <item x="6"/>
        <item x="8"/>
        <item x="7"/>
        <item h="1" x="9"/>
        <item x="10"/>
        <item x="11"/>
        <item x="12"/>
        <item x="13"/>
        <item x="14"/>
        <item x="15"/>
        <item x="16"/>
        <item x="17"/>
        <item x="18"/>
        <item t="default"/>
      </items>
      <autoSortScope>
        <pivotArea dataOnly="0" outline="0" fieldPosition="0">
          <references count="1">
            <reference field="4294967294" count="1" selected="0">
              <x v="0"/>
            </reference>
          </references>
        </pivotArea>
      </autoSortScope>
    </pivotField>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7"/>
  </rowFields>
  <rowItems count="9">
    <i>
      <x v="4"/>
    </i>
    <i r="1">
      <x v="1"/>
    </i>
    <i r="2">
      <x v="9"/>
    </i>
    <i r="2">
      <x v="7"/>
    </i>
    <i r="2">
      <x v="6"/>
    </i>
    <i r="2">
      <x v="5"/>
    </i>
    <i r="2">
      <x v="8"/>
    </i>
    <i r="2">
      <x v="13"/>
    </i>
    <i t="grand">
      <x/>
    </i>
  </rowItems>
  <colItems count="1">
    <i/>
  </colItems>
  <dataFields count="1">
    <dataField name="합계 : 금액"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EB2D451-BFF3-4C0E-BE00-36304C39C92E}" name="월별소비추이" cacheId="0" applyNumberFormats="0" applyBorderFormats="0" applyFontFormats="0" applyPatternFormats="0" applyAlignmentFormats="0" applyWidthHeightFormats="1" dataCaption="값" grandTotalCaption="지출합계" updatedVersion="8" minRefreshableVersion="5" useAutoFormatting="1" itemPrintTitles="1" createdVersion="6" indent="0" outline="1" outlineData="1" multipleFieldFilters="0" chartFormat="38">
  <location ref="A4:E25" firstHeaderRow="1" firstDataRow="2" firstDataCol="1"/>
  <pivotFields count="15">
    <pivotField showAll="0"/>
    <pivotField axis="axisRow" showAll="0" defaultSubtotal="0">
      <items count="14">
        <item x="0"/>
        <item x="1"/>
        <item x="2"/>
        <item x="3"/>
        <item x="4"/>
        <item x="5"/>
        <item x="6"/>
        <item x="7"/>
        <item x="8"/>
        <item x="9"/>
        <item x="10"/>
        <item x="11"/>
        <item x="12"/>
        <item x="13"/>
      </items>
    </pivotField>
    <pivotField showAll="0"/>
    <pivotField showAll="0"/>
    <pivotField showAll="0"/>
    <pivotField showAll="0"/>
    <pivotField axis="axisCol" showAll="0">
      <items count="10">
        <item x="3"/>
        <item x="2"/>
        <item x="1"/>
        <item x="0"/>
        <item x="6"/>
        <item x="5"/>
        <item x="4"/>
        <item m="1" x="8"/>
        <item m="1" x="7"/>
        <item t="default"/>
      </items>
    </pivotField>
    <pivotField showAll="0"/>
    <pivotField showAll="0"/>
    <pivotField dataField="1" showAll="0"/>
    <pivotField showAll="0"/>
    <pivotField showAll="0"/>
    <pivotField showAll="0"/>
    <pivotField axis="axisRow" showAll="0">
      <items count="7">
        <item x="0"/>
        <item x="1"/>
        <item x="2"/>
        <item x="3"/>
        <item x="4"/>
        <item x="5"/>
        <item t="default"/>
      </items>
    </pivotField>
    <pivotField dragToRow="0" dragToCol="0" dragToPage="0" showAll="0" defaultSubtotal="0"/>
  </pivotFields>
  <rowFields count="2">
    <field x="13"/>
    <field x="1"/>
  </rowFields>
  <rowItems count="20">
    <i>
      <x v="3"/>
    </i>
    <i r="1">
      <x v="4"/>
    </i>
    <i r="1">
      <x v="5"/>
    </i>
    <i r="1">
      <x v="6"/>
    </i>
    <i r="1">
      <x v="7"/>
    </i>
    <i r="1">
      <x v="8"/>
    </i>
    <i r="1">
      <x v="9"/>
    </i>
    <i r="1">
      <x v="10"/>
    </i>
    <i r="1">
      <x v="11"/>
    </i>
    <i r="1">
      <x v="12"/>
    </i>
    <i>
      <x v="4"/>
    </i>
    <i r="1">
      <x v="1"/>
    </i>
    <i r="1">
      <x v="2"/>
    </i>
    <i r="1">
      <x v="3"/>
    </i>
    <i r="1">
      <x v="4"/>
    </i>
    <i r="1">
      <x v="5"/>
    </i>
    <i r="1">
      <x v="6"/>
    </i>
    <i r="1">
      <x v="7"/>
    </i>
    <i r="1">
      <x v="8"/>
    </i>
    <i t="grand">
      <x/>
    </i>
  </rowItems>
  <colFields count="1">
    <field x="6"/>
  </colFields>
  <colItems count="4">
    <i>
      <x/>
    </i>
    <i>
      <x v="2"/>
    </i>
    <i>
      <x v="6"/>
    </i>
    <i t="grand">
      <x/>
    </i>
  </colItems>
  <dataFields count="1">
    <dataField name="합계 : 금액" fld="9" baseField="0" baseItem="0"/>
  </dataFields>
  <chartFormats count="15">
    <chartFormat chart="9" format="18" series="1">
      <pivotArea type="data" outline="0" fieldPosition="0">
        <references count="1">
          <reference field="4294967294" count="1" selected="0">
            <x v="0"/>
          </reference>
        </references>
      </pivotArea>
    </chartFormat>
    <chartFormat chart="16" format="3" series="1">
      <pivotArea type="data" outline="0" fieldPosition="0">
        <references count="2">
          <reference field="4294967294" count="1" selected="0">
            <x v="0"/>
          </reference>
          <reference field="6" count="1" selected="0">
            <x v="0"/>
          </reference>
        </references>
      </pivotArea>
    </chartFormat>
    <chartFormat chart="16" format="4" series="1">
      <pivotArea type="data" outline="0" fieldPosition="0">
        <references count="2">
          <reference field="4294967294" count="1" selected="0">
            <x v="0"/>
          </reference>
          <reference field="6" count="1" selected="0">
            <x v="2"/>
          </reference>
        </references>
      </pivotArea>
    </chartFormat>
    <chartFormat chart="17" format="5" series="1">
      <pivotArea type="data" outline="0" fieldPosition="0">
        <references count="2">
          <reference field="4294967294" count="1" selected="0">
            <x v="0"/>
          </reference>
          <reference field="6" count="1" selected="0">
            <x v="0"/>
          </reference>
        </references>
      </pivotArea>
    </chartFormat>
    <chartFormat chart="17" format="6" series="1">
      <pivotArea type="data" outline="0" fieldPosition="0">
        <references count="2">
          <reference field="4294967294" count="1" selected="0">
            <x v="0"/>
          </reference>
          <reference field="6" count="1" selected="0">
            <x v="2"/>
          </reference>
        </references>
      </pivotArea>
    </chartFormat>
    <chartFormat chart="18" format="5" series="1">
      <pivotArea type="data" outline="0" fieldPosition="0">
        <references count="2">
          <reference field="4294967294" count="1" selected="0">
            <x v="0"/>
          </reference>
          <reference field="6" count="1" selected="0">
            <x v="0"/>
          </reference>
        </references>
      </pivotArea>
    </chartFormat>
    <chartFormat chart="18" format="6" series="1">
      <pivotArea type="data" outline="0" fieldPosition="0">
        <references count="2">
          <reference field="4294967294" count="1" selected="0">
            <x v="0"/>
          </reference>
          <reference field="6" count="1" selected="0">
            <x v="2"/>
          </reference>
        </references>
      </pivotArea>
    </chartFormat>
    <chartFormat chart="18" format="7" series="1">
      <pivotArea type="data" outline="0" fieldPosition="0">
        <references count="2">
          <reference field="4294967294" count="1" selected="0">
            <x v="0"/>
          </reference>
          <reference field="6" count="1" selected="0">
            <x v="6"/>
          </reference>
        </references>
      </pivotArea>
    </chartFormat>
    <chartFormat chart="18" format="8" series="1">
      <pivotArea type="data" outline="0" fieldPosition="0">
        <references count="1">
          <reference field="4294967294" count="1" selected="0">
            <x v="0"/>
          </reference>
        </references>
      </pivotArea>
    </chartFormat>
    <chartFormat chart="23" format="12" series="1">
      <pivotArea type="data" outline="0" fieldPosition="0">
        <references count="2">
          <reference field="4294967294" count="1" selected="0">
            <x v="0"/>
          </reference>
          <reference field="6" count="1" selected="0">
            <x v="0"/>
          </reference>
        </references>
      </pivotArea>
    </chartFormat>
    <chartFormat chart="23" format="13" series="1">
      <pivotArea type="data" outline="0" fieldPosition="0">
        <references count="2">
          <reference field="4294967294" count="1" selected="0">
            <x v="0"/>
          </reference>
          <reference field="6" count="1" selected="0">
            <x v="2"/>
          </reference>
        </references>
      </pivotArea>
    </chartFormat>
    <chartFormat chart="23" format="14" series="1">
      <pivotArea type="data" outline="0" fieldPosition="0">
        <references count="2">
          <reference field="4294967294" count="1" selected="0">
            <x v="0"/>
          </reference>
          <reference field="6" count="1" selected="0">
            <x v="6"/>
          </reference>
        </references>
      </pivotArea>
    </chartFormat>
    <chartFormat chart="23" format="15" series="1">
      <pivotArea type="data" outline="0" fieldPosition="0">
        <references count="1">
          <reference field="4294967294" count="1" selected="0">
            <x v="0"/>
          </reference>
        </references>
      </pivotArea>
    </chartFormat>
    <chartFormat chart="23" format="16" series="1">
      <pivotArea type="data" outline="0" fieldPosition="0">
        <references count="2">
          <reference field="4294967294" count="1" selected="0">
            <x v="0"/>
          </reference>
          <reference field="6" count="1" selected="0">
            <x v="5"/>
          </reference>
        </references>
      </pivotArea>
    </chartFormat>
    <chartFormat chart="23" format="17" series="1">
      <pivotArea type="data" outline="0" fieldPosition="0">
        <references count="2">
          <reference field="4294967294" count="1" selected="0">
            <x v="0"/>
          </reference>
          <reference field="6" count="1" selected="0">
            <x v="1"/>
          </reference>
        </references>
      </pivotArea>
    </chartFormat>
  </chartFormats>
  <pivotTableStyleInfo name="PivotStyleLight16" showRowHeaders="1" showColHeaders="1" showRowStripes="0" showColStripes="0" showLastColumn="1"/>
  <filters count="2">
    <filter fld="1" type="dateBetween" evalOrder="-1" id="1148" name="날짜">
      <autoFilter ref="A1">
        <filterColumn colId="0">
          <customFilters and="1">
            <customFilter operator="greaterThanOrEqual" val="45383"/>
            <customFilter operator="lessThanOrEqual" val="45930"/>
          </customFilters>
        </filterColumn>
      </autoFilter>
      <extLst>
        <ext xmlns:x15="http://schemas.microsoft.com/office/spreadsheetml/2010/11/main" uri="{0605FD5F-26C8-4aeb-8148-2DB25E43C511}">
          <x15:pivotFilter useWholeDay="1"/>
        </ext>
      </extLst>
    </filter>
    <filter fld="6" type="captionContains" evalOrder="-1" id="506" stringValue1="지출">
      <autoFilter ref="A1">
        <filterColumn colId="0">
          <customFilters>
            <customFilter val="*지출*"/>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9219C07-1E66-497E-91E7-3915874064C2}" name="계좌잔고"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22">
  <location ref="O4:P11" firstHeaderRow="1" firstDataRow="1" firstDataCol="1"/>
  <pivotFields count="15">
    <pivotField showAll="0"/>
    <pivotField showAll="0">
      <items count="15">
        <item x="0"/>
        <item x="1"/>
        <item x="2"/>
        <item x="3"/>
        <item x="4"/>
        <item x="5"/>
        <item x="6"/>
        <item x="7"/>
        <item x="8"/>
        <item x="9"/>
        <item x="10"/>
        <item x="11"/>
        <item x="12"/>
        <item x="13"/>
        <item t="default"/>
      </items>
    </pivotField>
    <pivotField showAll="0"/>
    <pivotField multipleItemSelectionAllowed="1" showAll="0"/>
    <pivotField showAll="0"/>
    <pivotField axis="axisRow" showAll="0" sortType="ascending">
      <items count="11">
        <item h="1" x="9"/>
        <item x="3"/>
        <item x="2"/>
        <item x="1"/>
        <item x="0"/>
        <item h="1" x="4"/>
        <item h="1" x="5"/>
        <item x="6"/>
        <item h="1" x="7"/>
        <item x="8"/>
        <item t="default"/>
      </items>
      <autoSortScope>
        <pivotArea dataOnly="0" outline="0" fieldPosition="0">
          <references count="1">
            <reference field="4294967294" count="1" selected="0">
              <x v="0"/>
            </reference>
          </references>
        </pivotArea>
      </autoSortScope>
    </pivotField>
    <pivotField multipleItemSelectionAllowed="1" showAll="0"/>
    <pivotField showAll="0"/>
    <pivotField showAll="0"/>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1">
    <field x="5"/>
  </rowFields>
  <rowItems count="7">
    <i>
      <x v="2"/>
    </i>
    <i>
      <x v="1"/>
    </i>
    <i>
      <x v="4"/>
    </i>
    <i>
      <x v="9"/>
    </i>
    <i>
      <x v="3"/>
    </i>
    <i>
      <x v="7"/>
    </i>
    <i t="grand">
      <x/>
    </i>
  </rowItems>
  <colItems count="1">
    <i/>
  </colItems>
  <dataFields count="1">
    <dataField name="합계 : 금액rev"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1057E86-87E3-4944-85B6-2D0E8AAEB0CB}" name="지출유형비율"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7">
  <location ref="S4:T11" firstHeaderRow="1" firstDataRow="1" firstDataCol="1"/>
  <pivotFields count="15">
    <pivotField showAll="0"/>
    <pivotField showAll="0">
      <items count="15">
        <item x="0"/>
        <item x="1"/>
        <item x="2"/>
        <item x="3"/>
        <item x="4"/>
        <item x="5"/>
        <item x="6"/>
        <item x="7"/>
        <item x="8"/>
        <item x="9"/>
        <item x="10"/>
        <item x="11"/>
        <item x="12"/>
        <item x="13"/>
        <item t="default"/>
      </items>
    </pivotField>
    <pivotField axis="axisRow"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sortType="ascending">
      <autoSortScope>
        <pivotArea dataOnly="0" outline="0" fieldPosition="0">
          <references count="1">
            <reference field="4294967294" count="1" selected="0">
              <x v="0"/>
            </reference>
          </references>
        </pivotArea>
      </autoSortScope>
    </pivotField>
    <pivotField axis="axisRow" multipleItemSelectionAllowed="1" showAll="0">
      <items count="10">
        <item x="3"/>
        <item x="1"/>
        <item x="0"/>
        <item x="6"/>
        <item x="2"/>
        <item x="5"/>
        <item x="4"/>
        <item m="1" x="8"/>
        <item m="1" x="7"/>
        <item t="default"/>
      </items>
    </pivotField>
    <pivotField showAll="0"/>
    <pivotField showAll="0" sortType="descending"/>
    <pivotField dataField="1" showAll="0"/>
    <pivotField showAll="0"/>
    <pivotField showAll="0"/>
    <pivotField showAll="0"/>
    <pivotField showAll="0">
      <items count="7">
        <item x="0"/>
        <item x="1"/>
        <item x="2"/>
        <item x="3"/>
        <item x="4"/>
        <item x="5"/>
        <item t="default"/>
      </items>
    </pivotField>
    <pivotField dragToRow="0" dragToCol="0" dragToPage="0" showAll="0" defaultSubtotal="0"/>
  </pivotFields>
  <rowFields count="3">
    <field x="2"/>
    <field x="3"/>
    <field x="6"/>
  </rowFields>
  <rowItems count="7">
    <i>
      <x v="4"/>
    </i>
    <i r="1">
      <x v="1"/>
    </i>
    <i r="2">
      <x/>
    </i>
    <i r="2">
      <x v="1"/>
    </i>
    <i r="2">
      <x v="4"/>
    </i>
    <i r="2">
      <x v="5"/>
    </i>
    <i t="grand">
      <x/>
    </i>
  </rowItems>
  <colItems count="1">
    <i/>
  </colItems>
  <dataFields count="1">
    <dataField name="합계 : 금액" fld="9" baseField="0" baseItem="0"/>
  </dataFields>
  <pivotTableStyleInfo name="PivotStyleLight16" showRowHeaders="1" showColHeaders="1" showRowStripes="0" showColStripes="0" showLastColumn="1"/>
  <filters count="1">
    <filter fld="6" type="captionNotContains" evalOrder="-1" id="12"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C31E743-1051-47CF-BCC0-C3B1B556424A}" name="피벗 테이블5" cacheId="0" applyNumberFormats="0" applyBorderFormats="0" applyFontFormats="0" applyPatternFormats="0" applyAlignmentFormats="0" applyWidthHeightFormats="1" dataCaption="값" updatedVersion="8" minRefreshableVersion="5" useAutoFormatting="1" itemPrintTitles="1" createdVersion="6" indent="0" compact="0" outline="1" outlineData="1" compactData="0" multipleFieldFilters="0" chartFormat="49">
  <location ref="H32:J51" firstHeaderRow="1" firstDataRow="1" firstDataCol="2" rowPageCount="3" colPageCount="1"/>
  <pivotFields count="15">
    <pivotField axis="axisRow" compact="0" showAll="0" measureFilter="1" sortType="ascending">
      <items count="2371">
        <item x="2226"/>
        <item x="174"/>
        <item x="173"/>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8"/>
        <item x="7"/>
        <item x="6"/>
        <item x="5"/>
        <item x="4"/>
        <item x="3"/>
        <item x="2"/>
        <item x="1"/>
        <item x="0"/>
        <item x="172"/>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8"/>
        <item x="289"/>
        <item x="290"/>
        <item x="291"/>
        <item x="292"/>
        <item x="293"/>
        <item x="294"/>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9"/>
        <item x="350"/>
        <item m="1" x="2341"/>
        <item x="348"/>
        <item x="351"/>
        <item x="352"/>
        <item x="353"/>
        <item x="354"/>
        <item x="355"/>
        <item x="356"/>
        <item m="1" x="2349"/>
        <item x="357"/>
        <item x="358"/>
        <item x="359"/>
        <item x="360"/>
        <item x="361"/>
        <item x="362"/>
        <item x="363"/>
        <item x="364"/>
        <item x="9"/>
        <item x="126"/>
        <item x="197"/>
        <item m="1" x="2363"/>
        <item m="1" x="2362"/>
        <item m="1" x="2361"/>
        <item m="1" x="2365"/>
        <item x="285"/>
        <item x="286"/>
        <item x="287"/>
        <item x="295"/>
        <item x="296"/>
        <item x="297"/>
        <item x="365"/>
        <item m="1" x="2359"/>
        <item x="366"/>
        <item x="367"/>
        <item x="368"/>
        <item x="369"/>
        <item x="370"/>
        <item x="371"/>
        <item x="372"/>
        <item x="373"/>
        <item x="374"/>
        <item x="375"/>
        <item x="376"/>
        <item x="377"/>
        <item x="378"/>
        <item x="379"/>
        <item x="380"/>
        <item m="1" x="2348"/>
        <item x="381"/>
        <item x="382"/>
        <item x="383"/>
        <item x="384"/>
        <item x="385"/>
        <item x="386"/>
        <item x="387"/>
        <item x="388"/>
        <item x="389"/>
        <item x="390"/>
        <item x="391"/>
        <item x="392"/>
        <item x="393"/>
        <item x="394"/>
        <item x="395"/>
        <item x="396"/>
        <item x="397"/>
        <item x="398"/>
        <item x="400"/>
        <item x="401"/>
        <item x="402"/>
        <item x="403"/>
        <item x="404"/>
        <item x="405"/>
        <item x="406"/>
        <item x="407"/>
        <item x="408"/>
        <item x="409"/>
        <item x="410"/>
        <item x="411"/>
        <item x="412"/>
        <item m="1" x="2366"/>
        <item x="413"/>
        <item x="414"/>
        <item x="415"/>
        <item x="416"/>
        <item x="417"/>
        <item x="418"/>
        <item x="419"/>
        <item x="420"/>
        <item x="421"/>
        <item x="422"/>
        <item x="423"/>
        <item m="1" x="2340"/>
        <item m="1" x="2339"/>
        <item x="424"/>
        <item x="425"/>
        <item x="426"/>
        <item x="427"/>
        <item x="428"/>
        <item x="430"/>
        <item x="431"/>
        <item x="429"/>
        <item x="432"/>
        <item m="1" x="2335"/>
        <item m="1" x="2333"/>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m="1" x="2355"/>
        <item x="468"/>
        <item x="469"/>
        <item x="470"/>
        <item x="471"/>
        <item x="472"/>
        <item x="473"/>
        <item x="474"/>
        <item x="475"/>
        <item x="476"/>
        <item m="1" x="2360"/>
        <item x="477"/>
        <item x="478"/>
        <item x="479"/>
        <item x="480"/>
        <item x="481"/>
        <item x="482"/>
        <item x="483"/>
        <item x="484"/>
        <item x="485"/>
        <item x="486"/>
        <item x="487"/>
        <item x="488"/>
        <item m="1" x="2330"/>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m="1" x="2337"/>
        <item x="526"/>
        <item x="527"/>
        <item m="1" x="2338"/>
        <item x="528"/>
        <item x="529"/>
        <item x="530"/>
        <item x="531"/>
        <item x="532"/>
        <item x="533"/>
        <item x="534"/>
        <item x="535"/>
        <item x="536"/>
        <item x="537"/>
        <item m="1" x="2334"/>
        <item x="538"/>
        <item x="539"/>
        <item x="540"/>
        <item x="541"/>
        <item x="542"/>
        <item x="544"/>
        <item x="545"/>
        <item x="543"/>
        <item x="546"/>
        <item x="547"/>
        <item x="549"/>
        <item x="550"/>
        <item x="551"/>
        <item x="552"/>
        <item x="553"/>
        <item x="554"/>
        <item x="555"/>
        <item x="556"/>
        <item x="557"/>
        <item x="558"/>
        <item x="559"/>
        <item x="560"/>
        <item x="548"/>
        <item x="561"/>
        <item x="562"/>
        <item x="563"/>
        <item x="564"/>
        <item x="566"/>
        <item x="565"/>
        <item x="567"/>
        <item x="568"/>
        <item m="1" x="2314"/>
        <item m="1" x="2315"/>
        <item x="569"/>
        <item m="1" x="2316"/>
        <item x="570"/>
        <item x="571"/>
        <item x="572"/>
        <item x="573"/>
        <item x="574"/>
        <item x="575"/>
        <item x="576"/>
        <item x="577"/>
        <item x="578"/>
        <item x="579"/>
        <item x="580"/>
        <item x="581"/>
        <item m="1" x="2351"/>
        <item x="582"/>
        <item x="583"/>
        <item x="584"/>
        <item x="585"/>
        <item x="586"/>
        <item x="587"/>
        <item x="588"/>
        <item x="589"/>
        <item x="590"/>
        <item x="591"/>
        <item x="592"/>
        <item x="593"/>
        <item x="594"/>
        <item x="595"/>
        <item m="1" x="2331"/>
        <item m="1" x="2329"/>
        <item m="1" x="2369"/>
        <item x="596"/>
        <item x="597"/>
        <item x="598"/>
        <item x="599"/>
        <item x="600"/>
        <item x="601"/>
        <item x="602"/>
        <item x="603"/>
        <item x="604"/>
        <item x="605"/>
        <item m="1" x="2357"/>
        <item x="606"/>
        <item x="607"/>
        <item x="608"/>
        <item x="609"/>
        <item x="610"/>
        <item m="1" x="2364"/>
        <item x="611"/>
        <item x="612"/>
        <item x="613"/>
        <item x="614"/>
        <item m="1" x="2368"/>
        <item x="615"/>
        <item x="616"/>
        <item x="617"/>
        <item x="618"/>
        <item m="1" x="2350"/>
        <item x="619"/>
        <item x="620"/>
        <item x="621"/>
        <item x="622"/>
        <item x="623"/>
        <item x="624"/>
        <item x="625"/>
        <item x="626"/>
        <item x="627"/>
        <item x="628"/>
        <item x="629"/>
        <item x="630"/>
        <item x="631"/>
        <item x="632"/>
        <item x="633"/>
        <item x="634"/>
        <item x="635"/>
        <item x="636"/>
        <item x="637"/>
        <item x="638"/>
        <item x="639"/>
        <item x="640"/>
        <item x="641"/>
        <item x="642"/>
        <item x="643"/>
        <item x="644"/>
        <item m="1" x="2345"/>
        <item m="1" x="2342"/>
        <item x="645"/>
        <item x="646"/>
        <item x="647"/>
        <item x="648"/>
        <item x="649"/>
        <item x="650"/>
        <item x="651"/>
        <item x="652"/>
        <item x="653"/>
        <item m="1" x="2332"/>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m="1" x="2336"/>
        <item x="691"/>
        <item x="692"/>
        <item x="693"/>
        <item x="694"/>
        <item x="695"/>
        <item x="696"/>
        <item x="697"/>
        <item x="698"/>
        <item x="699"/>
        <item x="700"/>
        <item x="701"/>
        <item m="1" x="2356"/>
        <item x="702"/>
        <item x="703"/>
        <item x="704"/>
        <item x="705"/>
        <item x="706"/>
        <item x="707"/>
        <item x="708"/>
        <item x="709"/>
        <item x="710"/>
        <item x="711"/>
        <item x="712"/>
        <item x="713"/>
        <item x="714"/>
        <item x="715"/>
        <item x="716"/>
        <item x="717"/>
        <item x="718"/>
        <item x="719"/>
        <item m="1" x="2358"/>
        <item x="720"/>
        <item x="721"/>
        <item x="722"/>
        <item x="723"/>
        <item x="724"/>
        <item x="725"/>
        <item x="726"/>
        <item x="727"/>
        <item x="728"/>
        <item x="729"/>
        <item x="730"/>
        <item x="731"/>
        <item x="732"/>
        <item x="733"/>
        <item m="1" x="2354"/>
        <item x="734"/>
        <item x="735"/>
        <item x="736"/>
        <item x="737"/>
        <item x="738"/>
        <item m="1" x="2353"/>
        <item m="1" x="2352"/>
        <item x="739"/>
        <item x="740"/>
        <item x="741"/>
        <item x="742"/>
        <item x="743"/>
        <item x="744"/>
        <item x="745"/>
        <item x="746"/>
        <item x="747"/>
        <item x="748"/>
        <item x="749"/>
        <item x="750"/>
        <item x="751"/>
        <item x="752"/>
        <item x="753"/>
        <item x="754"/>
        <item x="755"/>
        <item x="756"/>
        <item x="757"/>
        <item m="1" x="2367"/>
        <item x="758"/>
        <item x="759"/>
        <item x="760"/>
        <item x="761"/>
        <item x="762"/>
        <item x="763"/>
        <item x="764"/>
        <item x="765"/>
        <item x="766"/>
        <item x="767"/>
        <item x="768"/>
        <item x="769"/>
        <item x="770"/>
        <item x="771"/>
        <item x="772"/>
        <item x="773"/>
        <item x="774"/>
        <item m="1" x="2344"/>
        <item x="775"/>
        <item x="776"/>
        <item x="777"/>
        <item x="778"/>
        <item x="779"/>
        <item x="780"/>
        <item x="781"/>
        <item x="782"/>
        <item m="1" x="2343"/>
        <item x="783"/>
        <item x="784"/>
        <item x="785"/>
        <item x="786"/>
        <item x="787"/>
        <item x="788"/>
        <item x="789"/>
        <item x="790"/>
        <item x="791"/>
        <item x="792"/>
        <item x="793"/>
        <item x="794"/>
        <item x="795"/>
        <item x="796"/>
        <item x="797"/>
        <item x="798"/>
        <item x="799"/>
        <item x="800"/>
        <item x="801"/>
        <item x="802"/>
        <item x="803"/>
        <item m="1" x="2347"/>
        <item m="1" x="2346"/>
        <item x="804"/>
        <item x="805"/>
        <item x="806"/>
        <item x="807"/>
        <item x="808"/>
        <item x="809"/>
        <item x="810"/>
        <item x="811"/>
        <item x="812"/>
        <item x="813"/>
        <item x="814"/>
        <item x="815"/>
        <item x="816"/>
        <item x="817"/>
        <item x="818"/>
        <item x="819"/>
        <item x="820"/>
        <item x="821"/>
        <item x="822"/>
        <item x="823"/>
        <item x="824"/>
        <item x="825"/>
        <item x="826"/>
        <item x="827"/>
        <item x="828"/>
        <item x="829"/>
        <item x="830"/>
        <item m="1" x="2326"/>
        <item m="1" x="2327"/>
        <item m="1" x="2328"/>
        <item x="831"/>
        <item x="832"/>
        <item m="1" x="2325"/>
        <item x="833"/>
        <item x="834"/>
        <item x="835"/>
        <item x="836"/>
        <item x="837"/>
        <item x="838"/>
        <item x="839"/>
        <item x="840"/>
        <item x="841"/>
        <item x="842"/>
        <item x="843"/>
        <item x="844"/>
        <item x="845"/>
        <item x="846"/>
        <item x="847"/>
        <item x="848"/>
        <item x="849"/>
        <item x="850"/>
        <item x="851"/>
        <item x="852"/>
        <item x="853"/>
        <item x="854"/>
        <item x="855"/>
        <item x="856"/>
        <item x="857"/>
        <item m="1" x="2323"/>
        <item m="1" x="2324"/>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5"/>
        <item x="896"/>
        <item x="897"/>
        <item x="898"/>
        <item x="899"/>
        <item x="900"/>
        <item x="901"/>
        <item x="902"/>
        <item x="903"/>
        <item x="904"/>
        <item x="905"/>
        <item x="906"/>
        <item x="907"/>
        <item m="1" x="2319"/>
        <item m="1" x="2321"/>
        <item m="1" x="2322"/>
        <item x="893"/>
        <item x="894"/>
        <item x="911"/>
        <item x="908"/>
        <item x="909"/>
        <item x="910"/>
        <item x="912"/>
        <item x="913"/>
        <item x="914"/>
        <item x="915"/>
        <item x="916"/>
        <item x="917"/>
        <item x="919"/>
        <item x="920"/>
        <item x="921"/>
        <item x="922"/>
        <item x="923"/>
        <item x="924"/>
        <item m="1" x="2320"/>
        <item x="925"/>
        <item x="926"/>
        <item x="918"/>
        <item x="927"/>
        <item x="928"/>
        <item x="929"/>
        <item x="930"/>
        <item x="931"/>
        <item x="932"/>
        <item x="933"/>
        <item x="934"/>
        <item m="1" x="2313"/>
        <item m="1" x="2317"/>
        <item x="935"/>
        <item x="936"/>
        <item x="937"/>
        <item x="938"/>
        <item x="939"/>
        <item x="940"/>
        <item x="941"/>
        <item x="942"/>
        <item x="943"/>
        <item x="944"/>
        <item x="945"/>
        <item x="946"/>
        <item m="1" x="2318"/>
        <item x="947"/>
        <item x="948"/>
        <item x="949"/>
        <item x="950"/>
        <item x="951"/>
        <item x="952"/>
        <item x="953"/>
        <item x="954"/>
        <item x="955"/>
        <item x="956"/>
        <item x="957"/>
        <item x="958"/>
        <item x="959"/>
        <item x="960"/>
        <item x="961"/>
        <item m="1" x="2310"/>
        <item m="1" x="2311"/>
        <item m="1" x="2312"/>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m="1" x="2306"/>
        <item x="991"/>
        <item x="992"/>
        <item x="993"/>
        <item x="994"/>
        <item x="995"/>
        <item x="996"/>
        <item x="997"/>
        <item x="998"/>
        <item x="999"/>
        <item m="1" x="2309"/>
        <item x="1000"/>
        <item x="1001"/>
        <item x="1002"/>
        <item x="1003"/>
        <item m="1" x="2307"/>
        <item m="1" x="2308"/>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m="1" x="2304"/>
        <item x="1046"/>
        <item x="1047"/>
        <item x="1048"/>
        <item x="1049"/>
        <item x="1050"/>
        <item x="1051"/>
        <item x="1052"/>
        <item x="1053"/>
        <item x="1054"/>
        <item x="1055"/>
        <item x="1056"/>
        <item m="1" x="2305"/>
        <item x="1057"/>
        <item x="1058"/>
        <item x="1059"/>
        <item x="1060"/>
        <item x="1061"/>
        <item x="1062"/>
        <item x="1063"/>
        <item x="1064"/>
        <item x="1065"/>
        <item x="1066"/>
        <item x="1067"/>
        <item x="1068"/>
        <item x="1069"/>
        <item m="1" x="2303"/>
        <item x="1070"/>
        <item x="1071"/>
        <item x="1072"/>
        <item x="1073"/>
        <item x="1074"/>
        <item x="1075"/>
        <item x="1076"/>
        <item x="1077"/>
        <item x="1078"/>
        <item x="1079"/>
        <item x="1080"/>
        <item x="1081"/>
        <item x="1082"/>
        <item x="1083"/>
        <item x="1084"/>
        <item m="1" x="2301"/>
        <item m="1" x="2302"/>
        <item x="1085"/>
        <item x="1086"/>
        <item x="1087"/>
        <item x="1088"/>
        <item x="1089"/>
        <item x="1090"/>
        <item x="1091"/>
        <item x="1092"/>
        <item x="1093"/>
        <item x="1094"/>
        <item x="1095"/>
        <item x="1096"/>
        <item x="1097"/>
        <item x="1098"/>
        <item x="1099"/>
        <item x="1100"/>
        <item x="1101"/>
        <item x="1102"/>
        <item x="1103"/>
        <item x="1104"/>
        <item x="1105"/>
        <item x="1106"/>
        <item x="1107"/>
        <item m="1" x="2296"/>
        <item m="1" x="2299"/>
        <item x="1108"/>
        <item x="1109"/>
        <item x="1110"/>
        <item x="1112"/>
        <item x="1113"/>
        <item x="1114"/>
        <item x="1115"/>
        <item x="1116"/>
        <item x="1117"/>
        <item x="1118"/>
        <item x="1119"/>
        <item x="1111"/>
        <item x="1121"/>
        <item x="1122"/>
        <item m="1" x="2300"/>
        <item x="1120"/>
        <item x="1167"/>
        <item x="1168"/>
        <item x="1123"/>
        <item x="1124"/>
        <item x="1125"/>
        <item m="1" x="2298"/>
        <item x="1126"/>
        <item m="1" x="2297"/>
        <item x="1127"/>
        <item x="1128"/>
        <item x="1129"/>
        <item x="1130"/>
        <item x="1131"/>
        <item x="1132"/>
        <item x="1133"/>
        <item x="1134"/>
        <item x="1135"/>
        <item x="1136"/>
        <item x="1137"/>
        <item m="1" x="2294"/>
        <item m="1" x="2295"/>
        <item x="1138"/>
        <item x="1139"/>
        <item x="1140"/>
        <item x="1141"/>
        <item x="1142"/>
        <item x="399"/>
        <item x="1143"/>
        <item x="1144"/>
        <item x="1145"/>
        <item x="1146"/>
        <item x="1147"/>
        <item x="1148"/>
        <item x="1149"/>
        <item x="1150"/>
        <item x="1151"/>
        <item x="1152"/>
        <item x="1153"/>
        <item x="1154"/>
        <item x="1155"/>
        <item x="1156"/>
        <item x="1157"/>
        <item x="1158"/>
        <item x="1159"/>
        <item x="1160"/>
        <item x="1161"/>
        <item x="1162"/>
        <item x="1163"/>
        <item x="1164"/>
        <item x="1165"/>
        <item x="1166"/>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m="1" x="2293"/>
        <item x="1202"/>
        <item x="1203"/>
        <item x="1204"/>
        <item x="1205"/>
        <item x="1206"/>
        <item x="1207"/>
        <item m="1" x="2290"/>
        <item m="1" x="2291"/>
        <item x="1208"/>
        <item x="1209"/>
        <item x="1210"/>
        <item x="1211"/>
        <item x="1212"/>
        <item x="1213"/>
        <item x="1214"/>
        <item x="1215"/>
        <item x="1216"/>
        <item x="1217"/>
        <item x="1218"/>
        <item x="1219"/>
        <item x="1220"/>
        <item m="1" x="2292"/>
        <item x="1221"/>
        <item x="1222"/>
        <item x="1223"/>
        <item x="1224"/>
        <item x="1225"/>
        <item x="1226"/>
        <item x="1227"/>
        <item x="1228"/>
        <item x="1229"/>
        <item x="1230"/>
        <item x="1231"/>
        <item x="1232"/>
        <item m="1" x="2281"/>
        <item x="1233"/>
        <item x="1234"/>
        <item x="1235"/>
        <item x="1236"/>
        <item x="1237"/>
        <item x="1238"/>
        <item x="1239"/>
        <item x="1240"/>
        <item x="1241"/>
        <item x="1242"/>
        <item x="1243"/>
        <item x="1244"/>
        <item x="1245"/>
        <item m="1" x="2280"/>
        <item x="1246"/>
        <item m="1" x="2283"/>
        <item m="1" x="2284"/>
        <item m="1" x="2285"/>
        <item m="1" x="2286"/>
        <item m="1" x="2287"/>
        <item m="1" x="2288"/>
        <item m="1" x="2289"/>
        <item x="1247"/>
        <item x="1248"/>
        <item x="1249"/>
        <item x="1250"/>
        <item x="1251"/>
        <item x="1252"/>
        <item m="1" x="228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m="1" x="2276"/>
        <item m="1" x="2277"/>
        <item m="1" x="2278"/>
        <item m="1" x="2279"/>
        <item x="1290"/>
        <item x="1291"/>
        <item x="1296"/>
        <item x="1297"/>
        <item x="1298"/>
        <item x="1299"/>
        <item x="1300"/>
        <item x="1301"/>
        <item x="1292"/>
        <item x="1293"/>
        <item x="1294"/>
        <item x="1295"/>
        <item x="1302"/>
        <item x="1303"/>
        <item x="1304"/>
        <item x="1305"/>
        <item x="1306"/>
        <item x="1307"/>
        <item x="1308"/>
        <item x="1309"/>
        <item x="1310"/>
        <item x="1311"/>
        <item x="1312"/>
        <item x="1313"/>
        <item x="1314"/>
        <item x="1315"/>
        <item x="1316"/>
        <item x="1317"/>
        <item x="1318"/>
        <item x="1319"/>
        <item x="1320"/>
        <item x="1321"/>
        <item m="1" x="2272"/>
        <item m="1" x="2274"/>
        <item x="1322"/>
        <item x="1323"/>
        <item x="1325"/>
        <item x="1326"/>
        <item x="1327"/>
        <item x="1328"/>
        <item x="1329"/>
        <item x="1330"/>
        <item x="1331"/>
        <item x="1332"/>
        <item x="1333"/>
        <item x="1334"/>
        <item m="1" x="2275"/>
        <item x="1335"/>
        <item x="1324"/>
        <item x="1336"/>
        <item x="1337"/>
        <item x="1338"/>
        <item x="1340"/>
        <item x="1341"/>
        <item x="1342"/>
        <item x="1343"/>
        <item x="1344"/>
        <item x="1345"/>
        <item x="1346"/>
        <item x="1347"/>
        <item x="1348"/>
        <item x="1349"/>
        <item x="1350"/>
        <item x="1351"/>
        <item m="1" x="2273"/>
        <item x="1352"/>
        <item x="1353"/>
        <item x="1354"/>
        <item x="1355"/>
        <item x="1356"/>
        <item x="1357"/>
        <item x="1358"/>
        <item x="1359"/>
        <item x="133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7"/>
        <item x="1388"/>
        <item x="1389"/>
        <item m="1" x="2271"/>
        <item x="1390"/>
        <item x="1391"/>
        <item x="1392"/>
        <item x="1393"/>
        <item m="1" x="2270"/>
        <item x="1394"/>
        <item x="1395"/>
        <item x="1396"/>
        <item x="138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2"/>
        <item x="1463"/>
        <item x="1464"/>
        <item x="1465"/>
        <item x="1466"/>
        <item x="1467"/>
        <item x="1468"/>
        <item x="1469"/>
        <item x="1470"/>
        <item m="1" x="2269"/>
        <item x="1471"/>
        <item x="1472"/>
        <item x="1473"/>
        <item x="1461"/>
        <item x="1474"/>
        <item x="1475"/>
        <item x="1476"/>
        <item x="1477"/>
        <item x="1478"/>
        <item x="1479"/>
        <item m="1" x="2265"/>
        <item m="1" x="2268"/>
        <item x="1480"/>
        <item x="1481"/>
        <item x="1482"/>
        <item x="1483"/>
        <item x="1484"/>
        <item x="1485"/>
        <item x="1486"/>
        <item x="1487"/>
        <item x="1488"/>
        <item x="1489"/>
        <item x="1490"/>
        <item x="1491"/>
        <item x="1492"/>
        <item x="1493"/>
        <item x="1494"/>
        <item x="1496"/>
        <item x="1497"/>
        <item x="1498"/>
        <item x="1499"/>
        <item x="1500"/>
        <item x="1501"/>
        <item x="1502"/>
        <item x="1503"/>
        <item x="1504"/>
        <item x="1505"/>
        <item x="1506"/>
        <item x="1507"/>
        <item x="1508"/>
        <item x="1509"/>
        <item x="1510"/>
        <item x="1511"/>
        <item x="1495"/>
        <item x="1512"/>
        <item x="1513"/>
        <item x="1514"/>
        <item x="1515"/>
        <item x="1516"/>
        <item x="1517"/>
        <item m="1" x="2266"/>
        <item m="1" x="2267"/>
        <item x="1518"/>
        <item x="1519"/>
        <item x="1520"/>
        <item x="1521"/>
        <item x="1522"/>
        <item x="1523"/>
        <item x="1524"/>
        <item x="1525"/>
        <item x="1526"/>
        <item x="1527"/>
        <item x="1528"/>
        <item x="1529"/>
        <item x="1530"/>
        <item x="1531"/>
        <item x="1532"/>
        <item x="1533"/>
        <item m="1" x="2263"/>
        <item m="1" x="2264"/>
        <item x="1535"/>
        <item x="1536"/>
        <item x="1537"/>
        <item x="1538"/>
        <item x="1539"/>
        <item x="1540"/>
        <item x="1541"/>
        <item x="1542"/>
        <item x="1543"/>
        <item x="1544"/>
        <item x="1545"/>
        <item x="1546"/>
        <item x="1534"/>
        <item x="1547"/>
        <item x="1548"/>
        <item x="1549"/>
        <item x="1550"/>
        <item x="1551"/>
        <item x="1552"/>
        <item x="1553"/>
        <item x="1554"/>
        <item x="1559"/>
        <item x="1560"/>
        <item x="1555"/>
        <item x="1556"/>
        <item x="1557"/>
        <item x="1558"/>
        <item x="1561"/>
        <item m="1" x="2261"/>
        <item m="1" x="2262"/>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m="1" x="2259"/>
        <item m="1" x="2260"/>
        <item x="1587"/>
        <item x="1588"/>
        <item x="1589"/>
        <item x="1590"/>
        <item x="1591"/>
        <item x="1592"/>
        <item m="1" x="2257"/>
        <item m="1" x="2258"/>
        <item x="1593"/>
        <item x="1594"/>
        <item x="1595"/>
        <item x="1596"/>
        <item x="1597"/>
        <item x="1598"/>
        <item x="1599"/>
        <item x="1600"/>
        <item x="1601"/>
        <item x="1602"/>
        <item x="1603"/>
        <item m="1" x="2255"/>
        <item m="1" x="2256"/>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m="1" x="2252"/>
        <item m="1" x="2253"/>
        <item m="1" x="2254"/>
        <item x="1674"/>
        <item x="1675"/>
        <item x="1676"/>
        <item x="1677"/>
        <item x="1678"/>
        <item x="1679"/>
        <item x="1680"/>
        <item x="1681"/>
        <item x="1682"/>
        <item x="1683"/>
        <item x="1684"/>
        <item x="1685"/>
        <item x="1686"/>
        <item x="1687"/>
        <item x="1688"/>
        <item x="1689"/>
        <item x="1690"/>
        <item x="1691"/>
        <item x="1692"/>
        <item x="1693"/>
        <item m="1" x="2251"/>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8"/>
        <item x="1739"/>
        <item x="1740"/>
        <item x="1741"/>
        <item x="1742"/>
        <item x="1737"/>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m="1" x="2250"/>
        <item x="1789"/>
        <item x="1790"/>
        <item x="1791"/>
        <item x="1792"/>
        <item x="1793"/>
        <item x="1794"/>
        <item x="1795"/>
        <item x="1796"/>
        <item x="1797"/>
        <item m="1" x="2248"/>
        <item x="1798"/>
        <item x="1799"/>
        <item x="1800"/>
        <item m="1" x="2249"/>
        <item x="1801"/>
        <item x="1802"/>
        <item x="1803"/>
        <item x="1804"/>
        <item x="1805"/>
        <item x="1806"/>
        <item x="1807"/>
        <item x="1808"/>
        <item x="1809"/>
        <item x="1810"/>
        <item x="1811"/>
        <item x="1812"/>
        <item m="1" x="2246"/>
        <item x="1813"/>
        <item x="1814"/>
        <item m="1" x="2247"/>
        <item x="1815"/>
        <item x="1816"/>
        <item x="1817"/>
        <item x="1818"/>
        <item x="1819"/>
        <item x="1820"/>
        <item x="1821"/>
        <item x="1822"/>
        <item x="1823"/>
        <item m="1" x="2245"/>
        <item x="1824"/>
        <item x="1825"/>
        <item x="1826"/>
        <item x="1827"/>
        <item x="1828"/>
        <item x="1829"/>
        <item x="1830"/>
        <item x="1831"/>
        <item x="1832"/>
        <item x="1833"/>
        <item x="1834"/>
        <item x="1835"/>
        <item x="1836"/>
        <item x="1837"/>
        <item x="1838"/>
        <item x="1839"/>
        <item x="1840"/>
        <item x="1841"/>
        <item x="1842"/>
        <item x="1845"/>
        <item x="1846"/>
        <item x="1847"/>
        <item x="1848"/>
        <item x="1849"/>
        <item x="1851"/>
        <item x="1852"/>
        <item x="1853"/>
        <item x="1854"/>
        <item x="1855"/>
        <item x="1856"/>
        <item x="1857"/>
        <item x="1858"/>
        <item x="1859"/>
        <item x="1860"/>
        <item x="1861"/>
        <item m="1" x="2243"/>
        <item x="1862"/>
        <item x="1863"/>
        <item x="1864"/>
        <item x="1865"/>
        <item x="1866"/>
        <item x="1867"/>
        <item x="1868"/>
        <item x="1869"/>
        <item x="1870"/>
        <item x="1871"/>
        <item x="1872"/>
        <item m="1" x="2244"/>
        <item x="1873"/>
        <item x="1874"/>
        <item x="1875"/>
        <item x="1876"/>
        <item x="1877"/>
        <item x="1878"/>
        <item x="1879"/>
        <item x="1880"/>
        <item m="1" x="2242"/>
        <item x="1881"/>
        <item x="1882"/>
        <item x="1883"/>
        <item x="1884"/>
        <item x="1885"/>
        <item x="1886"/>
        <item x="1887"/>
        <item x="1888"/>
        <item x="1889"/>
        <item x="1890"/>
        <item x="1891"/>
        <item x="1892"/>
        <item x="1893"/>
        <item x="1894"/>
        <item x="1895"/>
        <item x="1896"/>
        <item x="1897"/>
        <item x="1898"/>
        <item x="1899"/>
        <item x="1900"/>
        <item x="1901"/>
        <item x="1902"/>
        <item m="1" x="2241"/>
        <item x="1903"/>
        <item x="1904"/>
        <item x="1905"/>
        <item x="1906"/>
        <item x="1907"/>
        <item x="1908"/>
        <item x="1909"/>
        <item x="1910"/>
        <item x="1843"/>
        <item x="1844"/>
        <item x="185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8"/>
        <item x="1959"/>
        <item x="1960"/>
        <item x="1961"/>
        <item x="1962"/>
        <item x="1963"/>
        <item x="1964"/>
        <item x="1965"/>
        <item x="1966"/>
        <item x="1967"/>
        <item x="1968"/>
        <item x="1969"/>
        <item x="1970"/>
        <item x="1971"/>
        <item x="1972"/>
        <item x="1973"/>
        <item x="1974"/>
        <item x="1975"/>
        <item x="1976"/>
        <item x="1977"/>
        <item x="1978"/>
        <item x="1979"/>
        <item x="1980"/>
        <item m="1" x="2236"/>
        <item x="1981"/>
        <item x="1982"/>
        <item x="1983"/>
        <item x="1984"/>
        <item x="1985"/>
        <item x="1986"/>
        <item x="1987"/>
        <item x="1988"/>
        <item m="1" x="2240"/>
        <item x="1956"/>
        <item m="1" x="2239"/>
        <item x="1989"/>
        <item x="1990"/>
        <item x="1991"/>
        <item x="1992"/>
        <item x="1993"/>
        <item x="1994"/>
        <item x="1995"/>
        <item x="1996"/>
        <item x="1997"/>
        <item x="1998"/>
        <item x="1999"/>
        <item x="2000"/>
        <item x="2001"/>
        <item m="1" x="2235"/>
        <item x="2002"/>
        <item x="2004"/>
        <item x="2005"/>
        <item m="1" x="2237"/>
        <item m="1" x="2238"/>
        <item x="2006"/>
        <item x="2007"/>
        <item x="2008"/>
        <item x="2009"/>
        <item x="2010"/>
        <item x="2011"/>
        <item x="2012"/>
        <item x="2013"/>
        <item x="2014"/>
        <item x="2015"/>
        <item x="2016"/>
        <item x="2017"/>
        <item x="2018"/>
        <item x="2019"/>
        <item x="2020"/>
        <item x="2021"/>
        <item x="2022"/>
        <item x="2023"/>
        <item x="2024"/>
        <item x="2025"/>
        <item x="2026"/>
        <item x="2027"/>
        <item x="2028"/>
        <item x="2029"/>
        <item m="1" x="2234"/>
        <item x="2030"/>
        <item x="2033"/>
        <item x="2034"/>
        <item x="2035"/>
        <item x="2036"/>
        <item x="2037"/>
        <item x="2038"/>
        <item x="2039"/>
        <item x="2041"/>
        <item x="2042"/>
        <item x="2043"/>
        <item m="1" x="2232"/>
        <item m="1" x="2233"/>
        <item x="2044"/>
        <item x="2045"/>
        <item x="2046"/>
        <item x="2048"/>
        <item m="1" x="2231"/>
        <item x="2031"/>
        <item x="2032"/>
        <item x="2040"/>
        <item x="2047"/>
        <item x="1957"/>
        <item x="2003"/>
        <item x="2050"/>
        <item x="2051"/>
        <item x="2052"/>
        <item x="2053"/>
        <item x="2049"/>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7"/>
        <item x="2098"/>
        <item x="2099"/>
        <item x="2100"/>
        <item x="2101"/>
        <item x="2102"/>
        <item x="2103"/>
        <item x="2104"/>
        <item m="1" x="2229"/>
        <item x="2105"/>
        <item x="2106"/>
        <item x="2107"/>
        <item x="2108"/>
        <item m="1" x="2230"/>
        <item x="2109"/>
        <item x="2110"/>
        <item x="2111"/>
        <item x="2112"/>
        <item x="2113"/>
        <item x="2114"/>
        <item x="2115"/>
        <item x="2116"/>
        <item x="2118"/>
        <item x="2119"/>
        <item x="2120"/>
        <item x="2121"/>
        <item m="1" x="2228"/>
        <item x="2122"/>
        <item x="2125"/>
        <item x="2126"/>
        <item x="2127"/>
        <item x="2128"/>
        <item x="2129"/>
        <item x="2130"/>
        <item x="2131"/>
        <item x="2132"/>
        <item x="2133"/>
        <item x="2123"/>
        <item x="2124"/>
        <item x="2096"/>
        <item x="2117"/>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m="1" x="2227"/>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t="default"/>
      </items>
      <autoSortScope>
        <pivotArea dataOnly="0" outline="0" fieldPosition="0">
          <references count="1">
            <reference field="4294967294" count="1" selected="0">
              <x v="0"/>
            </reference>
          </references>
        </pivotArea>
      </autoSortScope>
    </pivotField>
    <pivotField compact="0" multipleItemSelectionAllowed="1" showAll="0">
      <items count="15">
        <item x="0"/>
        <item x="1"/>
        <item x="2"/>
        <item x="3"/>
        <item x="4"/>
        <item x="5"/>
        <item x="6"/>
        <item x="7"/>
        <item x="8"/>
        <item x="9"/>
        <item x="10"/>
        <item x="11"/>
        <item x="12"/>
        <item x="13"/>
        <item t="default"/>
      </items>
    </pivotField>
    <pivotField axis="axisPage" compact="0" multipleItemSelectionAllowed="1" showAll="0">
      <items count="6">
        <item h="1" x="0"/>
        <item h="1" x="1"/>
        <item h="1" x="2"/>
        <item h="1" x="4"/>
        <item x="3"/>
        <item t="default"/>
      </items>
    </pivotField>
    <pivotField axis="axisPage" compact="0" multipleItemSelectionAllowed="1" showAll="0">
      <items count="14">
        <item h="1" x="6"/>
        <item h="1" x="7"/>
        <item h="1" x="8"/>
        <item h="1" x="9"/>
        <item h="1" x="10"/>
        <item h="1" x="11"/>
        <item h="1" x="0"/>
        <item x="1"/>
        <item h="1" x="2"/>
        <item h="1" x="3"/>
        <item h="1" x="4"/>
        <item h="1" x="5"/>
        <item h="1" x="12"/>
        <item t="default"/>
      </items>
    </pivotField>
    <pivotField compact="0" showAll="0"/>
    <pivotField compact="0" showAll="0"/>
    <pivotField axis="axisPage" compact="0" multipleItemSelectionAllowed="1" showAll="0">
      <items count="10">
        <item x="3"/>
        <item h="1" x="2"/>
        <item x="1"/>
        <item h="1" x="0"/>
        <item h="1" x="6"/>
        <item h="1" x="5"/>
        <item x="4"/>
        <item h="1" m="1" x="8"/>
        <item h="1" m="1" x="7"/>
        <item t="default"/>
      </items>
    </pivotField>
    <pivotField compact="0" showAll="0"/>
    <pivotField compact="0" showAll="0" sortType="descending"/>
    <pivotField dataField="1" compact="0" multipleItemSelectionAllowed="1" showAll="0"/>
    <pivotField compact="0" showAll="0"/>
    <pivotField axis="axisRow" compact="0" showAll="0" sortType="descending">
      <items count="673">
        <item x="609"/>
        <item x="527"/>
        <item x="260"/>
        <item x="332"/>
        <item x="276"/>
        <item x="398"/>
        <item x="310"/>
        <item x="282"/>
        <item x="251"/>
        <item x="319"/>
        <item x="383"/>
        <item x="604"/>
        <item x="3"/>
        <item x="203"/>
        <item m="1" x="664"/>
        <item x="395"/>
        <item x="561"/>
        <item x="335"/>
        <item x="186"/>
        <item x="134"/>
        <item x="582"/>
        <item x="74"/>
        <item x="413"/>
        <item x="357"/>
        <item x="168"/>
        <item x="72"/>
        <item x="414"/>
        <item x="75"/>
        <item x="419"/>
        <item x="80"/>
        <item x="110"/>
        <item x="226"/>
        <item x="431"/>
        <item x="410"/>
        <item x="93"/>
        <item x="239"/>
        <item x="518"/>
        <item x="179"/>
        <item x="105"/>
        <item x="493"/>
        <item x="442"/>
        <item x="420"/>
        <item x="47"/>
        <item x="528"/>
        <item x="39"/>
        <item x="235"/>
        <item x="560"/>
        <item x="572"/>
        <item x="452"/>
        <item x="289"/>
        <item x="352"/>
        <item x="254"/>
        <item x="553"/>
        <item x="600"/>
        <item x="296"/>
        <item x="248"/>
        <item x="223"/>
        <item x="486"/>
        <item x="104"/>
        <item x="379"/>
        <item x="459"/>
        <item x="211"/>
        <item x="443"/>
        <item x="24"/>
        <item m="1" x="653"/>
        <item x="321"/>
        <item x="550"/>
        <item x="318"/>
        <item x="68"/>
        <item x="596"/>
        <item x="462"/>
        <item x="331"/>
        <item x="531"/>
        <item x="46"/>
        <item x="174"/>
        <item x="569"/>
        <item x="261"/>
        <item x="602"/>
        <item x="206"/>
        <item x="151"/>
        <item x="440"/>
        <item x="167"/>
        <item x="178"/>
        <item x="526"/>
        <item x="432"/>
        <item x="377"/>
        <item x="547"/>
        <item x="38"/>
        <item x="474"/>
        <item x="580"/>
        <item x="418"/>
        <item x="79"/>
        <item x="439"/>
        <item x="240"/>
        <item x="460"/>
        <item x="340"/>
        <item x="197"/>
        <item x="55"/>
        <item x="492"/>
        <item m="1" x="656"/>
        <item x="465"/>
        <item x="533"/>
        <item x="345"/>
        <item x="467"/>
        <item x="17"/>
        <item x="148"/>
        <item x="117"/>
        <item x="393"/>
        <item x="159"/>
        <item x="477"/>
        <item x="225"/>
        <item x="2"/>
        <item x="408"/>
        <item x="35"/>
        <item x="25"/>
        <item x="292"/>
        <item x="375"/>
        <item x="333"/>
        <item x="499"/>
        <item x="131"/>
        <item x="56"/>
        <item x="361"/>
        <item x="402"/>
        <item x="461"/>
        <item x="583"/>
        <item x="288"/>
        <item x="330"/>
        <item x="466"/>
        <item x="507"/>
        <item x="49"/>
        <item x="591"/>
        <item x="181"/>
        <item x="86"/>
        <item x="328"/>
        <item x="338"/>
        <item x="315"/>
        <item x="519"/>
        <item x="454"/>
        <item x="71"/>
        <item x="41"/>
        <item x="146"/>
        <item x="152"/>
        <item x="448"/>
        <item x="279"/>
        <item x="489"/>
        <item x="399"/>
        <item x="435"/>
        <item m="1" x="659"/>
        <item x="218"/>
        <item x="73"/>
        <item x="213"/>
        <item x="305"/>
        <item x="28"/>
        <item x="9"/>
        <item x="180"/>
        <item x="22"/>
        <item x="502"/>
        <item x="50"/>
        <item m="1" x="644"/>
        <item x="64"/>
        <item x="599"/>
        <item x="166"/>
        <item x="592"/>
        <item x="297"/>
        <item x="191"/>
        <item x="525"/>
        <item x="394"/>
        <item x="192"/>
        <item x="586"/>
        <item x="313"/>
        <item x="286"/>
        <item x="195"/>
        <item x="54"/>
        <item x="532"/>
        <item m="1" x="657"/>
        <item x="407"/>
        <item x="126"/>
        <item x="253"/>
        <item x="173"/>
        <item x="337"/>
        <item x="501"/>
        <item x="578"/>
        <item x="202"/>
        <item x="581"/>
        <item x="417"/>
        <item x="347"/>
        <item x="161"/>
        <item x="503"/>
        <item x="575"/>
        <item m="1" x="650"/>
        <item x="103"/>
        <item x="568"/>
        <item x="32"/>
        <item x="21"/>
        <item x="112"/>
        <item x="266"/>
        <item x="84"/>
        <item x="485"/>
        <item x="451"/>
        <item x="605"/>
        <item x="204"/>
        <item x="382"/>
        <item x="4"/>
        <item x="509"/>
        <item x="588"/>
        <item x="539"/>
        <item x="233"/>
        <item x="20"/>
        <item x="411"/>
        <item x="118"/>
        <item x="495"/>
        <item x="18"/>
        <item x="45"/>
        <item x="8"/>
        <item x="67"/>
        <item x="169"/>
        <item x="34"/>
        <item x="228"/>
        <item x="336"/>
        <item x="343"/>
        <item x="263"/>
        <item x="341"/>
        <item x="603"/>
        <item x="356"/>
        <item x="188"/>
        <item x="44"/>
        <item x="329"/>
        <item x="285"/>
        <item x="506"/>
        <item x="89"/>
        <item x="284"/>
        <item x="589"/>
        <item x="237"/>
        <item x="294"/>
        <item x="57"/>
        <item x="201"/>
        <item x="125"/>
        <item x="27"/>
        <item x="468"/>
        <item x="109"/>
        <item x="250"/>
        <item x="317"/>
        <item x="265"/>
        <item x="364"/>
        <item x="15"/>
        <item x="88"/>
        <item x="306"/>
        <item x="323"/>
        <item x="322"/>
        <item x="386"/>
        <item x="96"/>
        <item x="63"/>
        <item x="6"/>
        <item x="243"/>
        <item x="291"/>
        <item x="497"/>
        <item x="584"/>
        <item x="351"/>
        <item x="505"/>
        <item x="566"/>
        <item x="350"/>
        <item x="275"/>
        <item x="571"/>
        <item x="259"/>
        <item x="119"/>
        <item x="416"/>
        <item x="490"/>
        <item x="370"/>
        <item x="535"/>
        <item x="162"/>
        <item x="515"/>
        <item x="476"/>
        <item x="491"/>
        <item x="424"/>
        <item x="236"/>
        <item x="121"/>
        <item x="172"/>
        <item x="598"/>
        <item x="504"/>
        <item x="508"/>
        <item x="87"/>
        <item x="281"/>
        <item x="544"/>
        <item x="215"/>
        <item x="245"/>
        <item x="150"/>
        <item x="171"/>
        <item x="559"/>
        <item x="37"/>
        <item x="108"/>
        <item x="556"/>
        <item x="325"/>
        <item x="510"/>
        <item m="1" x="631"/>
        <item x="430"/>
        <item x="66"/>
        <item x="60"/>
        <item x="304"/>
        <item x="200"/>
        <item x="106"/>
        <item x="570"/>
        <item x="115"/>
        <item x="244"/>
        <item x="183"/>
        <item x="487"/>
        <item x="210"/>
        <item x="576"/>
        <item x="264"/>
        <item x="362"/>
        <item x="59"/>
        <item x="397"/>
        <item x="193"/>
        <item m="1" x="669"/>
        <item x="187"/>
        <item x="196"/>
        <item x="274"/>
        <item x="513"/>
        <item x="481"/>
        <item x="7"/>
        <item x="475"/>
        <item x="165"/>
        <item x="348"/>
        <item x="548"/>
        <item x="145"/>
        <item x="307"/>
        <item x="543"/>
        <item x="524"/>
        <item x="278"/>
        <item x="558"/>
        <item x="224"/>
        <item x="422"/>
        <item m="1" x="614"/>
        <item x="268"/>
        <item x="482"/>
        <item x="160"/>
        <item x="327"/>
        <item x="369"/>
        <item x="111"/>
        <item x="222"/>
        <item x="540"/>
        <item x="116"/>
        <item x="270"/>
        <item x="267"/>
        <item m="1" x="641"/>
        <item x="214"/>
        <item x="273"/>
        <item x="401"/>
        <item x="392"/>
        <item x="303"/>
        <item x="302"/>
        <item x="123"/>
        <item x="391"/>
        <item x="404"/>
        <item x="26"/>
        <item x="95"/>
        <item x="164"/>
        <item x="438"/>
        <item x="368"/>
        <item x="593"/>
        <item x="554"/>
        <item x="363"/>
        <item x="388"/>
        <item x="53"/>
        <item x="381"/>
        <item x="269"/>
        <item x="380"/>
        <item x="185"/>
        <item x="293"/>
        <item x="92"/>
        <item x="14"/>
        <item x="415"/>
        <item x="458"/>
        <item m="1" x="668"/>
        <item x="478"/>
        <item x="62"/>
        <item x="23"/>
        <item x="76"/>
        <item x="247"/>
        <item x="400"/>
        <item x="257"/>
        <item x="217"/>
        <item x="234"/>
        <item x="326"/>
        <item x="124"/>
        <item x="498"/>
        <item x="574"/>
        <item x="562"/>
        <item x="61"/>
        <item x="372"/>
        <item x="91"/>
        <item x="529"/>
        <item x="541"/>
        <item x="597"/>
        <item x="113"/>
        <item x="374"/>
        <item x="464"/>
        <item m="1" x="658"/>
        <item m="1" x="666"/>
        <item m="1" x="652"/>
        <item x="13"/>
        <item x="227"/>
        <item x="290"/>
        <item x="301"/>
        <item x="272"/>
        <item x="409"/>
        <item x="163"/>
        <item x="142"/>
        <item x="136"/>
        <item x="5"/>
        <item x="587"/>
        <item x="567"/>
        <item x="463"/>
        <item m="1" x="638"/>
        <item x="406"/>
        <item x="565"/>
        <item x="198"/>
        <item m="1" x="645"/>
        <item x="220"/>
        <item x="365"/>
        <item x="426"/>
        <item x="534"/>
        <item x="520"/>
        <item x="552"/>
        <item x="334"/>
        <item x="549"/>
        <item x="101"/>
        <item x="385"/>
        <item x="429"/>
        <item x="405"/>
        <item m="1" x="629"/>
        <item x="207"/>
        <item x="320"/>
        <item x="514"/>
        <item x="300"/>
        <item x="312"/>
        <item x="445"/>
        <item m="1" x="663"/>
        <item x="83"/>
        <item x="158"/>
        <item x="309"/>
        <item x="545"/>
        <item x="523"/>
        <item x="390"/>
        <item x="299"/>
        <item x="139"/>
        <item x="455"/>
        <item x="342"/>
        <item x="205"/>
        <item x="484"/>
        <item x="147"/>
        <item x="249"/>
        <item x="457"/>
        <item x="232"/>
        <item x="157"/>
        <item x="100"/>
        <item x="97"/>
        <item x="494"/>
        <item x="141"/>
        <item x="354"/>
        <item x="353"/>
        <item x="238"/>
        <item x="209"/>
        <item x="231"/>
        <item x="128"/>
        <item x="563"/>
        <item m="1" x="651"/>
        <item m="1" x="665"/>
        <item x="90"/>
        <item x="512"/>
        <item x="378"/>
        <item m="1" x="670"/>
        <item x="122"/>
        <item x="521"/>
        <item x="453"/>
        <item x="601"/>
        <item x="12"/>
        <item x="346"/>
        <item x="441"/>
        <item x="594"/>
        <item x="99"/>
        <item x="339"/>
        <item x="271"/>
        <item x="283"/>
        <item x="579"/>
        <item x="316"/>
        <item x="138"/>
        <item x="48"/>
        <item x="184"/>
        <item x="1"/>
        <item x="412"/>
        <item x="367"/>
        <item x="199"/>
        <item x="133"/>
        <item x="194"/>
        <item x="389"/>
        <item x="295"/>
        <item x="595"/>
        <item x="212"/>
        <item x="77"/>
        <item x="314"/>
        <item x="480"/>
        <item x="355"/>
        <item x="230"/>
        <item x="349"/>
        <item x="496"/>
        <item x="557"/>
        <item x="143"/>
        <item x="177"/>
        <item x="242"/>
        <item x="190"/>
        <item x="425"/>
        <item x="114"/>
        <item x="344"/>
        <item x="140"/>
        <item x="98"/>
        <item x="437"/>
        <item x="546"/>
        <item x="241"/>
        <item x="446"/>
        <item x="70"/>
        <item x="423"/>
        <item x="31"/>
        <item x="536"/>
        <item x="176"/>
        <item x="436"/>
        <item x="280"/>
        <item m="1" x="618"/>
        <item x="208"/>
        <item m="1" x="639"/>
        <item x="427"/>
        <item x="129"/>
        <item x="252"/>
        <item x="577"/>
        <item x="585"/>
        <item x="277"/>
        <item x="358"/>
        <item x="483"/>
        <item x="153"/>
        <item m="1" x="660"/>
        <item x="132"/>
        <item x="182"/>
        <item x="538"/>
        <item x="94"/>
        <item x="65"/>
        <item x="371"/>
        <item x="256"/>
        <item x="221"/>
        <item x="376"/>
        <item x="428"/>
        <item x="144"/>
        <item x="58"/>
        <item x="479"/>
        <item x="30"/>
        <item x="450"/>
        <item x="19"/>
        <item x="16"/>
        <item x="40"/>
        <item x="127"/>
        <item x="42"/>
        <item x="421"/>
        <item x="33"/>
        <item x="51"/>
        <item x="373"/>
        <item x="135"/>
        <item x="69"/>
        <item x="43"/>
        <item x="311"/>
        <item x="396"/>
        <item x="175"/>
        <item m="1" x="648"/>
        <item m="1" x="662"/>
        <item x="29"/>
        <item x="216"/>
        <item x="81"/>
        <item x="255"/>
        <item x="447"/>
        <item x="298"/>
        <item x="229"/>
        <item m="1" x="626"/>
        <item x="287"/>
        <item x="359"/>
        <item x="387"/>
        <item x="366"/>
        <item x="360"/>
        <item x="219"/>
        <item x="530"/>
        <item x="488"/>
        <item x="0"/>
        <item x="262"/>
        <item x="471"/>
        <item x="36"/>
        <item x="444"/>
        <item x="308"/>
        <item x="472"/>
        <item x="107"/>
        <item x="170"/>
        <item x="537"/>
        <item x="154"/>
        <item x="469"/>
        <item m="1" x="655"/>
        <item x="246"/>
        <item x="102"/>
        <item x="456"/>
        <item x="258"/>
        <item x="551"/>
        <item m="1" x="610"/>
        <item x="449"/>
        <item x="434"/>
        <item x="511"/>
        <item m="1" x="621"/>
        <item x="52"/>
        <item x="555"/>
        <item x="542"/>
        <item x="85"/>
        <item x="149"/>
        <item x="11"/>
        <item x="155"/>
        <item x="82"/>
        <item x="516"/>
        <item m="1" x="646"/>
        <item m="1" x="671"/>
        <item m="1" x="667"/>
        <item m="1" x="661"/>
        <item x="10"/>
        <item x="590"/>
        <item m="1" x="636"/>
        <item m="1" x="635"/>
        <item m="1" x="622"/>
        <item x="500"/>
        <item x="324"/>
        <item x="78"/>
        <item x="137"/>
        <item x="517"/>
        <item x="189"/>
        <item x="403"/>
        <item x="433"/>
        <item x="573"/>
        <item m="1" x="625"/>
        <item m="1" x="624"/>
        <item x="120"/>
        <item m="1" x="647"/>
        <item m="1" x="654"/>
        <item x="607"/>
        <item x="606"/>
        <item x="608"/>
        <item m="1" x="628"/>
        <item x="470"/>
        <item m="1" x="627"/>
        <item m="1" x="611"/>
        <item m="1" x="630"/>
        <item m="1" x="612"/>
        <item m="1" x="613"/>
        <item m="1" x="616"/>
        <item m="1" x="615"/>
        <item x="564"/>
        <item m="1" x="617"/>
        <item m="1" x="649"/>
        <item x="473"/>
        <item m="1" x="633"/>
        <item m="1" x="634"/>
        <item x="522"/>
        <item m="1" x="619"/>
        <item x="156"/>
        <item x="384"/>
        <item m="1" x="637"/>
        <item m="1" x="632"/>
        <item m="1" x="620"/>
        <item m="1" x="623"/>
        <item m="1" x="640"/>
        <item m="1" x="642"/>
        <item m="1" x="643"/>
        <item x="130"/>
        <item t="default"/>
      </items>
    </pivotField>
    <pivotField compact="0" showAll="0"/>
    <pivotField compact="0" showAll="0" sortType="ascending">
      <items count="7">
        <item x="0"/>
        <item x="5"/>
        <item x="1"/>
        <item x="2"/>
        <item x="3"/>
        <item x="4"/>
        <item t="default"/>
      </items>
    </pivotField>
    <pivotField compact="0" dragToRow="0" dragToCol="0" dragToPage="0" showAll="0" defaultSubtotal="0"/>
  </pivotFields>
  <rowFields count="2">
    <field x="0"/>
    <field x="11"/>
  </rowFields>
  <rowItems count="19">
    <i>
      <x v="2359"/>
    </i>
    <i r="1">
      <x v="130"/>
    </i>
    <i>
      <x v="2362"/>
    </i>
    <i r="1">
      <x v="483"/>
    </i>
    <i>
      <x v="2368"/>
    </i>
    <i r="1">
      <x v="78"/>
    </i>
    <i>
      <x v="2357"/>
    </i>
    <i r="1">
      <x v="558"/>
    </i>
    <i>
      <x v="2358"/>
    </i>
    <i r="1">
      <x v="354"/>
    </i>
    <i>
      <x v="2361"/>
    </i>
    <i r="1">
      <x v="500"/>
    </i>
    <i>
      <x v="2360"/>
    </i>
    <i r="1">
      <x v="448"/>
    </i>
    <i>
      <x v="2366"/>
    </i>
    <i r="1">
      <x v="180"/>
    </i>
    <i>
      <x v="2367"/>
    </i>
    <i r="1">
      <x v="560"/>
    </i>
    <i t="grand">
      <x/>
    </i>
  </rowItems>
  <colItems count="1">
    <i/>
  </colItems>
  <pageFields count="3">
    <pageField fld="6" hier="-1"/>
    <pageField fld="2" hier="-1"/>
    <pageField fld="3" hier="-1"/>
  </pageFields>
  <dataFields count="1">
    <dataField name="합계 : 금액" fld="9" baseField="0" baseItem="0"/>
  </dataFields>
  <chartFormats count="3">
    <chartFormat chart="45" format="334" series="1">
      <pivotArea type="data" outline="0" fieldPosition="0">
        <references count="1">
          <reference field="4294967294" count="1" selected="0">
            <x v="0"/>
          </reference>
        </references>
      </pivotArea>
    </chartFormat>
    <chartFormat chart="46" format="335" series="1">
      <pivotArea type="data" outline="0" fieldPosition="0">
        <references count="1">
          <reference field="4294967294" count="1" selected="0">
            <x v="0"/>
          </reference>
        </references>
      </pivotArea>
    </chartFormat>
    <chartFormat chart="48" format="335"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dateBetween" evalOrder="-1" id="962" name="날짜">
      <autoFilter ref="A1">
        <filterColumn colId="0">
          <customFilters and="1">
            <customFilter operator="greaterThanOrEqual" val="44927"/>
            <customFilter operator="lessThanOrEqual" val="45322"/>
          </customFilters>
        </filterColumn>
      </autoFilter>
      <extLst>
        <ext xmlns:x15="http://schemas.microsoft.com/office/spreadsheetml/2010/11/main" uri="{0605FD5F-26C8-4aeb-8148-2DB25E43C511}">
          <x15:pivotFilter useWholeDay="1"/>
        </ext>
      </extLst>
    </filter>
    <filter fld="0" type="count" evalOrder="-1" id="40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897AD0E-9791-4354-8420-D3E26E5788D3}" name="월별지출수입" cacheId="0" applyNumberFormats="0" applyBorderFormats="0" applyFontFormats="0" applyPatternFormats="0" applyAlignmentFormats="0" applyWidthHeightFormats="1" dataCaption="값" updatedVersion="8" minRefreshableVersion="3" useAutoFormatting="1" itemPrintTitles="1" createdVersion="6" indent="0" outline="1" outlineData="1" multipleFieldFilters="0" chartFormat="19">
  <location ref="AA4:AF8" firstHeaderRow="1" firstDataRow="2" firstDataCol="1"/>
  <pivotFields count="15">
    <pivotField showAll="0"/>
    <pivotField showAll="0">
      <items count="15">
        <item x="0"/>
        <item x="1"/>
        <item x="2"/>
        <item x="3"/>
        <item x="4"/>
        <item x="5"/>
        <item x="6"/>
        <item x="7"/>
        <item x="8"/>
        <item x="9"/>
        <item x="10"/>
        <item x="11"/>
        <item x="12"/>
        <item x="13"/>
        <item t="default"/>
      </items>
    </pivotField>
    <pivotField axis="axisRow" multipleItemSelectionAllowed="1" showAll="0">
      <items count="6">
        <item h="1" x="0"/>
        <item h="1" x="4"/>
        <item h="1" x="1"/>
        <item h="1" x="2"/>
        <item x="3"/>
        <item t="default"/>
      </items>
    </pivotField>
    <pivotField axis="axisRow" multipleItemSelectionAllowed="1" showAll="0">
      <items count="14">
        <item h="1" x="0"/>
        <item x="1"/>
        <item h="1" x="12"/>
        <item h="1" x="2"/>
        <item h="1" x="3"/>
        <item h="1" x="4"/>
        <item h="1" x="5"/>
        <item h="1" x="6"/>
        <item h="1" x="7"/>
        <item h="1" x="8"/>
        <item h="1" x="9"/>
        <item h="1" x="10"/>
        <item h="1" x="11"/>
        <item t="default"/>
      </items>
    </pivotField>
    <pivotField showAll="0"/>
    <pivotField showAll="0"/>
    <pivotField axis="axisCol" multipleItemSelectionAllowed="1" showAll="0" sortType="ascending">
      <items count="10">
        <item x="3"/>
        <item x="2"/>
        <item x="1"/>
        <item x="0"/>
        <item x="6"/>
        <item x="5"/>
        <item x="4"/>
        <item m="1" x="8"/>
        <item m="1" x="7"/>
        <item t="default"/>
      </items>
      <autoSortScope>
        <pivotArea dataOnly="0" outline="0" fieldPosition="0">
          <references count="1">
            <reference field="4294967294" count="1" selected="0">
              <x v="0"/>
            </reference>
          </references>
        </pivotArea>
      </autoSortScope>
    </pivotField>
    <pivotField showAll="0"/>
    <pivotField showAll="0" sortType="descending"/>
    <pivotField showAll="0"/>
    <pivotField dataField="1" showAll="0"/>
    <pivotField showAll="0"/>
    <pivotField showAll="0"/>
    <pivotField showAll="0">
      <items count="7">
        <item x="0"/>
        <item x="1"/>
        <item x="2"/>
        <item x="3"/>
        <item x="4"/>
        <item x="5"/>
        <item t="default"/>
      </items>
    </pivotField>
    <pivotField dragToRow="0" dragToCol="0" dragToPage="0" showAll="0" defaultSubtotal="0"/>
  </pivotFields>
  <rowFields count="2">
    <field x="2"/>
    <field x="3"/>
  </rowFields>
  <rowItems count="3">
    <i>
      <x v="4"/>
    </i>
    <i r="1">
      <x v="1"/>
    </i>
    <i t="grand">
      <x/>
    </i>
  </rowItems>
  <colFields count="1">
    <field x="6"/>
  </colFields>
  <colItems count="5">
    <i>
      <x v="2"/>
    </i>
    <i>
      <x/>
    </i>
    <i>
      <x v="1"/>
    </i>
    <i>
      <x v="5"/>
    </i>
    <i t="grand">
      <x/>
    </i>
  </colItems>
  <dataFields count="1">
    <dataField name="합계 : 금액rev" fld="10" baseField="2" baseItem="6" numFmtId="186"/>
  </dataFields>
  <chartFormats count="8">
    <chartFormat chart="18" format="9" series="1">
      <pivotArea type="data" outline="0" fieldPosition="0">
        <references count="2">
          <reference field="4294967294" count="1" selected="0">
            <x v="0"/>
          </reference>
          <reference field="6" count="1" selected="0">
            <x v="0"/>
          </reference>
        </references>
      </pivotArea>
    </chartFormat>
    <chartFormat chart="18" format="10" series="1">
      <pivotArea type="data" outline="0" fieldPosition="0">
        <references count="2">
          <reference field="4294967294" count="1" selected="0">
            <x v="0"/>
          </reference>
          <reference field="6" count="1" selected="0">
            <x v="2"/>
          </reference>
        </references>
      </pivotArea>
    </chartFormat>
    <chartFormat chart="18" format="11" series="1">
      <pivotArea type="data" outline="0" fieldPosition="0">
        <references count="2">
          <reference field="4294967294" count="1" selected="0">
            <x v="0"/>
          </reference>
          <reference field="6" count="1" selected="0">
            <x v="1"/>
          </reference>
        </references>
      </pivotArea>
    </chartFormat>
    <chartFormat chart="18" format="12" series="1">
      <pivotArea type="data" outline="0" fieldPosition="0">
        <references count="2">
          <reference field="4294967294" count="1" selected="0">
            <x v="0"/>
          </reference>
          <reference field="6" count="1" selected="0">
            <x v="5"/>
          </reference>
        </references>
      </pivotArea>
    </chartFormat>
    <chartFormat chart="18" format="13" series="1">
      <pivotArea type="data" outline="0" fieldPosition="0">
        <references count="1">
          <reference field="4294967294" count="1" selected="0">
            <x v="0"/>
          </reference>
        </references>
      </pivotArea>
    </chartFormat>
    <chartFormat chart="18" format="14">
      <pivotArea type="data" outline="0" fieldPosition="0">
        <references count="4">
          <reference field="4294967294" count="1" selected="0">
            <x v="0"/>
          </reference>
          <reference field="2" count="1" selected="0">
            <x v="0"/>
          </reference>
          <reference field="3" count="1" selected="0">
            <x v="0"/>
          </reference>
          <reference field="6" count="1" selected="0">
            <x v="1"/>
          </reference>
        </references>
      </pivotArea>
    </chartFormat>
    <chartFormat chart="18" format="15" series="1">
      <pivotArea type="data" outline="0" fieldPosition="0">
        <references count="2">
          <reference field="4294967294" count="1" selected="0">
            <x v="0"/>
          </reference>
          <reference field="6" count="1" selected="0">
            <x v="6"/>
          </reference>
        </references>
      </pivotArea>
    </chartFormat>
    <chartFormat chart="18" format="16">
      <pivotArea type="data" outline="0" fieldPosition="0">
        <references count="4">
          <reference field="4294967294" count="1" selected="0">
            <x v="0"/>
          </reference>
          <reference field="2" count="1" selected="0">
            <x v="0"/>
          </reference>
          <reference field="3" count="1" selected="0">
            <x v="3"/>
          </reference>
          <reference field="6" count="1" selected="0">
            <x v="1"/>
          </reference>
        </references>
      </pivotArea>
    </chartFormat>
  </chartFormats>
  <pivotTableStyleInfo name="PivotStyleLight16" showRowHeaders="1" showColHeaders="1" showRowStripes="0" showColStripes="0" showLastColumn="1"/>
  <filters count="1">
    <filter fld="6" type="captionNotContains" evalOrder="-1" id="14" stringValue1="이체">
      <autoFilter ref="A1">
        <filterColumn colId="0">
          <customFilters>
            <customFilter operator="notEqual" val="*이체*"/>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연" xr10:uid="{D352A44B-4895-492F-9F0F-7D4DFCFC7E3E}" sourceName="연">
  <pivotTables>
    <pivotTable tabId="4" name="월별지출수입"/>
    <pivotTable tabId="4" name="대분류별 지출비율"/>
    <pivotTable tabId="4" name="지출유형비율"/>
    <pivotTable tabId="4" name="피벗 테이블5"/>
  </pivotTables>
  <data>
    <tabular pivotCacheId="1748101232">
      <items count="5">
        <i x="0"/>
        <i x="1"/>
        <i x="2"/>
        <i x="3" s="1"/>
        <i x="4"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슬라이서_월" xr10:uid="{D01E9908-B353-41A2-88FA-656274B696C7}" sourceName="월">
  <pivotTables>
    <pivotTable tabId="4" name="월별지출수입"/>
    <pivotTable tabId="4" name="대분류별 지출비율"/>
    <pivotTable tabId="4" name="지출유형비율"/>
    <pivotTable tabId="4" name="피벗 테이블5"/>
  </pivotTables>
  <data>
    <tabular pivotCacheId="1748101232">
      <items count="13">
        <i x="6"/>
        <i x="7"/>
        <i x="8"/>
        <i x="9"/>
        <i x="10"/>
        <i x="11"/>
        <i x="0"/>
        <i x="1" s="1"/>
        <i x="2" nd="1"/>
        <i x="3" nd="1"/>
        <i x="4" nd="1"/>
        <i x="5" nd="1"/>
        <i x="1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연" xr10:uid="{D48CAB5C-6C19-4B5F-8171-D5D6E29641E2}" cache="슬라이서_연" caption="연" columnCount="3" style="슬라이서 스타일 1" rowHeight="273050"/>
  <slicer name="월" xr10:uid="{D9F6F1D0-BE0E-46D3-AD63-5FC9FB20FDBE}" cache="슬라이서_월" caption="월" columnCount="6" style="슬라이서 스타일 1" rowHeight="273050"/>
</slicers>
</file>

<file path=xl/theme/theme1.xml><?xml version="1.0" encoding="utf-8"?>
<a:theme xmlns:a="http://schemas.openxmlformats.org/drawingml/2006/main" name="Office 2013 - 2022 테마">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readedComments/threadedComment1.xml><?xml version="1.0" encoding="utf-8"?>
<ThreadedComments xmlns="http://schemas.microsoft.com/office/spreadsheetml/2018/threadedcomments" xmlns:x="http://schemas.openxmlformats.org/spreadsheetml/2006/main">
  <threadedComment ref="AC4" dT="2022-12-31T10:31:35.06" personId="{9E3D3C59-609F-4120-BEDC-29F79F333EFA}" id="{5619BCE8-78CE-4EC7-BE3D-7347000D3DE6}">
    <text>같은 날 같은 금액으로 의지와 상관없이 무조건 나가는 돈
구독서비스, 보험, 통신료 등</text>
  </threadedComment>
  <threadedComment ref="AC5" dT="2022-12-31T10:32:47.93" personId="{9E3D3C59-609F-4120-BEDC-29F79F333EFA}" id="{556814BC-0B93-438B-8B1E-D09D30DC91E3}">
    <text>같은 날 나가지만 금액이 달라지거나
비슷한 금액이 정기적으로 나가거나
내지 않으면 생활 유지가 어려운 돈
식비, 교통비, 기름값, 옷값 등</text>
  </threadedComment>
  <threadedComment ref="AC6" dT="2022-12-31T10:38:16.27" personId="{9E3D3C59-609F-4120-BEDC-29F79F333EFA}" id="{038EB57E-CBB7-4846-8CD3-115AEF1C9B75}">
    <text>놀때 쓴 돈 등 계획에 없던 소비 또는
내지 않아도 생활에 문제없는 돈</text>
  </threadedComment>
</ThreadedComments>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날짜" xr10:uid="{1166909B-1B00-486E-967B-84787B5B90B1}" sourceName="날짜">
  <pivotTables>
    <pivotTable tabId="4" name="소비TOP10"/>
    <pivotTable tabId="4" name="월별소비추이"/>
  </pivotTables>
  <state minimalRefreshVersion="6" lastRefreshVersion="6" pivotCacheId="1748101232" filterType="dateBetween">
    <selection startDate="2024-04-01T00:00:00" endDate="2025-09-30T00:00:00"/>
    <bounds startDate="2022-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날짜" xr10:uid="{0CACD8B1-F8D8-480F-9FEB-EF1120FE673F}" cache="NativeTimeline_날짜" caption="날짜" level="2" selectionLevel="1" scrollPosition="2023-12-10T00:00:00" style="시간 표시 막대 스타일 1"/>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05950-7E9E-4A5F-B50D-0B92744EA2C6}">
  <sheetPr codeName="Sheet1"/>
  <dimension ref="A2:AA37"/>
  <sheetViews>
    <sheetView zoomScaleNormal="100" workbookViewId="0">
      <selection activeCell="AA15" sqref="AA15"/>
    </sheetView>
  </sheetViews>
  <sheetFormatPr defaultColWidth="9" defaultRowHeight="17"/>
  <cols>
    <col min="1" max="1" width="1.58203125" style="28" customWidth="1"/>
    <col min="2" max="2" width="14.33203125" style="28" customWidth="1"/>
    <col min="3" max="13" width="8" style="28" customWidth="1"/>
    <col min="14" max="14" width="1.58203125" style="28" customWidth="1"/>
    <col min="15" max="15" width="11.83203125" style="28" customWidth="1"/>
    <col min="16" max="16" width="13.83203125" style="28" customWidth="1"/>
    <col min="17" max="17" width="7.5" style="28" customWidth="1"/>
    <col min="18" max="18" width="3.75" style="28" customWidth="1"/>
    <col min="19" max="19" width="11.83203125" style="28" customWidth="1"/>
    <col min="20" max="20" width="13.83203125" style="28" customWidth="1"/>
    <col min="21" max="21" width="7.5" style="28" customWidth="1"/>
    <col min="22" max="22" width="4.08203125" style="28" customWidth="1"/>
    <col min="23" max="23" width="17.08203125" style="28" bestFit="1" customWidth="1"/>
    <col min="24" max="24" width="13.83203125" style="28" customWidth="1"/>
    <col min="25" max="25" width="7.5" style="28" customWidth="1"/>
    <col min="26" max="26" width="1.58203125" style="28" customWidth="1"/>
    <col min="27" max="27" width="100.25" style="81" customWidth="1"/>
    <col min="28" max="16384" width="9" style="28"/>
  </cols>
  <sheetData>
    <row r="2" spans="1:27">
      <c r="K2" s="76"/>
    </row>
    <row r="5" spans="1:27" s="80" customFormat="1">
      <c r="A5" s="28"/>
      <c r="B5" s="28"/>
      <c r="C5" s="28"/>
      <c r="D5" s="28"/>
      <c r="E5" s="28"/>
      <c r="F5" s="28"/>
      <c r="G5" s="28"/>
      <c r="H5" s="28"/>
      <c r="I5" s="28"/>
      <c r="J5" s="28"/>
      <c r="K5" s="28"/>
      <c r="L5" s="28"/>
      <c r="M5" s="28"/>
      <c r="N5" s="28"/>
      <c r="O5" s="28"/>
      <c r="P5" s="28"/>
      <c r="Q5" s="28"/>
      <c r="R5" s="28"/>
      <c r="S5" s="28"/>
      <c r="T5" s="28"/>
      <c r="U5" s="28"/>
      <c r="V5" s="28"/>
      <c r="W5" s="28"/>
      <c r="X5" s="28"/>
      <c r="Y5" s="28"/>
      <c r="Z5" s="28"/>
      <c r="AA5" s="81"/>
    </row>
    <row r="6" spans="1:27" ht="21.5" thickBot="1">
      <c r="O6" s="84" t="str">
        <f>'가계부 요약'!S24&amp;" 지출유형비율"</f>
        <v>2025년 8월 지출유형비율</v>
      </c>
      <c r="P6" s="84"/>
      <c r="Q6" s="84"/>
      <c r="R6" s="27"/>
      <c r="S6" s="84" t="str">
        <f>RIGHT('가계부 요약'!W23,3)&amp;" 대분류별 지출비율"</f>
        <v xml:space="preserve"> 8월 대분류별 지출비율</v>
      </c>
      <c r="T6" s="84"/>
      <c r="U6" s="84"/>
      <c r="V6" s="27"/>
      <c r="W6" s="84" t="s">
        <v>133</v>
      </c>
      <c r="X6" s="84"/>
      <c r="Y6" s="84"/>
    </row>
    <row r="7" spans="1:27" ht="17.5" thickTop="1">
      <c r="O7" s="29" t="str">
        <f>'가계부 요약'!S25</f>
        <v>고정지출</v>
      </c>
      <c r="P7" s="30">
        <f>'가계부 요약'!T25</f>
        <v>0</v>
      </c>
      <c r="Q7" s="31">
        <f>'가계부 요약'!U25</f>
        <v>0</v>
      </c>
      <c r="R7" s="32"/>
      <c r="S7" s="33" t="str">
        <f>'가계부 요약'!W24</f>
        <v>교통</v>
      </c>
      <c r="T7" s="30">
        <f>IF(S7="총합계",SUM($T$7:T7),IF('가계부 요약'!X24=0,"",'가계부 요약'!X24))</f>
        <v>50327</v>
      </c>
      <c r="U7" s="34">
        <f>'가계부 요약'!Y24</f>
        <v>0.31411184621145927</v>
      </c>
      <c r="V7" s="32"/>
      <c r="W7" s="33" t="str">
        <f>IF(OR('가계부 요약'!O24="(비어 있음)",'가계부 요약'!O24="총합계"),0,'가계부 요약'!O24)</f>
        <v>두드림통장</v>
      </c>
      <c r="X7" s="30">
        <f>IF(AND('가계부 요약'!P24=0,W7=0),"",'가계부 요약'!P24)</f>
        <v>0</v>
      </c>
      <c r="Y7" s="34">
        <f>'가계부 요약'!Q24</f>
        <v>0</v>
      </c>
    </row>
    <row r="8" spans="1:27">
      <c r="O8" s="29" t="str">
        <f>'가계부 요약'!S26</f>
        <v>반고정지출</v>
      </c>
      <c r="P8" s="30">
        <f>'가계부 요약'!T26</f>
        <v>55200</v>
      </c>
      <c r="Q8" s="31">
        <f>'가계부 요약'!U26</f>
        <v>0.34452627636999128</v>
      </c>
      <c r="R8" s="32"/>
      <c r="S8" s="33" t="str">
        <f>'가계부 요약'!W25</f>
        <v>생활</v>
      </c>
      <c r="T8" s="30">
        <f>IF(S8="총합계",SUM($T$7:T7),IF('가계부 요약'!X25=0,"",'가계부 요약'!X25))</f>
        <v>37300</v>
      </c>
      <c r="U8" s="34">
        <f>'가계부 요약'!Y25</f>
        <v>0.23280489327175133</v>
      </c>
      <c r="V8" s="32"/>
      <c r="W8" s="33" t="str">
        <f>IF(OR('가계부 요약'!O25="(비어 있음)",'가계부 요약'!O25="총합계"),0,'가계부 요약'!O25)</f>
        <v>위비모바일통장</v>
      </c>
      <c r="X8" s="30">
        <f>IF(AND('가계부 요약'!P25=0,W8=0),"",'가계부 요약'!P25)</f>
        <v>0</v>
      </c>
      <c r="Y8" s="34">
        <f>'가계부 요약'!Q25</f>
        <v>0</v>
      </c>
    </row>
    <row r="9" spans="1:27">
      <c r="O9" s="29" t="str">
        <f>'가계부 요약'!S27</f>
        <v>유동지출</v>
      </c>
      <c r="P9" s="30">
        <f>'가계부 요약'!T27</f>
        <v>105020</v>
      </c>
      <c r="Q9" s="31">
        <f>'가계부 요약'!U27</f>
        <v>0.65547372363000878</v>
      </c>
      <c r="R9" s="32"/>
      <c r="S9" s="33" t="str">
        <f>'가계부 요약'!W26</f>
        <v>온라인쇼핑</v>
      </c>
      <c r="T9" s="30">
        <f>IF(S9="총합계",SUM($T$7:T8),IF('가계부 요약'!X26=0,"",'가계부 요약'!X26))</f>
        <v>31693</v>
      </c>
      <c r="U9" s="34">
        <f>'가계부 요약'!Y26</f>
        <v>0.19780926226438647</v>
      </c>
      <c r="V9" s="32"/>
      <c r="W9" s="33" t="str">
        <f>IF(OR('가계부 요약'!O26="(비어 있음)",'가계부 요약'!O26="총합계"),0,'가계부 요약'!O26)</f>
        <v>국민ONE</v>
      </c>
      <c r="X9" s="30">
        <f>IF(AND('가계부 요약'!P26=0,W9=0),"",'가계부 요약'!P26)</f>
        <v>0</v>
      </c>
      <c r="Y9" s="34">
        <f>'가계부 요약'!Q26</f>
        <v>0</v>
      </c>
    </row>
    <row r="10" spans="1:27">
      <c r="O10" s="35" t="s">
        <v>295</v>
      </c>
      <c r="P10" s="36">
        <f>SUM(P7:P9)</f>
        <v>160220</v>
      </c>
      <c r="Q10" s="37"/>
      <c r="R10" s="32"/>
      <c r="S10" s="33" t="str">
        <f>'가계부 요약'!W27</f>
        <v>식비</v>
      </c>
      <c r="T10" s="30">
        <f>IF(S10="총합계",SUM($T$7:T9),IF('가계부 요약'!X27=0,"",'가계부 요약'!X27))</f>
        <v>19300</v>
      </c>
      <c r="U10" s="34">
        <f>'가계부 요약'!Y27</f>
        <v>0.12045936836849332</v>
      </c>
      <c r="V10" s="32"/>
      <c r="W10" s="33" t="str">
        <f>IF(OR('가계부 요약'!O27="(비어 있음)",'가계부 요약'!O27="총합계"),0,'가계부 요약'!O27)</f>
        <v>KB페이</v>
      </c>
      <c r="X10" s="30">
        <f>IF(AND('가계부 요약'!P27=0,W10=0),"",'가계부 요약'!P27)</f>
        <v>10154</v>
      </c>
      <c r="Y10" s="34">
        <f>'가계부 요약'!Q27</f>
        <v>2.9502339064217415E-3</v>
      </c>
    </row>
    <row r="11" spans="1:27">
      <c r="O11" s="32"/>
      <c r="P11" s="32"/>
      <c r="Q11" s="32"/>
      <c r="R11" s="32"/>
      <c r="S11" s="33" t="str">
        <f>'가계부 요약'!W28</f>
        <v>뷰티_미용</v>
      </c>
      <c r="T11" s="30">
        <f>IF(S11="총합계",SUM($T$7:T10),IF('가계부 요약'!X28=0,"",'가계부 요약'!X28))</f>
        <v>15000</v>
      </c>
      <c r="U11" s="34">
        <f>'가계부 요약'!Y28</f>
        <v>9.3621270752715022E-2</v>
      </c>
      <c r="V11" s="32"/>
      <c r="W11" s="33" t="str">
        <f>IF(OR('가계부 요약'!O28="(비어 있음)",'가계부 요약'!O28="총합계"),0,'가계부 요약'!O28)</f>
        <v>국민나라사랑</v>
      </c>
      <c r="X11" s="30">
        <f>IF(AND('가계부 요약'!P28=0,W11=0),"",'가계부 요약'!P28)</f>
        <v>1235532</v>
      </c>
      <c r="Y11" s="34">
        <f>'가계부 요약'!Q28</f>
        <v>0.35898250924454078</v>
      </c>
    </row>
    <row r="12" spans="1:27" ht="17.25" customHeight="1" thickBot="1">
      <c r="O12" s="84" t="str">
        <f>'가계부 요약'!S24&amp;" 수입유형비율"</f>
        <v>2025년 8월 수입유형비율</v>
      </c>
      <c r="P12" s="84"/>
      <c r="Q12" s="84"/>
      <c r="R12" s="32"/>
      <c r="S12" s="33" t="str">
        <f>'가계부 요약'!W29</f>
        <v>문화_여가</v>
      </c>
      <c r="T12" s="30">
        <f>IF(S12="총합계",SUM($T$7:T11),IF('가계부 요약'!X29=0,"",'가계부 요약'!X29))</f>
        <v>6600</v>
      </c>
      <c r="U12" s="34">
        <f>'가계부 요약'!Y29</f>
        <v>4.119335913119461E-2</v>
      </c>
      <c r="V12" s="32"/>
      <c r="W12" s="33" t="str">
        <f>IF(OR('가계부 요약'!O29="(비어 있음)",'가계부 요약'!O29="총합계"),0,'가계부 요약'!O29)</f>
        <v>KB증권CMA계좌</v>
      </c>
      <c r="X12" s="30">
        <f>IF(AND('가계부 요약'!P29=0,W12=0),"",'가계부 요약'!P29)</f>
        <v>2196075</v>
      </c>
      <c r="Y12" s="34">
        <f>'가계부 요약'!Q29</f>
        <v>0.63806725684903742</v>
      </c>
    </row>
    <row r="13" spans="1:27" ht="17.5" thickTop="1">
      <c r="O13" s="29" t="str">
        <f>'가계부 요약'!S29</f>
        <v>고정수입</v>
      </c>
      <c r="P13" s="30">
        <f>'가계부 요약'!T29</f>
        <v>600000</v>
      </c>
      <c r="Q13" s="31">
        <f>'가계부 요약'!U29</f>
        <v>0.9995984946046671</v>
      </c>
      <c r="R13" s="32"/>
      <c r="S13" s="33" t="str">
        <f>'가계부 요약'!W30</f>
        <v>총합계</v>
      </c>
      <c r="T13" s="30">
        <f>IF(S13="총합계",SUM($T$7:T12),IF('가계부 요약'!X30=0,"",'가계부 요약'!X30))</f>
        <v>160220</v>
      </c>
      <c r="U13" s="38">
        <f>'가계부 요약'!Y30</f>
        <v>0</v>
      </c>
      <c r="V13" s="32"/>
      <c r="W13" s="33">
        <f>IF(OR('가계부 요약'!O30="(비어 있음)",'가계부 요약'!O30="총합계"),0,'가계부 요약'!O30)</f>
        <v>0</v>
      </c>
      <c r="X13" s="30" t="str">
        <f>IF(AND('가계부 요약'!P30=0,W13=0),"",'가계부 요약'!P30)</f>
        <v/>
      </c>
      <c r="Y13" s="34">
        <f>'가계부 요약'!Q30</f>
        <v>0</v>
      </c>
    </row>
    <row r="14" spans="1:27">
      <c r="O14" s="29" t="str">
        <f>'가계부 요약'!S30</f>
        <v>유동수입</v>
      </c>
      <c r="P14" s="30">
        <f>'가계부 요약'!T30</f>
        <v>241</v>
      </c>
      <c r="Q14" s="31">
        <f>'가계부 요약'!U30</f>
        <v>4.0150539533287464E-4</v>
      </c>
      <c r="R14" s="32"/>
      <c r="S14" s="33">
        <f>'가계부 요약'!W31</f>
        <v>0</v>
      </c>
      <c r="T14" s="30" t="str">
        <f>IF(S14="총합계",SUM($T$7:T13),IF('가계부 요약'!X31=0,"",'가계부 요약'!X31))</f>
        <v/>
      </c>
      <c r="U14" s="38">
        <f>'가계부 요약'!Y31</f>
        <v>0</v>
      </c>
      <c r="V14" s="32"/>
      <c r="W14" s="33">
        <f>IF(OR('가계부 요약'!O31="(비어 있음)",'가계부 요약'!O31="총합계"),0,'가계부 요약'!O31)</f>
        <v>0</v>
      </c>
      <c r="X14" s="30" t="str">
        <f>IF(AND('가계부 요약'!P31=0,W14=0),"",'가계부 요약'!P31)</f>
        <v/>
      </c>
      <c r="Y14" s="34">
        <f>'가계부 요약'!Q31</f>
        <v>0</v>
      </c>
    </row>
    <row r="15" spans="1:27">
      <c r="O15" s="35" t="s">
        <v>295</v>
      </c>
      <c r="P15" s="36">
        <f>SUM(P13:P14)</f>
        <v>600241</v>
      </c>
      <c r="Q15" s="37"/>
      <c r="R15" s="32"/>
      <c r="S15" s="33">
        <f>'가계부 요약'!W32</f>
        <v>0</v>
      </c>
      <c r="T15" s="30" t="str">
        <f>IF(S15="총합계",SUM($T$7:T14),IF('가계부 요약'!X32=0,"",'가계부 요약'!X32))</f>
        <v/>
      </c>
      <c r="U15" s="34">
        <f>'가계부 요약'!Y32</f>
        <v>0</v>
      </c>
      <c r="V15" s="32"/>
      <c r="W15" s="33">
        <f>IF(OR('가계부 요약'!O32="(비어 있음)",'가계부 요약'!O32="총합계"),0,'가계부 요약'!O32)</f>
        <v>0</v>
      </c>
      <c r="X15" s="30" t="str">
        <f>IF(AND('가계부 요약'!P32=0,W15=0),"",'가계부 요약'!P32)</f>
        <v/>
      </c>
      <c r="Y15" s="34">
        <f>'가계부 요약'!Q32</f>
        <v>0</v>
      </c>
    </row>
    <row r="16" spans="1:27">
      <c r="R16" s="32"/>
      <c r="S16" s="33">
        <f>'가계부 요약'!W33</f>
        <v>0</v>
      </c>
      <c r="T16" s="30" t="str">
        <f>IF(S16="총합계",SUM($T$7:T15),IF('가계부 요약'!X33=0,"",'가계부 요약'!X33))</f>
        <v/>
      </c>
      <c r="U16" s="34">
        <f>'가계부 요약'!Y33</f>
        <v>0</v>
      </c>
      <c r="V16" s="32"/>
      <c r="W16" s="33">
        <f>IF(OR('가계부 요약'!O33="(비어 있음)",'가계부 요약'!O33="총합계"),0,'가계부 요약'!O33)</f>
        <v>0</v>
      </c>
      <c r="X16" s="30" t="str">
        <f>IF(AND('가계부 요약'!P33=0,W16=0),"",'가계부 요약'!P33)</f>
        <v/>
      </c>
      <c r="Y16" s="34">
        <f>'가계부 요약'!Q33</f>
        <v>0</v>
      </c>
    </row>
    <row r="17" spans="15:25">
      <c r="O17" s="35" t="s">
        <v>540</v>
      </c>
      <c r="P17" s="50">
        <f>P15-P10</f>
        <v>440021</v>
      </c>
      <c r="Q17" s="37"/>
      <c r="R17" s="32"/>
      <c r="S17" s="33">
        <f>'가계부 요약'!W34</f>
        <v>0</v>
      </c>
      <c r="T17" s="30" t="str">
        <f>IF(S17="총합계",SUM($T$7:T16),IF('가계부 요약'!X34=0,"",'가계부 요약'!X34))</f>
        <v/>
      </c>
      <c r="U17" s="34">
        <f>'가계부 요약'!Y34</f>
        <v>0</v>
      </c>
      <c r="V17" s="32"/>
      <c r="W17" s="39" t="s">
        <v>295</v>
      </c>
      <c r="X17" s="36">
        <f>SUM(X7:X16)</f>
        <v>3441761</v>
      </c>
      <c r="Y17" s="37"/>
    </row>
    <row r="18" spans="15:25">
      <c r="S18" s="33">
        <f>'가계부 요약'!W35</f>
        <v>0</v>
      </c>
      <c r="T18" s="30" t="str">
        <f>IF(S18="총합계",SUM($T$7:T17),IF('가계부 요약'!X35=0,"",'가계부 요약'!X35))</f>
        <v/>
      </c>
      <c r="U18" s="34">
        <f>'가계부 요약'!Y35</f>
        <v>0</v>
      </c>
    </row>
    <row r="19" spans="15:25">
      <c r="S19" s="33">
        <f>'가계부 요약'!W36</f>
        <v>0</v>
      </c>
      <c r="T19" s="30" t="str">
        <f>IF(S19="총합계",SUM($T$7:T18),IF('가계부 요약'!X36=0,"",'가계부 요약'!X36))</f>
        <v/>
      </c>
      <c r="U19" s="34">
        <f>'가계부 요약'!Y36</f>
        <v>0</v>
      </c>
    </row>
    <row r="20" spans="15:25">
      <c r="S20" s="33">
        <f>'가계부 요약'!W37</f>
        <v>0</v>
      </c>
      <c r="T20" s="30" t="str">
        <f>IF(S20="총합계",SUM($T$7:T19),IF('가계부 요약'!X37=0,"",'가계부 요약'!X37))</f>
        <v/>
      </c>
      <c r="U20" s="34">
        <f>'가계부 요약'!Y37</f>
        <v>0</v>
      </c>
    </row>
    <row r="21" spans="15:25">
      <c r="S21" s="33">
        <f>'가계부 요약'!W38</f>
        <v>0</v>
      </c>
      <c r="T21" s="30" t="str">
        <f>IF(S21="총합계",SUM($T$7:T20),IF('가계부 요약'!X38=0,"",'가계부 요약'!X38))</f>
        <v/>
      </c>
      <c r="U21" s="34">
        <f>'가계부 요약'!Y38</f>
        <v>0</v>
      </c>
    </row>
    <row r="22" spans="15:25">
      <c r="T22" s="40"/>
    </row>
    <row r="35" spans="1:27" s="80" customFormat="1">
      <c r="A35" s="28"/>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81"/>
    </row>
    <row r="37" spans="1:27" s="80" customFormat="1">
      <c r="A37" s="28"/>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81"/>
    </row>
  </sheetData>
  <mergeCells count="4">
    <mergeCell ref="O6:Q6"/>
    <mergeCell ref="S6:U6"/>
    <mergeCell ref="W6:Y6"/>
    <mergeCell ref="O12:Q12"/>
  </mergeCells>
  <phoneticPr fontId="1" type="noConversion"/>
  <conditionalFormatting sqref="S8:U21">
    <cfRule type="expression" dxfId="2" priority="8">
      <formula>$S8="총합계"</formula>
    </cfRule>
  </conditionalFormatting>
  <conditionalFormatting sqref="U7:U21">
    <cfRule type="dataBar" priority="7">
      <dataBar>
        <cfvo type="min"/>
        <cfvo type="max"/>
        <color theme="1" tint="0.34998626667073579"/>
      </dataBar>
      <extLst>
        <ext xmlns:x14="http://schemas.microsoft.com/office/spreadsheetml/2009/9/main" uri="{B025F937-C7B1-47D3-B67F-A62EFF666E3E}">
          <x14:id>{C6CF319B-ED14-44D7-A6CD-B2FEDA60E461}</x14:id>
        </ext>
      </extLst>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6CF319B-ED14-44D7-A6CD-B2FEDA60E461}">
            <x14:dataBar minLength="0" maxLength="100" gradient="0">
              <x14:cfvo type="autoMin"/>
              <x14:cfvo type="autoMax"/>
              <x14:negativeFillColor rgb="FFFF0000"/>
              <x14:axisColor rgb="FF000000"/>
            </x14:dataBar>
          </x14:cfRule>
          <xm:sqref>U7:U21</xm:sqref>
        </x14:conditionalFormatting>
      </x14:conditionalFormattings>
    </ex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C53BB-41BF-4693-9639-53B9659693CD}">
  <sheetPr codeName="Sheet4"/>
  <dimension ref="A1:U51"/>
  <sheetViews>
    <sheetView zoomScaleNormal="100" workbookViewId="0">
      <selection activeCell="R2" sqref="R2:T2"/>
    </sheetView>
  </sheetViews>
  <sheetFormatPr defaultColWidth="8.5" defaultRowHeight="17"/>
  <cols>
    <col min="1" max="1" width="1.58203125" style="62" customWidth="1"/>
    <col min="2" max="2" width="18.33203125" style="55" customWidth="1"/>
    <col min="3" max="3" width="12.83203125" style="60" customWidth="1"/>
    <col min="4" max="4" width="1.58203125" style="55" customWidth="1"/>
    <col min="5" max="5" width="18.33203125" style="55" customWidth="1"/>
    <col min="6" max="6" width="12.83203125" style="60" customWidth="1"/>
    <col min="7" max="7" width="1.58203125" style="55" customWidth="1"/>
    <col min="8" max="8" width="18.33203125" style="55" customWidth="1"/>
    <col min="9" max="9" width="12.83203125" style="60" customWidth="1"/>
    <col min="10" max="10" width="1.58203125" style="55" customWidth="1"/>
    <col min="11" max="11" width="18.33203125" style="55" customWidth="1"/>
    <col min="12" max="12" width="12.83203125" style="60" customWidth="1"/>
    <col min="13" max="13" width="1.58203125" style="55" customWidth="1"/>
    <col min="14" max="14" width="18.33203125" style="55" customWidth="1"/>
    <col min="15" max="15" width="12.83203125" style="60" customWidth="1"/>
    <col min="16" max="16" width="1.58203125" style="55" customWidth="1"/>
    <col min="17" max="17" width="18.33203125" style="55" customWidth="1"/>
    <col min="18" max="18" width="12.83203125" style="60" customWidth="1"/>
    <col min="19" max="19" width="1.58203125" style="55" customWidth="1"/>
    <col min="20" max="20" width="18.33203125" style="55" customWidth="1"/>
    <col min="21" max="21" width="12.83203125" style="60" customWidth="1"/>
    <col min="22" max="16384" width="8.5" style="51"/>
  </cols>
  <sheetData>
    <row r="1" spans="1:21" ht="10.5" customHeight="1"/>
    <row r="2" spans="1:21" ht="30" customHeight="1" thickBot="1">
      <c r="H2" s="74">
        <v>2025</v>
      </c>
      <c r="I2" s="74" t="s">
        <v>837</v>
      </c>
      <c r="J2" s="74"/>
      <c r="K2" s="74">
        <v>7</v>
      </c>
      <c r="L2" s="75" t="s">
        <v>107</v>
      </c>
      <c r="M2" s="64"/>
      <c r="N2" s="65" t="s">
        <v>843</v>
      </c>
      <c r="O2" s="66">
        <v>20000</v>
      </c>
      <c r="P2" s="67"/>
      <c r="R2" s="85" t="str">
        <f>IF(K2='가계부 요약'!S6,"사용금액: "&amp;TEXT('가계부 요약'!X23,"₩   #,##0"),"")</f>
        <v/>
      </c>
      <c r="S2" s="85"/>
      <c r="T2" s="85"/>
    </row>
    <row r="3" spans="1:21" ht="28.5" customHeight="1" thickTop="1" thickBot="1">
      <c r="B3" s="86" t="s">
        <v>108</v>
      </c>
      <c r="C3" s="86"/>
      <c r="D3" s="56"/>
      <c r="E3" s="88" t="s">
        <v>107</v>
      </c>
      <c r="F3" s="88"/>
      <c r="G3" s="56"/>
      <c r="H3" s="88" t="s">
        <v>838</v>
      </c>
      <c r="I3" s="88"/>
      <c r="J3" s="56"/>
      <c r="K3" s="88" t="s">
        <v>839</v>
      </c>
      <c r="L3" s="88"/>
      <c r="M3" s="56"/>
      <c r="N3" s="88" t="s">
        <v>840</v>
      </c>
      <c r="O3" s="88"/>
      <c r="P3" s="56"/>
      <c r="Q3" s="88" t="s">
        <v>841</v>
      </c>
      <c r="R3" s="88"/>
      <c r="S3" s="56"/>
      <c r="T3" s="87" t="s">
        <v>842</v>
      </c>
      <c r="U3" s="87"/>
    </row>
    <row r="4" spans="1:21" s="52" customFormat="1" ht="23.5" thickTop="1">
      <c r="A4" s="53">
        <v>0</v>
      </c>
      <c r="B4" s="68">
        <f>DATE(H2,K2,1)-WEEKDAY(DATE(H2,K2,1),2)</f>
        <v>45837</v>
      </c>
      <c r="C4" s="69">
        <f>COUNTIF(가계부!$B:$B,B4)</f>
        <v>1</v>
      </c>
      <c r="D4" s="57"/>
      <c r="E4" s="70">
        <f>B4+1</f>
        <v>45838</v>
      </c>
      <c r="F4" s="69">
        <f>COUNTIF(가계부!$B:$B,E4)</f>
        <v>3</v>
      </c>
      <c r="G4" s="57"/>
      <c r="H4" s="70">
        <f>E4+1</f>
        <v>45839</v>
      </c>
      <c r="I4" s="69">
        <f>COUNTIF(가계부!$B:$B,H4)</f>
        <v>1</v>
      </c>
      <c r="J4" s="57"/>
      <c r="K4" s="70">
        <f>H4+1</f>
        <v>45840</v>
      </c>
      <c r="L4" s="69">
        <f>COUNTIF(가계부!$B:$B,K4)</f>
        <v>2</v>
      </c>
      <c r="M4" s="57"/>
      <c r="N4" s="70">
        <f>K4+1</f>
        <v>45841</v>
      </c>
      <c r="O4" s="69">
        <f>COUNTIF(가계부!$B:$B,N4)</f>
        <v>2</v>
      </c>
      <c r="P4" s="57"/>
      <c r="Q4" s="70">
        <f>N4+1</f>
        <v>45842</v>
      </c>
      <c r="R4" s="69">
        <f>COUNTIF(가계부!$B:$B,Q4)</f>
        <v>1</v>
      </c>
      <c r="S4" s="57"/>
      <c r="T4" s="71">
        <f>Q4+1</f>
        <v>45843</v>
      </c>
      <c r="U4" s="69">
        <f>COUNTIF(가계부!$B:$B,T4)</f>
        <v>5</v>
      </c>
    </row>
    <row r="5" spans="1:21">
      <c r="A5" s="62">
        <v>1</v>
      </c>
      <c r="B5" s="59" t="str">
        <f>IF(MONTH(B$4)=$K$2,IFERROR(VLOOKUP(TEXT(TEXT(B$4,"yyyymmdd"),"00000000")&amp;TEXT($A5,"00"),가계부!$A:$L,12,FALSE),""),"")</f>
        <v/>
      </c>
      <c r="C5" s="61" t="str">
        <f>IF(MONTH(B$4)=$K$2,IFERROR(VLOOKUP(TEXT(TEXT(B$4,"yyyymmdd"),"00000000")&amp;TEXT($A5,"00"),가계부!$A:$J,10,FALSE),""),"")</f>
        <v/>
      </c>
      <c r="E5" s="59" t="str">
        <f>IF(MONTH(E$4)=$K$2,IFERROR(VLOOKUP(TEXT(TEXT(E$4,"yyyymmdd"),"00000000")&amp;TEXT($A5,"00"),가계부!$A:$L,12,FALSE),""),"")</f>
        <v/>
      </c>
      <c r="F5" s="61" t="str">
        <f>IF(MONTH(E$4)=$K$2,IFERROR(VLOOKUP(TEXT(TEXT(E$4,"yyyymmdd"),"00000000")&amp;TEXT($A5,"00"),가계부!$A:$J,10,FALSE),""),"")</f>
        <v/>
      </c>
      <c r="H5" s="59" t="str">
        <f>IF(MONTH(H$4)=$K$2,IFERROR(VLOOKUP(TEXT(TEXT(H$4,"yyyymmdd"),"00000000")&amp;TEXT($A5,"00"),가계부!$A:$L,12,FALSE),""),"")</f>
        <v>권은희</v>
      </c>
      <c r="I5" s="61">
        <f>IF(MONTH(H$4)=$K$2,IFERROR(VLOOKUP(TEXT(TEXT(H$4,"yyyymmdd"),"00000000")&amp;TEXT($A5,"00"),가계부!$A:$J,10,FALSE),""),"")</f>
        <v>-600000</v>
      </c>
      <c r="K5" s="59" t="str">
        <f>IF(MONTH(K$4)=$K$2,IFERROR(VLOOKUP(TEXT(TEXT(K$4,"yyyymmdd"),"00000000")&amp;TEXT($A5,"00"),가계부!$A:$L,12,FALSE),""),"")</f>
        <v>태양의토마토라멘</v>
      </c>
      <c r="L5" s="61">
        <f>IF(MONTH(K$4)=$K$2,IFERROR(VLOOKUP(TEXT(TEXT(K$4,"yyyymmdd"),"00000000")&amp;TEXT($A5,"00"),가계부!$A:$J,10,FALSE),""),"")</f>
        <v>11000</v>
      </c>
      <c r="N5" s="59" t="str">
        <f>IF(MONTH(N$4)=$K$2,IFERROR(VLOOKUP(TEXT(TEXT(N$4,"yyyymmdd"),"00000000")&amp;TEXT($A5,"00"),가계부!$A:$L,12,FALSE),""),"")</f>
        <v>서기남헤어클리닉</v>
      </c>
      <c r="O5" s="61">
        <f>IF(MONTH(N$4)=$K$2,IFERROR(VLOOKUP(TEXT(TEXT(N$4,"yyyymmdd"),"00000000")&amp;TEXT($A5,"00"),가계부!$A:$J,10,FALSE),""),"")</f>
        <v>15000</v>
      </c>
      <c r="Q5" s="59" t="str">
        <f>IF(MONTH(Q$4)=$K$2,IFERROR(VLOOKUP(TEXT(TEXT(Q$4,"yyyymmdd"),"00000000")&amp;TEXT($A5,"00"),가계부!$A:$L,12,FALSE),""),"")</f>
        <v>네이버쇼핑</v>
      </c>
      <c r="R5" s="61">
        <f>IF(MONTH(Q$4)=$K$2,IFERROR(VLOOKUP(TEXT(TEXT(Q$4,"yyyymmdd"),"00000000")&amp;TEXT($A5,"00"),가계부!$A:$J,10,FALSE),""),"")</f>
        <v>34900</v>
      </c>
      <c r="T5" s="59" t="str">
        <f>IF(MONTH(T$4)=$K$2,IFERROR(VLOOKUP(TEXT(TEXT(T$4,"yyyymmdd"),"00000000")&amp;TEXT($A5,"00"),가계부!$A:$L,12,FALSE),""),"")</f>
        <v>두잇</v>
      </c>
      <c r="U5" s="61">
        <f>IF(MONTH(T$4)=$K$2,IFERROR(VLOOKUP(TEXT(TEXT(T$4,"yyyymmdd"),"00000000")&amp;TEXT($A5,"00"),가계부!$A:$J,10,FALSE),""),"")</f>
        <v>2900</v>
      </c>
    </row>
    <row r="6" spans="1:21">
      <c r="A6" s="62">
        <v>2</v>
      </c>
      <c r="B6" s="59" t="str">
        <f>IF(MONTH(B$4)=$K$2,IFERROR(VLOOKUP(TEXT(TEXT(B$4,"yyyymmdd"),"00000000")&amp;TEXT($A6,"00"),가계부!$A:$L,12,FALSE),""),"")</f>
        <v/>
      </c>
      <c r="C6" s="61" t="str">
        <f>IF(MONTH(B$4)=$K$2,IFERROR(VLOOKUP(TEXT(TEXT(B$4,"yyyymmdd"),"00000000")&amp;TEXT($A6,"00"),가계부!$A:$J,10,FALSE),""),"")</f>
        <v/>
      </c>
      <c r="E6" s="59" t="str">
        <f>IF(MONTH(E$4)=$K$2,IFERROR(VLOOKUP(TEXT(TEXT(E$4,"yyyymmdd"),"00000000")&amp;TEXT($A6,"00"),가계부!$A:$L,12,FALSE),""),"")</f>
        <v/>
      </c>
      <c r="F6" s="61" t="str">
        <f>IF(MONTH(E$4)=$K$2,IFERROR(VLOOKUP(TEXT(TEXT(E$4,"yyyymmdd"),"00000000")&amp;TEXT($A6,"00"),가계부!$A:$J,10,FALSE),""),"")</f>
        <v/>
      </c>
      <c r="H6" s="59" t="str">
        <f>IF(MONTH(H$4)=$K$2,IFERROR(VLOOKUP(TEXT(TEXT(H$4,"yyyymmdd"),"00000000")&amp;TEXT($A6,"00"),가계부!$A:$L,12,FALSE),""),"")</f>
        <v/>
      </c>
      <c r="I6" s="61" t="str">
        <f>IF(MONTH(H$4)=$K$2,IFERROR(VLOOKUP(TEXT(TEXT(H$4,"yyyymmdd"),"00000000")&amp;TEXT($A6,"00"),가계부!$A:$J,10,FALSE),""),"")</f>
        <v/>
      </c>
      <c r="K6" s="59" t="str">
        <f>IF(MONTH(K$4)=$K$2,IFERROR(VLOOKUP(TEXT(TEXT(K$4,"yyyymmdd"),"00000000")&amp;TEXT($A6,"00"),가계부!$A:$L,12,FALSE),""),"")</f>
        <v>투썸플레이스</v>
      </c>
      <c r="L6" s="61">
        <f>IF(MONTH(K$4)=$K$2,IFERROR(VLOOKUP(TEXT(TEXT(K$4,"yyyymmdd"),"00000000")&amp;TEXT($A6,"00"),가계부!$A:$J,10,FALSE),""),"")</f>
        <v>6600</v>
      </c>
      <c r="N6" s="59" t="str">
        <f>IF(MONTH(N$4)=$K$2,IFERROR(VLOOKUP(TEXT(TEXT(N$4,"yyyymmdd"),"00000000")&amp;TEXT($A6,"00"),가계부!$A:$L,12,FALSE),""),"")</f>
        <v>교통비 출금</v>
      </c>
      <c r="O6" s="61">
        <f>IF(MONTH(N$4)=$K$2,IFERROR(VLOOKUP(TEXT(TEXT(N$4,"yyyymmdd"),"00000000")&amp;TEXT($A6,"00"),가계부!$A:$J,10,FALSE),""),"")</f>
        <v>22080</v>
      </c>
      <c r="Q6" s="59" t="str">
        <f>IF(MONTH(Q$4)=$K$2,IFERROR(VLOOKUP(TEXT(TEXT(Q$4,"yyyymmdd"),"00000000")&amp;TEXT($A6,"00"),가계부!$A:$L,12,FALSE),""),"")</f>
        <v/>
      </c>
      <c r="R6" s="61" t="str">
        <f>IF(MONTH(Q$4)=$K$2,IFERROR(VLOOKUP(TEXT(TEXT(Q$4,"yyyymmdd"),"00000000")&amp;TEXT($A6,"00"),가계부!$A:$J,10,FALSE),""),"")</f>
        <v/>
      </c>
      <c r="T6" s="59" t="str">
        <f>IF(MONTH(T$4)=$K$2,IFERROR(VLOOKUP(TEXT(TEXT(T$4,"yyyymmdd"),"00000000")&amp;TEXT($A6,"00"),가계부!$A:$L,12,FALSE),""),"")</f>
        <v>베트남휴게소</v>
      </c>
      <c r="U6" s="61">
        <f>IF(MONTH(T$4)=$K$2,IFERROR(VLOOKUP(TEXT(TEXT(T$4,"yyyymmdd"),"00000000")&amp;TEXT($A6,"00"),가계부!$A:$J,10,FALSE),""),"")</f>
        <v>10000</v>
      </c>
    </row>
    <row r="7" spans="1:21">
      <c r="A7" s="62">
        <v>3</v>
      </c>
      <c r="B7" s="59" t="str">
        <f>IF(MONTH(B$4)=$K$2,IFERROR(VLOOKUP(TEXT(TEXT(B$4,"yyyymmdd"),"00000000")&amp;TEXT($A7,"00"),가계부!$A:$L,12,FALSE),""),"")</f>
        <v/>
      </c>
      <c r="C7" s="61" t="str">
        <f>IF(MONTH(B$4)=$K$2,IFERROR(VLOOKUP(TEXT(TEXT(B$4,"yyyymmdd"),"00000000")&amp;TEXT($A7,"00"),가계부!$A:$J,10,FALSE),""),"")</f>
        <v/>
      </c>
      <c r="E7" s="59" t="str">
        <f>IF(MONTH(E$4)=$K$2,IFERROR(VLOOKUP(TEXT(TEXT(E$4,"yyyymmdd"),"00000000")&amp;TEXT($A7,"00"),가계부!$A:$L,12,FALSE),""),"")</f>
        <v/>
      </c>
      <c r="F7" s="61" t="str">
        <f>IF(MONTH(E$4)=$K$2,IFERROR(VLOOKUP(TEXT(TEXT(E$4,"yyyymmdd"),"00000000")&amp;TEXT($A7,"00"),가계부!$A:$J,10,FALSE),""),"")</f>
        <v/>
      </c>
      <c r="H7" s="59" t="str">
        <f>IF(MONTH(H$4)=$K$2,IFERROR(VLOOKUP(TEXT(TEXT(H$4,"yyyymmdd"),"00000000")&amp;TEXT($A7,"00"),가계부!$A:$L,12,FALSE),""),"")</f>
        <v/>
      </c>
      <c r="I7" s="61" t="str">
        <f>IF(MONTH(H$4)=$K$2,IFERROR(VLOOKUP(TEXT(TEXT(H$4,"yyyymmdd"),"00000000")&amp;TEXT($A7,"00"),가계부!$A:$J,10,FALSE),""),"")</f>
        <v/>
      </c>
      <c r="K7" s="59" t="str">
        <f>IF(MONTH(K$4)=$K$2,IFERROR(VLOOKUP(TEXT(TEXT(K$4,"yyyymmdd"),"00000000")&amp;TEXT($A7,"00"),가계부!$A:$L,12,FALSE),""),"")</f>
        <v/>
      </c>
      <c r="L7" s="61" t="str">
        <f>IF(MONTH(K$4)=$K$2,IFERROR(VLOOKUP(TEXT(TEXT(K$4,"yyyymmdd"),"00000000")&amp;TEXT($A7,"00"),가계부!$A:$J,10,FALSE),""),"")</f>
        <v/>
      </c>
      <c r="N7" s="59" t="str">
        <f>IF(MONTH(N$4)=$K$2,IFERROR(VLOOKUP(TEXT(TEXT(N$4,"yyyymmdd"),"00000000")&amp;TEXT($A7,"00"),가계부!$A:$L,12,FALSE),""),"")</f>
        <v/>
      </c>
      <c r="O7" s="61" t="str">
        <f>IF(MONTH(N$4)=$K$2,IFERROR(VLOOKUP(TEXT(TEXT(N$4,"yyyymmdd"),"00000000")&amp;TEXT($A7,"00"),가계부!$A:$J,10,FALSE),""),"")</f>
        <v/>
      </c>
      <c r="Q7" s="59" t="str">
        <f>IF(MONTH(Q$4)=$K$2,IFERROR(VLOOKUP(TEXT(TEXT(Q$4,"yyyymmdd"),"00000000")&amp;TEXT($A7,"00"),가계부!$A:$L,12,FALSE),""),"")</f>
        <v/>
      </c>
      <c r="R7" s="61" t="str">
        <f>IF(MONTH(Q$4)=$K$2,IFERROR(VLOOKUP(TEXT(TEXT(Q$4,"yyyymmdd"),"00000000")&amp;TEXT($A7,"00"),가계부!$A:$J,10,FALSE),""),"")</f>
        <v/>
      </c>
      <c r="T7" s="59" t="str">
        <f>IF(MONTH(T$4)=$K$2,IFERROR(VLOOKUP(TEXT(TEXT(T$4,"yyyymmdd"),"00000000")&amp;TEXT($A7,"00"),가계부!$A:$L,12,FALSE),""),"")</f>
        <v>아비오그란데</v>
      </c>
      <c r="U7" s="61">
        <f>IF(MONTH(T$4)=$K$2,IFERROR(VLOOKUP(TEXT(TEXT(T$4,"yyyymmdd"),"00000000")&amp;TEXT($A7,"00"),가계부!$A:$J,10,FALSE),""),"")</f>
        <v>7100</v>
      </c>
    </row>
    <row r="8" spans="1:21">
      <c r="A8" s="62">
        <v>4</v>
      </c>
      <c r="B8" s="59" t="str">
        <f>IF(MONTH(B$4)=$K$2,IFERROR(VLOOKUP(TEXT(TEXT(B$4,"yyyymmdd"),"00000000")&amp;TEXT($A8,"00"),가계부!$A:$L,12,FALSE),""),"")</f>
        <v/>
      </c>
      <c r="C8" s="61" t="str">
        <f>IF(MONTH(B$4)=$K$2,IFERROR(VLOOKUP(TEXT(TEXT(B$4,"yyyymmdd"),"00000000")&amp;TEXT($A8,"00"),가계부!$A:$J,10,FALSE),""),"")</f>
        <v/>
      </c>
      <c r="E8" s="59" t="str">
        <f>IF(MONTH(E$4)=$K$2,IFERROR(VLOOKUP(TEXT(TEXT(E$4,"yyyymmdd"),"00000000")&amp;TEXT($A8,"00"),가계부!$A:$L,12,FALSE),""),"")</f>
        <v/>
      </c>
      <c r="F8" s="61" t="str">
        <f>IF(MONTH(E$4)=$K$2,IFERROR(VLOOKUP(TEXT(TEXT(E$4,"yyyymmdd"),"00000000")&amp;TEXT($A8,"00"),가계부!$A:$J,10,FALSE),""),"")</f>
        <v/>
      </c>
      <c r="H8" s="59" t="str">
        <f>IF(MONTH(H$4)=$K$2,IFERROR(VLOOKUP(TEXT(TEXT(H$4,"yyyymmdd"),"00000000")&amp;TEXT($A8,"00"),가계부!$A:$L,12,FALSE),""),"")</f>
        <v/>
      </c>
      <c r="I8" s="61" t="str">
        <f>IF(MONTH(H$4)=$K$2,IFERROR(VLOOKUP(TEXT(TEXT(H$4,"yyyymmdd"),"00000000")&amp;TEXT($A8,"00"),가계부!$A:$J,10,FALSE),""),"")</f>
        <v/>
      </c>
      <c r="K8" s="59" t="str">
        <f>IF(MONTH(K$4)=$K$2,IFERROR(VLOOKUP(TEXT(TEXT(K$4,"yyyymmdd"),"00000000")&amp;TEXT($A8,"00"),가계부!$A:$L,12,FALSE),""),"")</f>
        <v/>
      </c>
      <c r="L8" s="61" t="str">
        <f>IF(MONTH(K$4)=$K$2,IFERROR(VLOOKUP(TEXT(TEXT(K$4,"yyyymmdd"),"00000000")&amp;TEXT($A8,"00"),가계부!$A:$J,10,FALSE),""),"")</f>
        <v/>
      </c>
      <c r="N8" s="59" t="str">
        <f>IF(MONTH(N$4)=$K$2,IFERROR(VLOOKUP(TEXT(TEXT(N$4,"yyyymmdd"),"00000000")&amp;TEXT($A8,"00"),가계부!$A:$L,12,FALSE),""),"")</f>
        <v/>
      </c>
      <c r="O8" s="61" t="str">
        <f>IF(MONTH(N$4)=$K$2,IFERROR(VLOOKUP(TEXT(TEXT(N$4,"yyyymmdd"),"00000000")&amp;TEXT($A8,"00"),가계부!$A:$J,10,FALSE),""),"")</f>
        <v/>
      </c>
      <c r="Q8" s="59" t="str">
        <f>IF(MONTH(Q$4)=$K$2,IFERROR(VLOOKUP(TEXT(TEXT(Q$4,"yyyymmdd"),"00000000")&amp;TEXT($A8,"00"),가계부!$A:$L,12,FALSE),""),"")</f>
        <v/>
      </c>
      <c r="R8" s="61" t="str">
        <f>IF(MONTH(Q$4)=$K$2,IFERROR(VLOOKUP(TEXT(TEXT(Q$4,"yyyymmdd"),"00000000")&amp;TEXT($A8,"00"),가계부!$A:$J,10,FALSE),""),"")</f>
        <v/>
      </c>
      <c r="T8" s="59" t="str">
        <f>IF(MONTH(T$4)=$K$2,IFERROR(VLOOKUP(TEXT(TEXT(T$4,"yyyymmdd"),"00000000")&amp;TEXT($A8,"00"),가계부!$A:$L,12,FALSE),""),"")</f>
        <v>에버랜드</v>
      </c>
      <c r="U8" s="61">
        <f>IF(MONTH(T$4)=$K$2,IFERROR(VLOOKUP(TEXT(TEXT(T$4,"yyyymmdd"),"00000000")&amp;TEXT($A8,"00"),가계부!$A:$J,10,FALSE),""),"")</f>
        <v>16500</v>
      </c>
    </row>
    <row r="9" spans="1:21" ht="17.5" thickBot="1">
      <c r="A9" s="62">
        <v>5</v>
      </c>
      <c r="B9" s="59" t="str">
        <f>IF(MONTH(B$4)=$K$2,IFERROR(VLOOKUP(TEXT(TEXT(B$4,"yyyymmdd"),"00000000")&amp;TEXT($A9,"00"),가계부!$A:$L,12,FALSE),""),"")</f>
        <v/>
      </c>
      <c r="C9" s="61" t="str">
        <f>IF(MONTH(B$4)=$K$2,IFERROR(VLOOKUP(TEXT(TEXT(B$4,"yyyymmdd"),"00000000")&amp;TEXT($A9,"00"),가계부!$A:$J,10,FALSE),""),"")</f>
        <v/>
      </c>
      <c r="E9" s="59" t="str">
        <f>IF(MONTH(E$4)=$K$2,IFERROR(VLOOKUP(TEXT(TEXT(E$4,"yyyymmdd"),"00000000")&amp;TEXT($A9,"00"),가계부!$A:$L,12,FALSE),""),"")</f>
        <v/>
      </c>
      <c r="F9" s="61" t="str">
        <f>IF(MONTH(E$4)=$K$2,IFERROR(VLOOKUP(TEXT(TEXT(E$4,"yyyymmdd"),"00000000")&amp;TEXT($A9,"00"),가계부!$A:$J,10,FALSE),""),"")</f>
        <v/>
      </c>
      <c r="H9" s="59" t="str">
        <f>IF(MONTH(H$4)=$K$2,IFERROR(VLOOKUP(TEXT(TEXT(H$4,"yyyymmdd"),"00000000")&amp;TEXT($A9,"00"),가계부!$A:$L,12,FALSE),""),"")</f>
        <v/>
      </c>
      <c r="I9" s="61" t="str">
        <f>IF(MONTH(H$4)=$K$2,IFERROR(VLOOKUP(TEXT(TEXT(H$4,"yyyymmdd"),"00000000")&amp;TEXT($A9,"00"),가계부!$A:$J,10,FALSE),""),"")</f>
        <v/>
      </c>
      <c r="K9" s="59" t="str">
        <f>IF(MONTH(K$4)=$K$2,IFERROR(VLOOKUP(TEXT(TEXT(K$4,"yyyymmdd"),"00000000")&amp;TEXT($A9,"00"),가계부!$A:$L,12,FALSE),""),"")</f>
        <v/>
      </c>
      <c r="L9" s="61" t="str">
        <f>IF(MONTH(K$4)=$K$2,IFERROR(VLOOKUP(TEXT(TEXT(K$4,"yyyymmdd"),"00000000")&amp;TEXT($A9,"00"),가계부!$A:$J,10,FALSE),""),"")</f>
        <v/>
      </c>
      <c r="N9" s="59" t="str">
        <f>IF(MONTH(N$4)=$K$2,IFERROR(VLOOKUP(TEXT(TEXT(N$4,"yyyymmdd"),"00000000")&amp;TEXT($A9,"00"),가계부!$A:$L,12,FALSE),""),"")</f>
        <v/>
      </c>
      <c r="O9" s="61" t="str">
        <f>IF(MONTH(N$4)=$K$2,IFERROR(VLOOKUP(TEXT(TEXT(N$4,"yyyymmdd"),"00000000")&amp;TEXT($A9,"00"),가계부!$A:$J,10,FALSE),""),"")</f>
        <v/>
      </c>
      <c r="Q9" s="59" t="str">
        <f>IF(MONTH(Q$4)=$K$2,IFERROR(VLOOKUP(TEXT(TEXT(Q$4,"yyyymmdd"),"00000000")&amp;TEXT($A9,"00"),가계부!$A:$L,12,FALSE),""),"")</f>
        <v/>
      </c>
      <c r="R9" s="61" t="str">
        <f>IF(MONTH(Q$4)=$K$2,IFERROR(VLOOKUP(TEXT(TEXT(Q$4,"yyyymmdd"),"00000000")&amp;TEXT($A9,"00"),가계부!$A:$J,10,FALSE),""),"")</f>
        <v/>
      </c>
      <c r="T9" s="59" t="str">
        <f>IF(MONTH(T$4)=$K$2,IFERROR(VLOOKUP(TEXT(TEXT(T$4,"yyyymmdd"),"00000000")&amp;TEXT($A9,"00"),가계부!$A:$L,12,FALSE),""),"")</f>
        <v>에버랜드</v>
      </c>
      <c r="U9" s="61">
        <f>IF(MONTH(T$4)=$K$2,IFERROR(VLOOKUP(TEXT(TEXT(T$4,"yyyymmdd"),"00000000")&amp;TEXT($A9,"00"),가계부!$A:$J,10,FALSE),""),"")</f>
        <v>10500</v>
      </c>
    </row>
    <row r="10" spans="1:21" s="54" customFormat="1" ht="17.5" thickBot="1">
      <c r="A10" s="63">
        <v>6</v>
      </c>
      <c r="B10" s="72"/>
      <c r="C10" s="73">
        <f>IF(AND(C4&gt;5,C5&lt;&gt;""),"+"&amp;C4-5&amp;"건",SUMIF(C5:C9,"&gt;0"))</f>
        <v>0</v>
      </c>
      <c r="D10" s="58"/>
      <c r="E10" s="72"/>
      <c r="F10" s="73">
        <f>IF(AND(F4&gt;5,F5&lt;&gt;""),"+"&amp;F4-5&amp;"건",SUMIF(F5:F9,"&gt;0"))</f>
        <v>0</v>
      </c>
      <c r="G10" s="58"/>
      <c r="H10" s="72"/>
      <c r="I10" s="73">
        <f>IF(AND(I4&gt;5,I5&lt;&gt;""),"+"&amp;I4-5&amp;"건",SUMIF(I5:I9,"&gt;0"))</f>
        <v>0</v>
      </c>
      <c r="J10" s="58"/>
      <c r="K10" s="72"/>
      <c r="L10" s="73">
        <f>IF(AND(L4&gt;5,L5&lt;&gt;""),"+"&amp;L4-5&amp;"건",SUMIF(L5:L9,"&gt;0"))</f>
        <v>17600</v>
      </c>
      <c r="M10" s="58"/>
      <c r="N10" s="72"/>
      <c r="O10" s="73">
        <f>IF(AND(O4&gt;5,O5&lt;&gt;""),"+"&amp;O4-5&amp;"건",SUMIF(O5:O9,"&gt;0"))</f>
        <v>37080</v>
      </c>
      <c r="P10" s="58"/>
      <c r="Q10" s="72"/>
      <c r="R10" s="73">
        <f>IF(AND(R4&gt;5,R5&lt;&gt;""),"+"&amp;R4-5&amp;"건",SUMIF(R5:R9,"&gt;0"))</f>
        <v>34900</v>
      </c>
      <c r="S10" s="58"/>
      <c r="T10" s="72"/>
      <c r="U10" s="73">
        <f>IF(AND(U4&gt;5,U5&lt;&gt;""),"+"&amp;U4-5&amp;"건",SUMIF(U5:U9,"&gt;0"))</f>
        <v>47000</v>
      </c>
    </row>
    <row r="11" spans="1:21" ht="10" customHeight="1" thickTop="1" thickBot="1"/>
    <row r="12" spans="1:21" s="52" customFormat="1" ht="23.5" thickTop="1">
      <c r="A12" s="53">
        <v>0</v>
      </c>
      <c r="B12" s="68">
        <f>B4+7</f>
        <v>45844</v>
      </c>
      <c r="C12" s="69">
        <f>COUNTIF(가계부!$B:$B,B12)</f>
        <v>0</v>
      </c>
      <c r="D12" s="57"/>
      <c r="E12" s="70">
        <f>E4+7</f>
        <v>45845</v>
      </c>
      <c r="F12" s="69">
        <f>COUNTIF(가계부!$B:$B,E12)</f>
        <v>3</v>
      </c>
      <c r="G12" s="57"/>
      <c r="H12" s="70">
        <f>H4+7</f>
        <v>45846</v>
      </c>
      <c r="I12" s="69">
        <f>COUNTIF(가계부!$B:$B,H12)</f>
        <v>4</v>
      </c>
      <c r="J12" s="57"/>
      <c r="K12" s="70">
        <f>K4+7</f>
        <v>45847</v>
      </c>
      <c r="L12" s="69">
        <f>COUNTIF(가계부!$B:$B,K12)</f>
        <v>1</v>
      </c>
      <c r="M12" s="57"/>
      <c r="N12" s="70">
        <f>N4+7</f>
        <v>45848</v>
      </c>
      <c r="O12" s="69">
        <f>COUNTIF(가계부!$B:$B,N12)</f>
        <v>1</v>
      </c>
      <c r="P12" s="57"/>
      <c r="Q12" s="70">
        <f>Q4+7</f>
        <v>45849</v>
      </c>
      <c r="R12" s="69">
        <f>COUNTIF(가계부!$B:$B,Q12)</f>
        <v>2</v>
      </c>
      <c r="S12" s="57"/>
      <c r="T12" s="71">
        <f>T4+7</f>
        <v>45850</v>
      </c>
      <c r="U12" s="69">
        <f>COUNTIF(가계부!$B:$B,T12)</f>
        <v>1</v>
      </c>
    </row>
    <row r="13" spans="1:21">
      <c r="A13" s="62">
        <v>1</v>
      </c>
      <c r="B13" s="59" t="str">
        <f>IFERROR(VLOOKUP(TEXT(TEXT(B$12,"yyyymmdd"),"00000000")&amp;TEXT($A13,"00"),가계부!$A:$L,12,FALSE),"")</f>
        <v/>
      </c>
      <c r="C13" s="61" t="str">
        <f>IFERROR(VLOOKUP(TEXT(TEXT(B$12,"yyyymmdd"),"00000000")&amp;TEXT($A13,"00"),가계부!$A:$J,10,FALSE),"")</f>
        <v/>
      </c>
      <c r="E13" s="59" t="str">
        <f>IFERROR(VLOOKUP(TEXT(TEXT(E$12,"yyyymmdd"),"00000000")&amp;TEXT($A13,"00"),가계부!$A:$L,12,FALSE),"")</f>
        <v>멘동</v>
      </c>
      <c r="F13" s="61">
        <f>IFERROR(VLOOKUP(TEXT(TEXT(E$12,"yyyymmdd"),"00000000")&amp;TEXT($A13,"00"),가계부!$A:$J,10,FALSE),"")</f>
        <v>8000</v>
      </c>
      <c r="H13" s="59" t="str">
        <f>IFERROR(VLOOKUP(TEXT(TEXT(H$12,"yyyymmdd"),"00000000")&amp;TEXT($A13,"00"),가계부!$A:$L,12,FALSE),"")</f>
        <v>이마트에브리데이</v>
      </c>
      <c r="I13" s="61">
        <f>IFERROR(VLOOKUP(TEXT(TEXT(H$12,"yyyymmdd"),"00000000")&amp;TEXT($A13,"00"),가계부!$A:$J,10,FALSE),"")</f>
        <v>53850</v>
      </c>
      <c r="K13" s="59" t="str">
        <f>IFERROR(VLOOKUP(TEXT(TEXT(K$12,"yyyymmdd"),"00000000")&amp;TEXT($A13,"00"),가계부!$A:$L,12,FALSE),"")</f>
        <v>서울가스공사</v>
      </c>
      <c r="L13" s="61">
        <f>IFERROR(VLOOKUP(TEXT(TEXT(K$12,"yyyymmdd"),"00000000")&amp;TEXT($A13,"00"),가계부!$A:$J,10,FALSE),"")</f>
        <v>12760</v>
      </c>
      <c r="N13" s="59" t="str">
        <f>IFERROR(VLOOKUP(TEXT(TEXT(N$12,"yyyymmdd"),"00000000")&amp;TEXT($A13,"00"),가계부!$A:$L,12,FALSE),"")</f>
        <v>쿱스캣</v>
      </c>
      <c r="O13" s="61">
        <f>IFERROR(VLOOKUP(TEXT(TEXT(N$12,"yyyymmdd"),"00000000")&amp;TEXT($A13,"00"),가계부!$A:$J,10,FALSE),"")</f>
        <v>1500</v>
      </c>
      <c r="Q13" s="59" t="str">
        <f>IFERROR(VLOOKUP(TEXT(TEXT(Q$12,"yyyymmdd"),"00000000")&amp;TEXT($A13,"00"),가계부!$A:$L,12,FALSE),"")</f>
        <v>밀플랜비</v>
      </c>
      <c r="R13" s="61">
        <f>IFERROR(VLOOKUP(TEXT(TEXT(Q$12,"yyyymmdd"),"00000000")&amp;TEXT($A13,"00"),가계부!$A:$J,10,FALSE),"")</f>
        <v>6500</v>
      </c>
      <c r="T13" s="59" t="str">
        <f>IFERROR(VLOOKUP(TEXT(TEXT(T$12,"yyyymmdd"),"00000000")&amp;TEXT($A13,"00"),가계부!$A:$L,12,FALSE),"")</f>
        <v>GS25</v>
      </c>
      <c r="U13" s="61">
        <f>IFERROR(VLOOKUP(TEXT(TEXT(T$12,"yyyymmdd"),"00000000")&amp;TEXT($A13,"00"),가계부!$A:$J,10,FALSE),"")</f>
        <v>30340</v>
      </c>
    </row>
    <row r="14" spans="1:21">
      <c r="A14" s="62">
        <v>2</v>
      </c>
      <c r="B14" s="59" t="str">
        <f>IFERROR(VLOOKUP(TEXT(TEXT(B$12,"yyyymmdd"),"00000000")&amp;TEXT($A14,"00"),가계부!$A:$L,12,FALSE),"")</f>
        <v/>
      </c>
      <c r="C14" s="61" t="str">
        <f>IFERROR(VLOOKUP(TEXT(TEXT(B$12,"yyyymmdd"),"00000000")&amp;TEXT($A14,"00"),가계부!$A:$J,10,FALSE),"")</f>
        <v/>
      </c>
      <c r="E14" s="59" t="str">
        <f>IFERROR(VLOOKUP(TEXT(TEXT(E$12,"yyyymmdd"),"00000000")&amp;TEXT($A14,"00"),가계부!$A:$L,12,FALSE),"")</f>
        <v>고려삼계탕</v>
      </c>
      <c r="F14" s="61">
        <f>IFERROR(VLOOKUP(TEXT(TEXT(E$12,"yyyymmdd"),"00000000")&amp;TEXT($A14,"00"),가계부!$A:$J,10,FALSE),"")</f>
        <v>9000</v>
      </c>
      <c r="H14" s="59" t="str">
        <f>IFERROR(VLOOKUP(TEXT(TEXT(H$12,"yyyymmdd"),"00000000")&amp;TEXT($A14,"00"),가계부!$A:$L,12,FALSE),"")</f>
        <v>일월분식</v>
      </c>
      <c r="I14" s="61">
        <f>IFERROR(VLOOKUP(TEXT(TEXT(H$12,"yyyymmdd"),"00000000")&amp;TEXT($A14,"00"),가계부!$A:$J,10,FALSE),"")</f>
        <v>4500</v>
      </c>
      <c r="K14" s="59" t="str">
        <f>IFERROR(VLOOKUP(TEXT(TEXT(K$12,"yyyymmdd"),"00000000")&amp;TEXT($A14,"00"),가계부!$A:$L,12,FALSE),"")</f>
        <v/>
      </c>
      <c r="L14" s="61" t="str">
        <f>IFERROR(VLOOKUP(TEXT(TEXT(K$12,"yyyymmdd"),"00000000")&amp;TEXT($A14,"00"),가계부!$A:$J,10,FALSE),"")</f>
        <v/>
      </c>
      <c r="N14" s="59" t="str">
        <f>IFERROR(VLOOKUP(TEXT(TEXT(N$12,"yyyymmdd"),"00000000")&amp;TEXT($A14,"00"),가계부!$A:$L,12,FALSE),"")</f>
        <v/>
      </c>
      <c r="O14" s="61" t="str">
        <f>IFERROR(VLOOKUP(TEXT(TEXT(N$12,"yyyymmdd"),"00000000")&amp;TEXT($A14,"00"),가계부!$A:$J,10,FALSE),"")</f>
        <v/>
      </c>
      <c r="Q14" s="59" t="str">
        <f>IFERROR(VLOOKUP(TEXT(TEXT(Q$12,"yyyymmdd"),"00000000")&amp;TEXT($A14,"00"),가계부!$A:$L,12,FALSE),"")</f>
        <v>GS25</v>
      </c>
      <c r="R14" s="61">
        <f>IFERROR(VLOOKUP(TEXT(TEXT(Q$12,"yyyymmdd"),"00000000")&amp;TEXT($A14,"00"),가계부!$A:$J,10,FALSE),"")</f>
        <v>20500</v>
      </c>
      <c r="T14" s="59" t="str">
        <f>IFERROR(VLOOKUP(TEXT(TEXT(T$12,"yyyymmdd"),"00000000")&amp;TEXT($A14,"00"),가계부!$A:$L,12,FALSE),"")</f>
        <v/>
      </c>
      <c r="U14" s="61" t="str">
        <f>IFERROR(VLOOKUP(TEXT(TEXT(T$12,"yyyymmdd"),"00000000")&amp;TEXT($A14,"00"),가계부!$A:$J,10,FALSE),"")</f>
        <v/>
      </c>
    </row>
    <row r="15" spans="1:21">
      <c r="A15" s="62">
        <v>3</v>
      </c>
      <c r="B15" s="59" t="str">
        <f>IFERROR(VLOOKUP(TEXT(TEXT(B$12,"yyyymmdd"),"00000000")&amp;TEXT($A15,"00"),가계부!$A:$L,12,FALSE),"")</f>
        <v/>
      </c>
      <c r="C15" s="61" t="str">
        <f>IFERROR(VLOOKUP(TEXT(TEXT(B$12,"yyyymmdd"),"00000000")&amp;TEXT($A15,"00"),가계부!$A:$J,10,FALSE),"")</f>
        <v/>
      </c>
      <c r="E15" s="59" t="str">
        <f>IFERROR(VLOOKUP(TEXT(TEXT(E$12,"yyyymmdd"),"00000000")&amp;TEXT($A15,"00"),가계부!$A:$L,12,FALSE),"")</f>
        <v>GS25</v>
      </c>
      <c r="F15" s="61">
        <f>IFERROR(VLOOKUP(TEXT(TEXT(E$12,"yyyymmdd"),"00000000")&amp;TEXT($A15,"00"),가계부!$A:$J,10,FALSE),"")</f>
        <v>18800</v>
      </c>
      <c r="H15" s="59" t="str">
        <f>IFERROR(VLOOKUP(TEXT(TEXT(H$12,"yyyymmdd"),"00000000")&amp;TEXT($A15,"00"),가계부!$A:$L,12,FALSE),"")</f>
        <v>다이소</v>
      </c>
      <c r="I15" s="61">
        <f>IFERROR(VLOOKUP(TEXT(TEXT(H$12,"yyyymmdd"),"00000000")&amp;TEXT($A15,"00"),가계부!$A:$J,10,FALSE),"")</f>
        <v>3000</v>
      </c>
      <c r="K15" s="59" t="str">
        <f>IFERROR(VLOOKUP(TEXT(TEXT(K$12,"yyyymmdd"),"00000000")&amp;TEXT($A15,"00"),가계부!$A:$L,12,FALSE),"")</f>
        <v/>
      </c>
      <c r="L15" s="61" t="str">
        <f>IFERROR(VLOOKUP(TEXT(TEXT(K$12,"yyyymmdd"),"00000000")&amp;TEXT($A15,"00"),가계부!$A:$J,10,FALSE),"")</f>
        <v/>
      </c>
      <c r="N15" s="59" t="str">
        <f>IFERROR(VLOOKUP(TEXT(TEXT(N$12,"yyyymmdd"),"00000000")&amp;TEXT($A15,"00"),가계부!$A:$L,12,FALSE),"")</f>
        <v/>
      </c>
      <c r="O15" s="61" t="str">
        <f>IFERROR(VLOOKUP(TEXT(TEXT(N$12,"yyyymmdd"),"00000000")&amp;TEXT($A15,"00"),가계부!$A:$J,10,FALSE),"")</f>
        <v/>
      </c>
      <c r="Q15" s="59" t="str">
        <f>IFERROR(VLOOKUP(TEXT(TEXT(Q$12,"yyyymmdd"),"00000000")&amp;TEXT($A15,"00"),가계부!$A:$L,12,FALSE),"")</f>
        <v/>
      </c>
      <c r="R15" s="61" t="str">
        <f>IFERROR(VLOOKUP(TEXT(TEXT(Q$12,"yyyymmdd"),"00000000")&amp;TEXT($A15,"00"),가계부!$A:$J,10,FALSE),"")</f>
        <v/>
      </c>
      <c r="T15" s="59" t="str">
        <f>IFERROR(VLOOKUP(TEXT(TEXT(T$12,"yyyymmdd"),"00000000")&amp;TEXT($A15,"00"),가계부!$A:$L,12,FALSE),"")</f>
        <v/>
      </c>
      <c r="U15" s="61" t="str">
        <f>IFERROR(VLOOKUP(TEXT(TEXT(T$12,"yyyymmdd"),"00000000")&amp;TEXT($A15,"00"),가계부!$A:$J,10,FALSE),"")</f>
        <v/>
      </c>
    </row>
    <row r="16" spans="1:21">
      <c r="A16" s="62">
        <v>4</v>
      </c>
      <c r="B16" s="59" t="str">
        <f>IFERROR(VLOOKUP(TEXT(TEXT(B$12,"yyyymmdd"),"00000000")&amp;TEXT($A16,"00"),가계부!$A:$L,12,FALSE),"")</f>
        <v/>
      </c>
      <c r="C16" s="61" t="str">
        <f>IFERROR(VLOOKUP(TEXT(TEXT(B$12,"yyyymmdd"),"00000000")&amp;TEXT($A16,"00"),가계부!$A:$J,10,FALSE),"")</f>
        <v/>
      </c>
      <c r="E16" s="59" t="str">
        <f>IFERROR(VLOOKUP(TEXT(TEXT(E$12,"yyyymmdd"),"00000000")&amp;TEXT($A16,"00"),가계부!$A:$L,12,FALSE),"")</f>
        <v/>
      </c>
      <c r="F16" s="61" t="str">
        <f>IFERROR(VLOOKUP(TEXT(TEXT(E$12,"yyyymmdd"),"00000000")&amp;TEXT($A16,"00"),가계부!$A:$J,10,FALSE),"")</f>
        <v/>
      </c>
      <c r="H16" s="59" t="str">
        <f>IFERROR(VLOOKUP(TEXT(TEXT(H$12,"yyyymmdd"),"00000000")&amp;TEXT($A16,"00"),가계부!$A:$L,12,FALSE),"")</f>
        <v>공차</v>
      </c>
      <c r="I16" s="61">
        <f>IFERROR(VLOOKUP(TEXT(TEXT(H$12,"yyyymmdd"),"00000000")&amp;TEXT($A16,"00"),가계부!$A:$J,10,FALSE),"")</f>
        <v>5200</v>
      </c>
      <c r="K16" s="59" t="str">
        <f>IFERROR(VLOOKUP(TEXT(TEXT(K$12,"yyyymmdd"),"00000000")&amp;TEXT($A16,"00"),가계부!$A:$L,12,FALSE),"")</f>
        <v/>
      </c>
      <c r="L16" s="61" t="str">
        <f>IFERROR(VLOOKUP(TEXT(TEXT(K$12,"yyyymmdd"),"00000000")&amp;TEXT($A16,"00"),가계부!$A:$J,10,FALSE),"")</f>
        <v/>
      </c>
      <c r="N16" s="59" t="str">
        <f>IFERROR(VLOOKUP(TEXT(TEXT(N$12,"yyyymmdd"),"00000000")&amp;TEXT($A16,"00"),가계부!$A:$L,12,FALSE),"")</f>
        <v/>
      </c>
      <c r="O16" s="61" t="str">
        <f>IFERROR(VLOOKUP(TEXT(TEXT(N$12,"yyyymmdd"),"00000000")&amp;TEXT($A16,"00"),가계부!$A:$J,10,FALSE),"")</f>
        <v/>
      </c>
      <c r="Q16" s="59" t="str">
        <f>IFERROR(VLOOKUP(TEXT(TEXT(Q$12,"yyyymmdd"),"00000000")&amp;TEXT($A16,"00"),가계부!$A:$L,12,FALSE),"")</f>
        <v/>
      </c>
      <c r="R16" s="61" t="str">
        <f>IFERROR(VLOOKUP(TEXT(TEXT(Q$12,"yyyymmdd"),"00000000")&amp;TEXT($A16,"00"),가계부!$A:$J,10,FALSE),"")</f>
        <v/>
      </c>
      <c r="T16" s="59" t="str">
        <f>IFERROR(VLOOKUP(TEXT(TEXT(T$12,"yyyymmdd"),"00000000")&amp;TEXT($A16,"00"),가계부!$A:$L,12,FALSE),"")</f>
        <v/>
      </c>
      <c r="U16" s="61" t="str">
        <f>IFERROR(VLOOKUP(TEXT(TEXT(T$12,"yyyymmdd"),"00000000")&amp;TEXT($A16,"00"),가계부!$A:$J,10,FALSE),"")</f>
        <v/>
      </c>
    </row>
    <row r="17" spans="1:21" ht="17.5" thickBot="1">
      <c r="A17" s="62">
        <v>5</v>
      </c>
      <c r="B17" s="59" t="str">
        <f>IFERROR(VLOOKUP(TEXT(TEXT(B$12,"yyyymmdd"),"00000000")&amp;TEXT($A17,"00"),가계부!$A:$L,12,FALSE),"")</f>
        <v/>
      </c>
      <c r="C17" s="61" t="str">
        <f>IFERROR(VLOOKUP(TEXT(TEXT(B$12,"yyyymmdd"),"00000000")&amp;TEXT($A17,"00"),가계부!$A:$J,10,FALSE),"")</f>
        <v/>
      </c>
      <c r="E17" s="59" t="str">
        <f>IFERROR(VLOOKUP(TEXT(TEXT(E$12,"yyyymmdd"),"00000000")&amp;TEXT($A17,"00"),가계부!$A:$L,12,FALSE),"")</f>
        <v/>
      </c>
      <c r="F17" s="61" t="str">
        <f>IFERROR(VLOOKUP(TEXT(TEXT(E$12,"yyyymmdd"),"00000000")&amp;TEXT($A17,"00"),가계부!$A:$J,10,FALSE),"")</f>
        <v/>
      </c>
      <c r="H17" s="59" t="str">
        <f>IFERROR(VLOOKUP(TEXT(TEXT(H$12,"yyyymmdd"),"00000000")&amp;TEXT($A17,"00"),가계부!$A:$L,12,FALSE),"")</f>
        <v/>
      </c>
      <c r="I17" s="61" t="str">
        <f>IFERROR(VLOOKUP(TEXT(TEXT(H$12,"yyyymmdd"),"00000000")&amp;TEXT($A17,"00"),가계부!$A:$J,10,FALSE),"")</f>
        <v/>
      </c>
      <c r="K17" s="59" t="str">
        <f>IFERROR(VLOOKUP(TEXT(TEXT(K$12,"yyyymmdd"),"00000000")&amp;TEXT($A17,"00"),가계부!$A:$L,12,FALSE),"")</f>
        <v/>
      </c>
      <c r="L17" s="61" t="str">
        <f>IFERROR(VLOOKUP(TEXT(TEXT(K$12,"yyyymmdd"),"00000000")&amp;TEXT($A17,"00"),가계부!$A:$J,10,FALSE),"")</f>
        <v/>
      </c>
      <c r="N17" s="59" t="str">
        <f>IFERROR(VLOOKUP(TEXT(TEXT(N$12,"yyyymmdd"),"00000000")&amp;TEXT($A17,"00"),가계부!$A:$L,12,FALSE),"")</f>
        <v/>
      </c>
      <c r="O17" s="61" t="str">
        <f>IFERROR(VLOOKUP(TEXT(TEXT(N$12,"yyyymmdd"),"00000000")&amp;TEXT($A17,"00"),가계부!$A:$J,10,FALSE),"")</f>
        <v/>
      </c>
      <c r="Q17" s="59" t="str">
        <f>IFERROR(VLOOKUP(TEXT(TEXT(Q$12,"yyyymmdd"),"00000000")&amp;TEXT($A17,"00"),가계부!$A:$L,12,FALSE),"")</f>
        <v/>
      </c>
      <c r="R17" s="61" t="str">
        <f>IFERROR(VLOOKUP(TEXT(TEXT(Q$12,"yyyymmdd"),"00000000")&amp;TEXT($A17,"00"),가계부!$A:$J,10,FALSE),"")</f>
        <v/>
      </c>
      <c r="T17" s="59" t="str">
        <f>IFERROR(VLOOKUP(TEXT(TEXT(T$12,"yyyymmdd"),"00000000")&amp;TEXT($A17,"00"),가계부!$A:$L,12,FALSE),"")</f>
        <v/>
      </c>
      <c r="U17" s="61" t="str">
        <f>IFERROR(VLOOKUP(TEXT(TEXT(T$12,"yyyymmdd"),"00000000")&amp;TEXT($A17,"00"),가계부!$A:$J,10,FALSE),"")</f>
        <v/>
      </c>
    </row>
    <row r="18" spans="1:21" s="54" customFormat="1" ht="17.5" thickBot="1">
      <c r="A18" s="63">
        <v>6</v>
      </c>
      <c r="B18" s="72"/>
      <c r="C18" s="73">
        <f>IF(AND(C12&gt;5,C13&lt;&gt;""),"+"&amp;C12-5&amp;"건",SUMIF(C13:C17,"&gt;0"))</f>
        <v>0</v>
      </c>
      <c r="D18" s="58"/>
      <c r="E18" s="72"/>
      <c r="F18" s="73">
        <f>IF(AND(F12&gt;5,F13&lt;&gt;""),"+"&amp;F12-5&amp;"건",SUMIF(F13:F17,"&gt;0"))</f>
        <v>35800</v>
      </c>
      <c r="G18" s="58"/>
      <c r="H18" s="72"/>
      <c r="I18" s="73">
        <f>IF(AND(I12&gt;5,I13&lt;&gt;""),"+"&amp;I12-5&amp;"건",SUMIF(I13:I17,"&gt;0"))</f>
        <v>66550</v>
      </c>
      <c r="J18" s="58"/>
      <c r="K18" s="72"/>
      <c r="L18" s="73">
        <f>IF(AND(L12&gt;5,L13&lt;&gt;""),"+"&amp;L12-5&amp;"건",SUMIF(L13:L17,"&gt;0"))</f>
        <v>12760</v>
      </c>
      <c r="M18" s="58"/>
      <c r="N18" s="72"/>
      <c r="O18" s="73">
        <f>IF(AND(O12&gt;5,O13&lt;&gt;""),"+"&amp;O12-5&amp;"건",SUMIF(O13:O17,"&gt;0"))</f>
        <v>1500</v>
      </c>
      <c r="P18" s="58"/>
      <c r="Q18" s="72"/>
      <c r="R18" s="73">
        <f>IF(AND(R12&gt;5,R13&lt;&gt;""),"+"&amp;R12-5&amp;"건",SUMIF(R13:R17,"&gt;0"))</f>
        <v>27000</v>
      </c>
      <c r="S18" s="58"/>
      <c r="T18" s="72"/>
      <c r="U18" s="73">
        <f>IF(AND(U12&gt;5,U13&lt;&gt;""),"+"&amp;U12-5&amp;"건",SUMIF(U13:U17,"&gt;0"))</f>
        <v>30340</v>
      </c>
    </row>
    <row r="19" spans="1:21" ht="10" customHeight="1" thickTop="1" thickBot="1"/>
    <row r="20" spans="1:21" s="52" customFormat="1" ht="23.5" thickTop="1">
      <c r="A20" s="53">
        <v>0</v>
      </c>
      <c r="B20" s="68">
        <f>B12+7</f>
        <v>45851</v>
      </c>
      <c r="C20" s="69">
        <f>COUNTIF(가계부!$B:$B,B20)</f>
        <v>0</v>
      </c>
      <c r="D20" s="57"/>
      <c r="E20" s="70">
        <f>E12+7</f>
        <v>45852</v>
      </c>
      <c r="F20" s="69">
        <f>COUNTIF(가계부!$B:$B,E20)</f>
        <v>1</v>
      </c>
      <c r="G20" s="57"/>
      <c r="H20" s="70">
        <f>H12+7</f>
        <v>45853</v>
      </c>
      <c r="I20" s="69">
        <f>COUNTIF(가계부!$B:$B,H20)</f>
        <v>1</v>
      </c>
      <c r="J20" s="57"/>
      <c r="K20" s="70">
        <f>K12+7</f>
        <v>45854</v>
      </c>
      <c r="L20" s="69">
        <f>COUNTIF(가계부!$B:$B,K20)</f>
        <v>2</v>
      </c>
      <c r="M20" s="57"/>
      <c r="N20" s="70">
        <f>N12+7</f>
        <v>45855</v>
      </c>
      <c r="O20" s="69">
        <f>COUNTIF(가계부!$B:$B,N20)</f>
        <v>0</v>
      </c>
      <c r="P20" s="57"/>
      <c r="Q20" s="70">
        <f>Q12+7</f>
        <v>45856</v>
      </c>
      <c r="R20" s="69">
        <f>COUNTIF(가계부!$B:$B,Q20)</f>
        <v>1</v>
      </c>
      <c r="S20" s="57"/>
      <c r="T20" s="71">
        <f>T12+7</f>
        <v>45857</v>
      </c>
      <c r="U20" s="69">
        <f>COUNTIF(가계부!$B:$B,T20)</f>
        <v>4</v>
      </c>
    </row>
    <row r="21" spans="1:21">
      <c r="A21" s="62">
        <v>1</v>
      </c>
      <c r="B21" s="59" t="str">
        <f>IFERROR(VLOOKUP(TEXT(TEXT(B$20,"yyyymmdd"),"00000000")&amp;TEXT($A21,"00"),가계부!$A:$L,12,FALSE),"")</f>
        <v/>
      </c>
      <c r="C21" s="61" t="str">
        <f>IFERROR(VLOOKUP(TEXT(TEXT(B$20,"yyyymmdd"),"00000000")&amp;TEXT($A21,"00"),가계부!$A:$J,10,FALSE),"")</f>
        <v/>
      </c>
      <c r="E21" s="59" t="str">
        <f>IFERROR(VLOOKUP(TEXT(TEXT(E$20,"yyyymmdd"),"00000000")&amp;TEXT($A21,"00"),가계부!$A:$L,12,FALSE),"")</f>
        <v>이마트에브리데이</v>
      </c>
      <c r="F21" s="61">
        <f>IFERROR(VLOOKUP(TEXT(TEXT(E$20,"yyyymmdd"),"00000000")&amp;TEXT($A21,"00"),가계부!$A:$J,10,FALSE),"")</f>
        <v>38130</v>
      </c>
      <c r="H21" s="59" t="str">
        <f>IFERROR(VLOOKUP(TEXT(TEXT(H$20,"yyyymmdd"),"00000000")&amp;TEXT($A21,"00"),가계부!$A:$L,12,FALSE),"")</f>
        <v>GS25</v>
      </c>
      <c r="I21" s="61">
        <f>IFERROR(VLOOKUP(TEXT(TEXT(H$20,"yyyymmdd"),"00000000")&amp;TEXT($A21,"00"),가계부!$A:$J,10,FALSE),"")</f>
        <v>3300</v>
      </c>
      <c r="K21" s="59" t="str">
        <f>IFERROR(VLOOKUP(TEXT(TEXT(K$20,"yyyymmdd"),"00000000")&amp;TEXT($A21,"00"),가계부!$A:$L,12,FALSE),"")</f>
        <v>팔도밀방</v>
      </c>
      <c r="L21" s="61">
        <f>IFERROR(VLOOKUP(TEXT(TEXT(K$20,"yyyymmdd"),"00000000")&amp;TEXT($A21,"00"),가계부!$A:$J,10,FALSE),"")</f>
        <v>13000</v>
      </c>
      <c r="N21" s="59" t="str">
        <f>IFERROR(VLOOKUP(TEXT(TEXT(N$20,"yyyymmdd"),"00000000")&amp;TEXT($A21,"00"),가계부!$A:$L,12,FALSE),"")</f>
        <v/>
      </c>
      <c r="O21" s="61" t="str">
        <f>IFERROR(VLOOKUP(TEXT(TEXT(N$20,"yyyymmdd"),"00000000")&amp;TEXT($A21,"00"),가계부!$A:$J,10,FALSE),"")</f>
        <v/>
      </c>
      <c r="Q21" s="59" t="str">
        <f>IFERROR(VLOOKUP(TEXT(TEXT(Q$20,"yyyymmdd"),"00000000")&amp;TEXT($A21,"00"),가계부!$A:$L,12,FALSE),"")</f>
        <v>제로백PC</v>
      </c>
      <c r="R21" s="61">
        <f>IFERROR(VLOOKUP(TEXT(TEXT(Q$20,"yyyymmdd"),"00000000")&amp;TEXT($A21,"00"),가계부!$A:$J,10,FALSE),"")</f>
        <v>2000</v>
      </c>
      <c r="T21" s="59" t="str">
        <f>IFERROR(VLOOKUP(TEXT(TEXT(T$20,"yyyymmdd"),"00000000")&amp;TEXT($A21,"00"),가계부!$A:$L,12,FALSE),"")</f>
        <v>롯데리아</v>
      </c>
      <c r="U21" s="61">
        <f>IFERROR(VLOOKUP(TEXT(TEXT(T$20,"yyyymmdd"),"00000000")&amp;TEXT($A21,"00"),가계부!$A:$J,10,FALSE),"")</f>
        <v>6750</v>
      </c>
    </row>
    <row r="22" spans="1:21">
      <c r="A22" s="62">
        <v>2</v>
      </c>
      <c r="B22" s="59" t="str">
        <f>IFERROR(VLOOKUP(TEXT(TEXT(B$20,"yyyymmdd"),"00000000")&amp;TEXT($A22,"00"),가계부!$A:$L,12,FALSE),"")</f>
        <v/>
      </c>
      <c r="C22" s="61" t="str">
        <f>IFERROR(VLOOKUP(TEXT(TEXT(B$20,"yyyymmdd"),"00000000")&amp;TEXT($A22,"00"),가계부!$A:$J,10,FALSE),"")</f>
        <v/>
      </c>
      <c r="E22" s="59" t="str">
        <f>IFERROR(VLOOKUP(TEXT(TEXT(E$20,"yyyymmdd"),"00000000")&amp;TEXT($A22,"00"),가계부!$A:$L,12,FALSE),"")</f>
        <v/>
      </c>
      <c r="F22" s="61" t="str">
        <f>IFERROR(VLOOKUP(TEXT(TEXT(E$20,"yyyymmdd"),"00000000")&amp;TEXT($A22,"00"),가계부!$A:$J,10,FALSE),"")</f>
        <v/>
      </c>
      <c r="H22" s="59" t="str">
        <f>IFERROR(VLOOKUP(TEXT(TEXT(H$20,"yyyymmdd"),"00000000")&amp;TEXT($A22,"00"),가계부!$A:$L,12,FALSE),"")</f>
        <v/>
      </c>
      <c r="I22" s="61" t="str">
        <f>IFERROR(VLOOKUP(TEXT(TEXT(H$20,"yyyymmdd"),"00000000")&amp;TEXT($A22,"00"),가계부!$A:$J,10,FALSE),"")</f>
        <v/>
      </c>
      <c r="K22" s="59" t="str">
        <f>IFERROR(VLOOKUP(TEXT(TEXT(K$20,"yyyymmdd"),"00000000")&amp;TEXT($A22,"00"),가계부!$A:$L,12,FALSE),"")</f>
        <v>교보문고</v>
      </c>
      <c r="L22" s="61">
        <f>IFERROR(VLOOKUP(TEXT(TEXT(K$20,"yyyymmdd"),"00000000")&amp;TEXT($A22,"00"),가계부!$A:$J,10,FALSE),"")</f>
        <v>36993</v>
      </c>
      <c r="N22" s="59" t="str">
        <f>IFERROR(VLOOKUP(TEXT(TEXT(N$20,"yyyymmdd"),"00000000")&amp;TEXT($A22,"00"),가계부!$A:$L,12,FALSE),"")</f>
        <v/>
      </c>
      <c r="O22" s="61" t="str">
        <f>IFERROR(VLOOKUP(TEXT(TEXT(N$20,"yyyymmdd"),"00000000")&amp;TEXT($A22,"00"),가계부!$A:$J,10,FALSE),"")</f>
        <v/>
      </c>
      <c r="Q22" s="59" t="str">
        <f>IFERROR(VLOOKUP(TEXT(TEXT(Q$20,"yyyymmdd"),"00000000")&amp;TEXT($A22,"00"),가계부!$A:$L,12,FALSE),"")</f>
        <v/>
      </c>
      <c r="R22" s="61" t="str">
        <f>IFERROR(VLOOKUP(TEXT(TEXT(Q$20,"yyyymmdd"),"00000000")&amp;TEXT($A22,"00"),가계부!$A:$J,10,FALSE),"")</f>
        <v/>
      </c>
      <c r="T22" s="59" t="str">
        <f>IFERROR(VLOOKUP(TEXT(TEXT(T$20,"yyyymmdd"),"00000000")&amp;TEXT($A22,"00"),가계부!$A:$L,12,FALSE),"")</f>
        <v>안양시공영주차장</v>
      </c>
      <c r="U22" s="61">
        <f>IFERROR(VLOOKUP(TEXT(TEXT(T$20,"yyyymmdd"),"00000000")&amp;TEXT($A22,"00"),가계부!$A:$J,10,FALSE),"")</f>
        <v>3300</v>
      </c>
    </row>
    <row r="23" spans="1:21">
      <c r="A23" s="62">
        <v>3</v>
      </c>
      <c r="B23" s="59" t="str">
        <f>IFERROR(VLOOKUP(TEXT(TEXT(B$20,"yyyymmdd"),"00000000")&amp;TEXT($A23,"00"),가계부!$A:$L,12,FALSE),"")</f>
        <v/>
      </c>
      <c r="C23" s="61" t="str">
        <f>IFERROR(VLOOKUP(TEXT(TEXT(B$20,"yyyymmdd"),"00000000")&amp;TEXT($A23,"00"),가계부!$A:$J,10,FALSE),"")</f>
        <v/>
      </c>
      <c r="E23" s="59" t="str">
        <f>IFERROR(VLOOKUP(TEXT(TEXT(E$20,"yyyymmdd"),"00000000")&amp;TEXT($A23,"00"),가계부!$A:$L,12,FALSE),"")</f>
        <v/>
      </c>
      <c r="F23" s="61" t="str">
        <f>IFERROR(VLOOKUP(TEXT(TEXT(E$20,"yyyymmdd"),"00000000")&amp;TEXT($A23,"00"),가계부!$A:$J,10,FALSE),"")</f>
        <v/>
      </c>
      <c r="H23" s="59" t="str">
        <f>IFERROR(VLOOKUP(TEXT(TEXT(H$20,"yyyymmdd"),"00000000")&amp;TEXT($A23,"00"),가계부!$A:$L,12,FALSE),"")</f>
        <v/>
      </c>
      <c r="I23" s="61" t="str">
        <f>IFERROR(VLOOKUP(TEXT(TEXT(H$20,"yyyymmdd"),"00000000")&amp;TEXT($A23,"00"),가계부!$A:$J,10,FALSE),"")</f>
        <v/>
      </c>
      <c r="K23" s="59" t="str">
        <f>IFERROR(VLOOKUP(TEXT(TEXT(K$20,"yyyymmdd"),"00000000")&amp;TEXT($A23,"00"),가계부!$A:$L,12,FALSE),"")</f>
        <v/>
      </c>
      <c r="L23" s="61" t="str">
        <f>IFERROR(VLOOKUP(TEXT(TEXT(K$20,"yyyymmdd"),"00000000")&amp;TEXT($A23,"00"),가계부!$A:$J,10,FALSE),"")</f>
        <v/>
      </c>
      <c r="N23" s="59" t="str">
        <f>IFERROR(VLOOKUP(TEXT(TEXT(N$20,"yyyymmdd"),"00000000")&amp;TEXT($A23,"00"),가계부!$A:$L,12,FALSE),"")</f>
        <v/>
      </c>
      <c r="O23" s="61" t="str">
        <f>IFERROR(VLOOKUP(TEXT(TEXT(N$20,"yyyymmdd"),"00000000")&amp;TEXT($A23,"00"),가계부!$A:$J,10,FALSE),"")</f>
        <v/>
      </c>
      <c r="Q23" s="59" t="str">
        <f>IFERROR(VLOOKUP(TEXT(TEXT(Q$20,"yyyymmdd"),"00000000")&amp;TEXT($A23,"00"),가계부!$A:$L,12,FALSE),"")</f>
        <v/>
      </c>
      <c r="R23" s="61" t="str">
        <f>IFERROR(VLOOKUP(TEXT(TEXT(Q$20,"yyyymmdd"),"00000000")&amp;TEXT($A23,"00"),가계부!$A:$J,10,FALSE),"")</f>
        <v/>
      </c>
      <c r="T23" s="59" t="str">
        <f>IFERROR(VLOOKUP(TEXT(TEXT(T$20,"yyyymmdd"),"00000000")&amp;TEXT($A23,"00"),가계부!$A:$L,12,FALSE),"")</f>
        <v>라쿤피자</v>
      </c>
      <c r="U23" s="61">
        <f>IFERROR(VLOOKUP(TEXT(TEXT(T$20,"yyyymmdd"),"00000000")&amp;TEXT($A23,"00"),가계부!$A:$J,10,FALSE),"")</f>
        <v>17400</v>
      </c>
    </row>
    <row r="24" spans="1:21">
      <c r="A24" s="62">
        <v>4</v>
      </c>
      <c r="B24" s="59" t="str">
        <f>IFERROR(VLOOKUP(TEXT(TEXT(B$20,"yyyymmdd"),"00000000")&amp;TEXT($A24,"00"),가계부!$A:$L,12,FALSE),"")</f>
        <v/>
      </c>
      <c r="C24" s="61" t="str">
        <f>IFERROR(VLOOKUP(TEXT(TEXT(B$20,"yyyymmdd"),"00000000")&amp;TEXT($A24,"00"),가계부!$A:$J,10,FALSE),"")</f>
        <v/>
      </c>
      <c r="E24" s="59" t="str">
        <f>IFERROR(VLOOKUP(TEXT(TEXT(E$20,"yyyymmdd"),"00000000")&amp;TEXT($A24,"00"),가계부!$A:$L,12,FALSE),"")</f>
        <v/>
      </c>
      <c r="F24" s="61" t="str">
        <f>IFERROR(VLOOKUP(TEXT(TEXT(E$20,"yyyymmdd"),"00000000")&amp;TEXT($A24,"00"),가계부!$A:$J,10,FALSE),"")</f>
        <v/>
      </c>
      <c r="H24" s="59" t="str">
        <f>IFERROR(VLOOKUP(TEXT(TEXT(H$20,"yyyymmdd"),"00000000")&amp;TEXT($A24,"00"),가계부!$A:$L,12,FALSE),"")</f>
        <v/>
      </c>
      <c r="I24" s="61" t="str">
        <f>IFERROR(VLOOKUP(TEXT(TEXT(H$20,"yyyymmdd"),"00000000")&amp;TEXT($A24,"00"),가계부!$A:$J,10,FALSE),"")</f>
        <v/>
      </c>
      <c r="K24" s="59" t="str">
        <f>IFERROR(VLOOKUP(TEXT(TEXT(K$20,"yyyymmdd"),"00000000")&amp;TEXT($A24,"00"),가계부!$A:$L,12,FALSE),"")</f>
        <v/>
      </c>
      <c r="L24" s="61" t="str">
        <f>IFERROR(VLOOKUP(TEXT(TEXT(K$20,"yyyymmdd"),"00000000")&amp;TEXT($A24,"00"),가계부!$A:$J,10,FALSE),"")</f>
        <v/>
      </c>
      <c r="N24" s="59" t="str">
        <f>IFERROR(VLOOKUP(TEXT(TEXT(N$20,"yyyymmdd"),"00000000")&amp;TEXT($A24,"00"),가계부!$A:$L,12,FALSE),"")</f>
        <v/>
      </c>
      <c r="O24" s="61" t="str">
        <f>IFERROR(VLOOKUP(TEXT(TEXT(N$20,"yyyymmdd"),"00000000")&amp;TEXT($A24,"00"),가계부!$A:$J,10,FALSE),"")</f>
        <v/>
      </c>
      <c r="Q24" s="59" t="str">
        <f>IFERROR(VLOOKUP(TEXT(TEXT(Q$20,"yyyymmdd"),"00000000")&amp;TEXT($A24,"00"),가계부!$A:$L,12,FALSE),"")</f>
        <v/>
      </c>
      <c r="R24" s="61" t="str">
        <f>IFERROR(VLOOKUP(TEXT(TEXT(Q$20,"yyyymmdd"),"00000000")&amp;TEXT($A24,"00"),가계부!$A:$J,10,FALSE),"")</f>
        <v/>
      </c>
      <c r="T24" s="59" t="str">
        <f>IFERROR(VLOOKUP(TEXT(TEXT(T$20,"yyyymmdd"),"00000000")&amp;TEXT($A24,"00"),가계부!$A:$L,12,FALSE),"")</f>
        <v>현대오일뱅크</v>
      </c>
      <c r="U24" s="61">
        <f>IFERROR(VLOOKUP(TEXT(TEXT(T$20,"yyyymmdd"),"00000000")&amp;TEXT($A24,"00"),가계부!$A:$J,10,FALSE),"")</f>
        <v>70000</v>
      </c>
    </row>
    <row r="25" spans="1:21" ht="17.5" thickBot="1">
      <c r="A25" s="62">
        <v>5</v>
      </c>
      <c r="B25" s="59" t="str">
        <f>IFERROR(VLOOKUP(TEXT(TEXT(B$20,"yyyymmdd"),"00000000")&amp;TEXT($A25,"00"),가계부!$A:$L,12,FALSE),"")</f>
        <v/>
      </c>
      <c r="C25" s="61" t="str">
        <f>IFERROR(VLOOKUP(TEXT(TEXT(B$20,"yyyymmdd"),"00000000")&amp;TEXT($A25,"00"),가계부!$A:$J,10,FALSE),"")</f>
        <v/>
      </c>
      <c r="E25" s="59" t="str">
        <f>IFERROR(VLOOKUP(TEXT(TEXT(E$20,"yyyymmdd"),"00000000")&amp;TEXT($A25,"00"),가계부!$A:$L,12,FALSE),"")</f>
        <v/>
      </c>
      <c r="F25" s="61" t="str">
        <f>IFERROR(VLOOKUP(TEXT(TEXT(E$20,"yyyymmdd"),"00000000")&amp;TEXT($A25,"00"),가계부!$A:$J,10,FALSE),"")</f>
        <v/>
      </c>
      <c r="H25" s="59" t="str">
        <f>IFERROR(VLOOKUP(TEXT(TEXT(H$20,"yyyymmdd"),"00000000")&amp;TEXT($A25,"00"),가계부!$A:$L,12,FALSE),"")</f>
        <v/>
      </c>
      <c r="I25" s="61" t="str">
        <f>IFERROR(VLOOKUP(TEXT(TEXT(H$20,"yyyymmdd"),"00000000")&amp;TEXT($A25,"00"),가계부!$A:$J,10,FALSE),"")</f>
        <v/>
      </c>
      <c r="K25" s="59" t="str">
        <f>IFERROR(VLOOKUP(TEXT(TEXT(K$20,"yyyymmdd"),"00000000")&amp;TEXT($A25,"00"),가계부!$A:$L,12,FALSE),"")</f>
        <v/>
      </c>
      <c r="L25" s="61" t="str">
        <f>IFERROR(VLOOKUP(TEXT(TEXT(K$20,"yyyymmdd"),"00000000")&amp;TEXT($A25,"00"),가계부!$A:$J,10,FALSE),"")</f>
        <v/>
      </c>
      <c r="N25" s="59" t="str">
        <f>IFERROR(VLOOKUP(TEXT(TEXT(N$20,"yyyymmdd"),"00000000")&amp;TEXT($A25,"00"),가계부!$A:$L,12,FALSE),"")</f>
        <v/>
      </c>
      <c r="O25" s="61" t="str">
        <f>IFERROR(VLOOKUP(TEXT(TEXT(N$20,"yyyymmdd"),"00000000")&amp;TEXT($A25,"00"),가계부!$A:$J,10,FALSE),"")</f>
        <v/>
      </c>
      <c r="Q25" s="59" t="str">
        <f>IFERROR(VLOOKUP(TEXT(TEXT(Q$20,"yyyymmdd"),"00000000")&amp;TEXT($A25,"00"),가계부!$A:$L,12,FALSE),"")</f>
        <v/>
      </c>
      <c r="R25" s="61" t="str">
        <f>IFERROR(VLOOKUP(TEXT(TEXT(Q$20,"yyyymmdd"),"00000000")&amp;TEXT($A25,"00"),가계부!$A:$J,10,FALSE),"")</f>
        <v/>
      </c>
      <c r="T25" s="59" t="str">
        <f>IFERROR(VLOOKUP(TEXT(TEXT(T$20,"yyyymmdd"),"00000000")&amp;TEXT($A25,"00"),가계부!$A:$L,12,FALSE),"")</f>
        <v/>
      </c>
      <c r="U25" s="61" t="str">
        <f>IFERROR(VLOOKUP(TEXT(TEXT(T$20,"yyyymmdd"),"00000000")&amp;TEXT($A25,"00"),가계부!$A:$J,10,FALSE),"")</f>
        <v/>
      </c>
    </row>
    <row r="26" spans="1:21" s="54" customFormat="1" ht="17.5" thickBot="1">
      <c r="A26" s="63">
        <v>6</v>
      </c>
      <c r="B26" s="72"/>
      <c r="C26" s="73">
        <f>IF(AND(C20&gt;5,C21&lt;&gt;""),"+"&amp;C20-5&amp;"건",SUMIF(C21:C25,"&gt;0"))</f>
        <v>0</v>
      </c>
      <c r="D26" s="58"/>
      <c r="E26" s="72"/>
      <c r="F26" s="73">
        <f>IF(AND(F20&gt;5,F21&lt;&gt;""),"+"&amp;F20-5&amp;"건",SUMIF(F21:F25,"&gt;0"))</f>
        <v>38130</v>
      </c>
      <c r="G26" s="58"/>
      <c r="H26" s="72"/>
      <c r="I26" s="73">
        <f>IF(AND(I20&gt;5,I21&lt;&gt;""),"+"&amp;I20-5&amp;"건",SUMIF(I21:I25,"&gt;0"))</f>
        <v>3300</v>
      </c>
      <c r="J26" s="58"/>
      <c r="K26" s="72"/>
      <c r="L26" s="73">
        <f>IF(AND(L20&gt;5,L21&lt;&gt;""),"+"&amp;L20-5&amp;"건",SUMIF(L21:L25,"&gt;0"))</f>
        <v>49993</v>
      </c>
      <c r="M26" s="58"/>
      <c r="N26" s="72"/>
      <c r="O26" s="73">
        <f>IF(AND(O20&gt;5,O21&lt;&gt;""),"+"&amp;O20-5&amp;"건",SUMIF(O21:O25,"&gt;0"))</f>
        <v>0</v>
      </c>
      <c r="P26" s="58"/>
      <c r="Q26" s="72"/>
      <c r="R26" s="73">
        <f>IF(AND(R20&gt;5,R21&lt;&gt;""),"+"&amp;R20-5&amp;"건",SUMIF(R21:R25,"&gt;0"))</f>
        <v>2000</v>
      </c>
      <c r="S26" s="58"/>
      <c r="T26" s="72"/>
      <c r="U26" s="73">
        <f>IF(AND(U20&gt;5,U21&lt;&gt;""),"+"&amp;U20-5&amp;"건",SUMIF(U21:U25,"&gt;0"))</f>
        <v>97450</v>
      </c>
    </row>
    <row r="27" spans="1:21" ht="10" customHeight="1" thickTop="1" thickBot="1"/>
    <row r="28" spans="1:21" s="52" customFormat="1" ht="23.5" thickTop="1">
      <c r="A28" s="53">
        <v>0</v>
      </c>
      <c r="B28" s="68">
        <f>B20+7</f>
        <v>45858</v>
      </c>
      <c r="C28" s="69">
        <f>COUNTIF(가계부!$B:$B,B28)</f>
        <v>4</v>
      </c>
      <c r="D28" s="57"/>
      <c r="E28" s="70">
        <f>E20+7</f>
        <v>45859</v>
      </c>
      <c r="F28" s="69">
        <f>COUNTIF(가계부!$B:$B,E28)</f>
        <v>4</v>
      </c>
      <c r="G28" s="57"/>
      <c r="H28" s="70">
        <f>H20+7</f>
        <v>45860</v>
      </c>
      <c r="I28" s="69">
        <f>COUNTIF(가계부!$B:$B,H28)</f>
        <v>0</v>
      </c>
      <c r="J28" s="57"/>
      <c r="K28" s="70">
        <f>K20+7</f>
        <v>45861</v>
      </c>
      <c r="L28" s="69">
        <f>COUNTIF(가계부!$B:$B,K28)</f>
        <v>2</v>
      </c>
      <c r="M28" s="57"/>
      <c r="N28" s="70">
        <f>N20+7</f>
        <v>45862</v>
      </c>
      <c r="O28" s="69">
        <f>COUNTIF(가계부!$B:$B,N28)</f>
        <v>1</v>
      </c>
      <c r="P28" s="57"/>
      <c r="Q28" s="70">
        <f>Q20+7</f>
        <v>45863</v>
      </c>
      <c r="R28" s="69">
        <f>COUNTIF(가계부!$B:$B,Q28)</f>
        <v>0</v>
      </c>
      <c r="S28" s="57"/>
      <c r="T28" s="71">
        <f>T20+7</f>
        <v>45864</v>
      </c>
      <c r="U28" s="69">
        <f>COUNTIF(가계부!$B:$B,T28)</f>
        <v>3</v>
      </c>
    </row>
    <row r="29" spans="1:21">
      <c r="A29" s="62">
        <v>1</v>
      </c>
      <c r="B29" s="59" t="str">
        <f>IFERROR(VLOOKUP(TEXT(TEXT(B$28,"yyyymmdd"),"00000000")&amp;TEXT($A29,"00"),가계부!$A:$L,12,FALSE),"")</f>
        <v>야놀자</v>
      </c>
      <c r="C29" s="61">
        <f>IFERROR(VLOOKUP(TEXT(TEXT(B$28,"yyyymmdd"),"00000000")&amp;TEXT($A29,"00"),가계부!$A:$J,10,FALSE),"")</f>
        <v>12000</v>
      </c>
      <c r="E29" s="59" t="str">
        <f>IFERROR(VLOOKUP(TEXT(TEXT(E$28,"yyyymmdd"),"00000000")&amp;TEXT($A29,"00"),가계부!$A:$L,12,FALSE),"")</f>
        <v>LiivM통신요금</v>
      </c>
      <c r="F29" s="61">
        <f>IFERROR(VLOOKUP(TEXT(TEXT(E$28,"yyyymmdd"),"00000000")&amp;TEXT($A29,"00"),가계부!$A:$J,10,FALSE),"")</f>
        <v>5400</v>
      </c>
      <c r="H29" s="59" t="str">
        <f>IFERROR(VLOOKUP($H$2&amp;TEXT($K$2,"00")&amp;TEXT(DAY(H$28),"00")&amp;TEXT($A29,"00"),가계부!$A:$L,12,FALSE),"")</f>
        <v/>
      </c>
      <c r="I29" s="61" t="str">
        <f>IFERROR(VLOOKUP($H$2&amp;TEXT($K$2,"00")&amp;TEXT(DAY(H$28),"00")&amp;TEXT($A29,"00"),가계부!$A:$J,10,FALSE),"")</f>
        <v/>
      </c>
      <c r="K29" s="59" t="str">
        <f>IFERROR(VLOOKUP(TEXT(TEXT(K$28,"yyyymmdd"),"00000000")&amp;TEXT($A29,"00"),가계부!$A:$L,12,FALSE),"")</f>
        <v>구글플레이</v>
      </c>
      <c r="L29" s="61">
        <f>IFERROR(VLOOKUP(TEXT(TEXT(K$28,"yyyymmdd"),"00000000")&amp;TEXT($A29,"00"),가계부!$A:$J,10,FALSE),"")</f>
        <v>2600</v>
      </c>
      <c r="N29" s="59" t="str">
        <f>IFERROR(VLOOKUP(TEXT(TEXT(N$28,"yyyymmdd"),"00000000")&amp;TEXT($A29,"00"),가계부!$A:$L,12,FALSE),"")</f>
        <v>홍대돈부리</v>
      </c>
      <c r="O29" s="61">
        <f>IFERROR(VLOOKUP(TEXT(TEXT(N$28,"yyyymmdd"),"00000000")&amp;TEXT($A29,"00"),가계부!$A:$J,10,FALSE),"")</f>
        <v>25900</v>
      </c>
      <c r="Q29" s="59" t="str">
        <f>IFERROR(VLOOKUP(TEXT(TEXT(Q$28,"yyyymmdd"),"00000000")&amp;TEXT($A29,"00"),가계부!$A:$L,12,FALSE),"")</f>
        <v/>
      </c>
      <c r="R29" s="61" t="str">
        <f>IFERROR(VLOOKUP(TEXT(TEXT(Q$28,"yyyymmdd"),"00000000")&amp;TEXT($A29,"00"),가계부!$A:$J,10,FALSE),"")</f>
        <v/>
      </c>
      <c r="T29" s="59" t="str">
        <f>IFERROR(VLOOKUP(TEXT(TEXT(T$28,"yyyymmdd"),"00000000")&amp;TEXT($A29,"00"),가계부!$A:$L,12,FALSE),"")</f>
        <v>다이소</v>
      </c>
      <c r="U29" s="61">
        <f>IFERROR(VLOOKUP(TEXT(TEXT(T$28,"yyyymmdd"),"00000000")&amp;TEXT($A29,"00"),가계부!$A:$J,10,FALSE),"")</f>
        <v>2000</v>
      </c>
    </row>
    <row r="30" spans="1:21">
      <c r="A30" s="62">
        <v>2</v>
      </c>
      <c r="B30" s="59" t="str">
        <f>IFERROR(VLOOKUP(TEXT(TEXT(B$28,"yyyymmdd"),"00000000")&amp;TEXT($A30,"00"),가계부!$A:$L,12,FALSE),"")</f>
        <v>용용선생</v>
      </c>
      <c r="C30" s="61">
        <f>IFERROR(VLOOKUP(TEXT(TEXT(B$28,"yyyymmdd"),"00000000")&amp;TEXT($A30,"00"),가계부!$A:$J,10,FALSE),"")</f>
        <v>25650</v>
      </c>
      <c r="E30" s="59" t="str">
        <f>IFERROR(VLOOKUP(TEXT(TEXT(E$28,"yyyymmdd"),"00000000")&amp;TEXT($A30,"00"),가계부!$A:$L,12,FALSE),"")</f>
        <v>큐넷</v>
      </c>
      <c r="F30" s="61">
        <f>IFERROR(VLOOKUP(TEXT(TEXT(E$28,"yyyymmdd"),"00000000")&amp;TEXT($A30,"00"),가계부!$A:$J,10,FALSE),"")</f>
        <v>10700</v>
      </c>
      <c r="H30" s="59" t="str">
        <f>IFERROR(VLOOKUP($H$2&amp;TEXT($K$2,"00")&amp;TEXT(DAY(H$28),"00")&amp;TEXT($A30,"00"),가계부!$A:$L,12,FALSE),"")</f>
        <v/>
      </c>
      <c r="I30" s="61" t="str">
        <f>IFERROR(VLOOKUP($H$2&amp;TEXT($K$2,"00")&amp;TEXT(DAY(H$28),"00")&amp;TEXT($A30,"00"),가계부!$A:$J,10,FALSE),"")</f>
        <v/>
      </c>
      <c r="K30" s="59" t="str">
        <f>IFERROR(VLOOKUP(TEXT(TEXT(K$28,"yyyymmdd"),"00000000")&amp;TEXT($A30,"00"),가계부!$A:$L,12,FALSE),"")</f>
        <v>이마트에브리데이</v>
      </c>
      <c r="L30" s="61">
        <f>IFERROR(VLOOKUP(TEXT(TEXT(K$28,"yyyymmdd"),"00000000")&amp;TEXT($A30,"00"),가계부!$A:$J,10,FALSE),"")</f>
        <v>34950</v>
      </c>
      <c r="N30" s="59" t="str">
        <f>IFERROR(VLOOKUP(TEXT(TEXT(N$28,"yyyymmdd"),"00000000")&amp;TEXT($A30,"00"),가계부!$A:$L,12,FALSE),"")</f>
        <v/>
      </c>
      <c r="O30" s="61" t="str">
        <f>IFERROR(VLOOKUP(TEXT(TEXT(N$28,"yyyymmdd"),"00000000")&amp;TEXT($A30,"00"),가계부!$A:$J,10,FALSE),"")</f>
        <v/>
      </c>
      <c r="Q30" s="59" t="str">
        <f>IFERROR(VLOOKUP(TEXT(TEXT(Q$28,"yyyymmdd"),"00000000")&amp;TEXT($A30,"00"),가계부!$A:$L,12,FALSE),"")</f>
        <v/>
      </c>
      <c r="R30" s="61" t="str">
        <f>IFERROR(VLOOKUP(TEXT(TEXT(Q$28,"yyyymmdd"),"00000000")&amp;TEXT($A30,"00"),가계부!$A:$J,10,FALSE),"")</f>
        <v/>
      </c>
      <c r="T30" s="59" t="str">
        <f>IFERROR(VLOOKUP(TEXT(TEXT(T$28,"yyyymmdd"),"00000000")&amp;TEXT($A30,"00"),가계부!$A:$L,12,FALSE),"")</f>
        <v>써브웨이</v>
      </c>
      <c r="U30" s="61">
        <f>IFERROR(VLOOKUP(TEXT(TEXT(T$28,"yyyymmdd"),"00000000")&amp;TEXT($A30,"00"),가계부!$A:$J,10,FALSE),"")</f>
        <v>12000</v>
      </c>
    </row>
    <row r="31" spans="1:21">
      <c r="A31" s="62">
        <v>3</v>
      </c>
      <c r="B31" s="59" t="str">
        <f>IFERROR(VLOOKUP(TEXT(TEXT(B$28,"yyyymmdd"),"00000000")&amp;TEXT($A31,"00"),가계부!$A:$L,12,FALSE),"")</f>
        <v>다이소</v>
      </c>
      <c r="C31" s="61">
        <f>IFERROR(VLOOKUP(TEXT(TEXT(B$28,"yyyymmdd"),"00000000")&amp;TEXT($A31,"00"),가계부!$A:$J,10,FALSE),"")</f>
        <v>2500</v>
      </c>
      <c r="E31" s="59" t="str">
        <f>IFERROR(VLOOKUP(TEXT(TEXT(E$28,"yyyymmdd"),"00000000")&amp;TEXT($A31,"00"),가계부!$A:$L,12,FALSE),"")</f>
        <v>오픽시험</v>
      </c>
      <c r="F31" s="61">
        <f>IFERROR(VLOOKUP(TEXT(TEXT(E$28,"yyyymmdd"),"00000000")&amp;TEXT($A31,"00"),가계부!$A:$J,10,FALSE),"")</f>
        <v>69000</v>
      </c>
      <c r="H31" s="59" t="str">
        <f>IFERROR(VLOOKUP($H$2&amp;TEXT($K$2,"00")&amp;TEXT(DAY(H$28),"00")&amp;TEXT($A31,"00"),가계부!$A:$L,12,FALSE),"")</f>
        <v/>
      </c>
      <c r="I31" s="61" t="str">
        <f>IFERROR(VLOOKUP($H$2&amp;TEXT($K$2,"00")&amp;TEXT(DAY(H$28),"00")&amp;TEXT($A31,"00"),가계부!$A:$J,10,FALSE),"")</f>
        <v/>
      </c>
      <c r="K31" s="59" t="str">
        <f>IFERROR(VLOOKUP(TEXT(TEXT(K$28,"yyyymmdd"),"00000000")&amp;TEXT($A31,"00"),가계부!$A:$L,12,FALSE),"")</f>
        <v/>
      </c>
      <c r="L31" s="61" t="str">
        <f>IFERROR(VLOOKUP(TEXT(TEXT(K$28,"yyyymmdd"),"00000000")&amp;TEXT($A31,"00"),가계부!$A:$J,10,FALSE),"")</f>
        <v/>
      </c>
      <c r="N31" s="59" t="str">
        <f>IFERROR(VLOOKUP(TEXT(TEXT(N$28,"yyyymmdd"),"00000000")&amp;TEXT($A31,"00"),가계부!$A:$L,12,FALSE),"")</f>
        <v/>
      </c>
      <c r="O31" s="61" t="str">
        <f>IFERROR(VLOOKUP(TEXT(TEXT(N$28,"yyyymmdd"),"00000000")&amp;TEXT($A31,"00"),가계부!$A:$J,10,FALSE),"")</f>
        <v/>
      </c>
      <c r="Q31" s="59" t="str">
        <f>IFERROR(VLOOKUP(TEXT(TEXT(Q$28,"yyyymmdd"),"00000000")&amp;TEXT($A31,"00"),가계부!$A:$L,12,FALSE),"")</f>
        <v/>
      </c>
      <c r="R31" s="61" t="str">
        <f>IFERROR(VLOOKUP(TEXT(TEXT(Q$28,"yyyymmdd"),"00000000")&amp;TEXT($A31,"00"),가계부!$A:$J,10,FALSE),"")</f>
        <v/>
      </c>
      <c r="T31" s="59" t="str">
        <f>IFERROR(VLOOKUP(TEXT(TEXT(T$28,"yyyymmdd"),"00000000")&amp;TEXT($A31,"00"),가계부!$A:$L,12,FALSE),"")</f>
        <v>BBQ</v>
      </c>
      <c r="U31" s="61">
        <f>IFERROR(VLOOKUP(TEXT(TEXT(T$28,"yyyymmdd"),"00000000")&amp;TEXT($A31,"00"),가계부!$A:$J,10,FALSE),"")</f>
        <v>7500</v>
      </c>
    </row>
    <row r="32" spans="1:21">
      <c r="A32" s="62">
        <v>4</v>
      </c>
      <c r="B32" s="59" t="str">
        <f>IFERROR(VLOOKUP(TEXT(TEXT(B$28,"yyyymmdd"),"00000000")&amp;TEXT($A32,"00"),가계부!$A:$L,12,FALSE),"")</f>
        <v>올리브영</v>
      </c>
      <c r="C32" s="61">
        <f>IFERROR(VLOOKUP(TEXT(TEXT(B$28,"yyyymmdd"),"00000000")&amp;TEXT($A32,"00"),가계부!$A:$J,10,FALSE),"")</f>
        <v>4500</v>
      </c>
      <c r="E32" s="59" t="str">
        <f>IFERROR(VLOOKUP(TEXT(TEXT(E$28,"yyyymmdd"),"00000000")&amp;TEXT($A32,"00"),가계부!$A:$L,12,FALSE),"")</f>
        <v>한전</v>
      </c>
      <c r="F32" s="61">
        <f>IFERROR(VLOOKUP(TEXT(TEXT(E$28,"yyyymmdd"),"00000000")&amp;TEXT($A32,"00"),가계부!$A:$J,10,FALSE),"")</f>
        <v>43710</v>
      </c>
      <c r="H32" s="59" t="str">
        <f>IFERROR(VLOOKUP($H$2&amp;TEXT($K$2,"00")&amp;TEXT(DAY(H$28),"00")&amp;TEXT($A32,"00"),가계부!$A:$L,12,FALSE),"")</f>
        <v/>
      </c>
      <c r="I32" s="61" t="str">
        <f>IFERROR(VLOOKUP($H$2&amp;TEXT($K$2,"00")&amp;TEXT(DAY(H$28),"00")&amp;TEXT($A32,"00"),가계부!$A:$J,10,FALSE),"")</f>
        <v/>
      </c>
      <c r="K32" s="59" t="str">
        <f>IFERROR(VLOOKUP(TEXT(TEXT(K$28,"yyyymmdd"),"00000000")&amp;TEXT($A32,"00"),가계부!$A:$L,12,FALSE),"")</f>
        <v/>
      </c>
      <c r="L32" s="61" t="str">
        <f>IFERROR(VLOOKUP(TEXT(TEXT(K$28,"yyyymmdd"),"00000000")&amp;TEXT($A32,"00"),가계부!$A:$J,10,FALSE),"")</f>
        <v/>
      </c>
      <c r="N32" s="59" t="str">
        <f>IFERROR(VLOOKUP(TEXT(TEXT(N$28,"yyyymmdd"),"00000000")&amp;TEXT($A32,"00"),가계부!$A:$L,12,FALSE),"")</f>
        <v/>
      </c>
      <c r="O32" s="61" t="str">
        <f>IFERROR(VLOOKUP(TEXT(TEXT(N$28,"yyyymmdd"),"00000000")&amp;TEXT($A32,"00"),가계부!$A:$J,10,FALSE),"")</f>
        <v/>
      </c>
      <c r="Q32" s="59" t="str">
        <f>IFERROR(VLOOKUP(TEXT(TEXT(Q$28,"yyyymmdd"),"00000000")&amp;TEXT($A32,"00"),가계부!$A:$L,12,FALSE),"")</f>
        <v/>
      </c>
      <c r="R32" s="61" t="str">
        <f>IFERROR(VLOOKUP(TEXT(TEXT(Q$28,"yyyymmdd"),"00000000")&amp;TEXT($A32,"00"),가계부!$A:$J,10,FALSE),"")</f>
        <v/>
      </c>
      <c r="T32" s="59" t="str">
        <f>IFERROR(VLOOKUP(TEXT(TEXT(T$28,"yyyymmdd"),"00000000")&amp;TEXT($A32,"00"),가계부!$A:$L,12,FALSE),"")</f>
        <v/>
      </c>
      <c r="U32" s="61" t="str">
        <f>IFERROR(VLOOKUP(TEXT(TEXT(T$28,"yyyymmdd"),"00000000")&amp;TEXT($A32,"00"),가계부!$A:$J,10,FALSE),"")</f>
        <v/>
      </c>
    </row>
    <row r="33" spans="1:21" ht="17.5" thickBot="1">
      <c r="A33" s="62">
        <v>5</v>
      </c>
      <c r="B33" s="59" t="str">
        <f>IFERROR(VLOOKUP(TEXT(TEXT(B$28,"yyyymmdd"),"00000000")&amp;TEXT($A33,"00"),가계부!$A:$L,12,FALSE),"")</f>
        <v/>
      </c>
      <c r="C33" s="61" t="str">
        <f>IFERROR(VLOOKUP(TEXT(TEXT(B$28,"yyyymmdd"),"00000000")&amp;TEXT($A33,"00"),가계부!$A:$J,10,FALSE),"")</f>
        <v/>
      </c>
      <c r="E33" s="59" t="str">
        <f>IFERROR(VLOOKUP(TEXT(TEXT(E$28,"yyyymmdd"),"00000000")&amp;TEXT($A33,"00"),가계부!$A:$L,12,FALSE),"")</f>
        <v/>
      </c>
      <c r="F33" s="61" t="str">
        <f>IFERROR(VLOOKUP(TEXT(TEXT(E$28,"yyyymmdd"),"00000000")&amp;TEXT($A33,"00"),가계부!$A:$J,10,FALSE),"")</f>
        <v/>
      </c>
      <c r="H33" s="59" t="str">
        <f>IFERROR(VLOOKUP($H$2&amp;TEXT($K$2,"00")&amp;TEXT(DAY(H$28),"00")&amp;TEXT($A33,"00"),가계부!$A:$L,12,FALSE),"")</f>
        <v/>
      </c>
      <c r="I33" s="61" t="str">
        <f>IFERROR(VLOOKUP($H$2&amp;TEXT($K$2,"00")&amp;TEXT(DAY(H$28),"00")&amp;TEXT($A33,"00"),가계부!$A:$J,10,FALSE),"")</f>
        <v/>
      </c>
      <c r="K33" s="59" t="str">
        <f>IFERROR(VLOOKUP(TEXT(TEXT(K$28,"yyyymmdd"),"00000000")&amp;TEXT($A33,"00"),가계부!$A:$L,12,FALSE),"")</f>
        <v/>
      </c>
      <c r="L33" s="61" t="str">
        <f>IFERROR(VLOOKUP(TEXT(TEXT(K$28,"yyyymmdd"),"00000000")&amp;TEXT($A33,"00"),가계부!$A:$J,10,FALSE),"")</f>
        <v/>
      </c>
      <c r="N33" s="59" t="str">
        <f>IFERROR(VLOOKUP(TEXT(TEXT(N$28,"yyyymmdd"),"00000000")&amp;TEXT($A33,"00"),가계부!$A:$L,12,FALSE),"")</f>
        <v/>
      </c>
      <c r="O33" s="61" t="str">
        <f>IFERROR(VLOOKUP(TEXT(TEXT(N$28,"yyyymmdd"),"00000000")&amp;TEXT($A33,"00"),가계부!$A:$J,10,FALSE),"")</f>
        <v/>
      </c>
      <c r="Q33" s="59" t="str">
        <f>IFERROR(VLOOKUP(TEXT(TEXT(Q$28,"yyyymmdd"),"00000000")&amp;TEXT($A33,"00"),가계부!$A:$L,12,FALSE),"")</f>
        <v/>
      </c>
      <c r="R33" s="61" t="str">
        <f>IFERROR(VLOOKUP(TEXT(TEXT(Q$28,"yyyymmdd"),"00000000")&amp;TEXT($A33,"00"),가계부!$A:$J,10,FALSE),"")</f>
        <v/>
      </c>
      <c r="T33" s="59" t="str">
        <f>IFERROR(VLOOKUP(TEXT(TEXT(T$28,"yyyymmdd"),"00000000")&amp;TEXT($A33,"00"),가계부!$A:$L,12,FALSE),"")</f>
        <v/>
      </c>
      <c r="U33" s="61" t="str">
        <f>IFERROR(VLOOKUP(TEXT(TEXT(T$28,"yyyymmdd"),"00000000")&amp;TEXT($A33,"00"),가계부!$A:$J,10,FALSE),"")</f>
        <v/>
      </c>
    </row>
    <row r="34" spans="1:21" s="54" customFormat="1" ht="17.5" thickBot="1">
      <c r="A34" s="63">
        <v>6</v>
      </c>
      <c r="B34" s="72"/>
      <c r="C34" s="73">
        <f>IF(AND(C28&gt;5,C29&lt;&gt;""),"+"&amp;C28-5&amp;"건",SUMIF(C29:C33,"&gt;0"))</f>
        <v>44650</v>
      </c>
      <c r="D34" s="58"/>
      <c r="E34" s="72"/>
      <c r="F34" s="73">
        <f>IF(AND(F28&gt;5,F29&lt;&gt;""),"+"&amp;F28-5&amp;"건",SUMIF(F29:F33,"&gt;0"))</f>
        <v>128810</v>
      </c>
      <c r="G34" s="58"/>
      <c r="H34" s="72"/>
      <c r="I34" s="73">
        <f>IF(AND(I28&gt;5,I29&lt;&gt;""),"+"&amp;I28-5&amp;"건",SUMIF(I29:I33,"&gt;0"))</f>
        <v>0</v>
      </c>
      <c r="J34" s="58"/>
      <c r="K34" s="72"/>
      <c r="L34" s="73">
        <f>IF(AND(L28&gt;5,L29&lt;&gt;""),"+"&amp;L28-5&amp;"건",SUMIF(L29:L33,"&gt;0"))</f>
        <v>37550</v>
      </c>
      <c r="M34" s="58"/>
      <c r="N34" s="72"/>
      <c r="O34" s="73">
        <f>IF(AND(O28&gt;5,O29&lt;&gt;""),"+"&amp;O28-5&amp;"건",SUMIF(O29:O33,"&gt;0"))</f>
        <v>25900</v>
      </c>
      <c r="P34" s="58"/>
      <c r="Q34" s="72"/>
      <c r="R34" s="73">
        <f>IF(AND(R28&gt;5,R29&lt;&gt;""),"+"&amp;R28-5&amp;"건",SUMIF(R29:R33,"&gt;0"))</f>
        <v>0</v>
      </c>
      <c r="S34" s="58"/>
      <c r="T34" s="72"/>
      <c r="U34" s="73">
        <f>IF(AND(U28&gt;5,U29&lt;&gt;""),"+"&amp;U28-5&amp;"건",SUMIF(U29:U33,"&gt;0"))</f>
        <v>21500</v>
      </c>
    </row>
    <row r="35" spans="1:21" ht="10" customHeight="1" thickTop="1" thickBot="1"/>
    <row r="36" spans="1:21" s="52" customFormat="1" ht="23.5" thickTop="1">
      <c r="A36" s="53">
        <v>0</v>
      </c>
      <c r="B36" s="68">
        <f>B28+7</f>
        <v>45865</v>
      </c>
      <c r="C36" s="69">
        <f>COUNTIF(가계부!$B:$B,B36)</f>
        <v>4</v>
      </c>
      <c r="D36" s="57"/>
      <c r="E36" s="70">
        <f>E28+7</f>
        <v>45866</v>
      </c>
      <c r="F36" s="69">
        <f>COUNTIF(가계부!$B:$B,E36)</f>
        <v>1</v>
      </c>
      <c r="G36" s="57"/>
      <c r="H36" s="70">
        <f>H28+7</f>
        <v>45867</v>
      </c>
      <c r="I36" s="69">
        <f>COUNTIF(가계부!$B:$B,H36)</f>
        <v>0</v>
      </c>
      <c r="J36" s="57"/>
      <c r="K36" s="70">
        <f>K28+7</f>
        <v>45868</v>
      </c>
      <c r="L36" s="69">
        <f>COUNTIF(가계부!$B:$B,K36)</f>
        <v>2</v>
      </c>
      <c r="M36" s="57"/>
      <c r="N36" s="70">
        <f>N28+7</f>
        <v>45869</v>
      </c>
      <c r="O36" s="69">
        <f>COUNTIF(가계부!$B:$B,N36)</f>
        <v>2</v>
      </c>
      <c r="P36" s="57"/>
      <c r="Q36" s="70">
        <f>Q28+7</f>
        <v>45870</v>
      </c>
      <c r="R36" s="69">
        <f>COUNTIF(가계부!$B:$B,Q36)</f>
        <v>2</v>
      </c>
      <c r="S36" s="57"/>
      <c r="T36" s="71">
        <f>T28+7</f>
        <v>45871</v>
      </c>
      <c r="U36" s="69">
        <f>COUNTIF(가계부!$B:$B,T36)</f>
        <v>3</v>
      </c>
    </row>
    <row r="37" spans="1:21">
      <c r="A37" s="62">
        <v>1</v>
      </c>
      <c r="B37" s="59" t="str">
        <f>IF(MONTH(B$36)=$K$2,IFERROR(VLOOKUP(TEXT(TEXT(B$36,"yyyymmdd"),"00000000")&amp;TEXT($A37,"00"),가계부!$A:$L,12,FALSE),""),"")</f>
        <v>스타동</v>
      </c>
      <c r="C37" s="61">
        <f>IF(MONTH(B$36)=$K$2,IFERROR(VLOOKUP(TEXT(TEXT(B$36,"yyyymmdd"),"00000000")&amp;TEXT($A37,"00"),가계부!$A:$J,10,FALSE),""),"")</f>
        <v>6900</v>
      </c>
      <c r="E37" s="59" t="str">
        <f>IF(MONTH(E$36)=$K$2,IFERROR(VLOOKUP(TEXT(TEXT(E$36,"yyyymmdd"),"00000000")&amp;TEXT($A37,"00"),가계부!$A:$L,12,FALSE),""),"")</f>
        <v>두잇</v>
      </c>
      <c r="F37" s="61">
        <f>IF(MONTH(E$36)=$K$2,IFERROR(VLOOKUP(TEXT(TEXT(E$36,"yyyymmdd"),"00000000")&amp;TEXT($A37,"00"),가계부!$A:$J,10,FALSE),""),"")</f>
        <v>7900</v>
      </c>
      <c r="H37" s="59" t="str">
        <f>IF(MONTH(H$36)=$K$2,IFERROR(VLOOKUP(TEXT(TEXT(H$36,"yyyymmdd"),"00000000")&amp;TEXT($A37,"00"),가계부!$A:$L,12,FALSE),""),"")</f>
        <v/>
      </c>
      <c r="I37" s="61" t="str">
        <f>IF(MONTH(H$36)=$K$2,IFERROR(VLOOKUP(TEXT(TEXT(H$36,"yyyymmdd"),"00000000")&amp;TEXT($A37,"00"),가계부!$A:$J,10,FALSE),""),"")</f>
        <v/>
      </c>
      <c r="K37" s="59" t="str">
        <f>IF(MONTH(K$36)=$K$2,IFERROR(VLOOKUP(TEXT(TEXT(K$36,"yyyymmdd"),"00000000")&amp;TEXT($A37,"00"),가계부!$A:$L,12,FALSE),""),"")</f>
        <v>유독</v>
      </c>
      <c r="L37" s="61">
        <f>IF(MONTH(K$36)=$K$2,IFERROR(VLOOKUP(TEXT(TEXT(K$36,"yyyymmdd"),"00000000")&amp;TEXT($A37,"00"),가계부!$A:$J,10,FALSE),""),"")</f>
        <v>22800</v>
      </c>
      <c r="N37" s="59" t="str">
        <f>IF(MONTH(N$36)=$K$2,IFERROR(VLOOKUP(TEXT(TEXT(N$36,"yyyymmdd"),"00000000")&amp;TEXT($A37,"00"),가계부!$A:$L,12,FALSE),""),"")</f>
        <v>스타벅스</v>
      </c>
      <c r="O37" s="61">
        <f>IF(MONTH(N$36)=$K$2,IFERROR(VLOOKUP(TEXT(TEXT(N$36,"yyyymmdd"),"00000000")&amp;TEXT($A37,"00"),가계부!$A:$J,10,FALSE),""),"")</f>
        <v>9520</v>
      </c>
      <c r="Q37" s="59" t="str">
        <f>IF(MONTH(Q$36)=$K$2,IFERROR(VLOOKUP(TEXT(TEXT(Q$36,"yyyymmdd"),"00000000")&amp;TEXT($A37,"00"),가계부!$A:$L,12,FALSE),""),"")</f>
        <v/>
      </c>
      <c r="R37" s="61" t="str">
        <f>IF(MONTH(Q$36)=$K$2,IFERROR(VLOOKUP(TEXT(TEXT(Q$36,"yyyymmdd"),"00000000")&amp;TEXT($A37,"00"),가계부!$A:$J,10,FALSE),""),"")</f>
        <v/>
      </c>
      <c r="T37" s="59" t="str">
        <f>IF(MONTH(T$36)=$K$2,IFERROR(VLOOKUP(TEXT(TEXT(T$36,"yyyymmdd"),"00000000")&amp;TEXT($A37,"00"),가계부!$A:$L,12,FALSE),""),"")</f>
        <v/>
      </c>
      <c r="U37" s="61" t="str">
        <f>IF(MONTH(T$36)=$K$2,IFERROR(VLOOKUP(TEXT(TEXT(T$36,"yyyymmdd"),"00000000")&amp;TEXT($A37,"00"),가계부!$A:$J,10,FALSE),""),"")</f>
        <v/>
      </c>
    </row>
    <row r="38" spans="1:21">
      <c r="A38" s="62">
        <v>2</v>
      </c>
      <c r="B38" s="59" t="str">
        <f>IF(MONTH(B$36)=$K$2,IFERROR(VLOOKUP(TEXT(TEXT(B$36,"yyyymmdd"),"00000000")&amp;TEXT($A38,"00"),가계부!$A:$L,12,FALSE),""),"")</f>
        <v>카페프리헷</v>
      </c>
      <c r="C38" s="61">
        <f>IF(MONTH(B$36)=$K$2,IFERROR(VLOOKUP(TEXT(TEXT(B$36,"yyyymmdd"),"00000000")&amp;TEXT($A38,"00"),가계부!$A:$J,10,FALSE),""),"")</f>
        <v>3400</v>
      </c>
      <c r="E38" s="59" t="str">
        <f>IF(MONTH(E$36)=$K$2,IFERROR(VLOOKUP(TEXT(TEXT(E$36,"yyyymmdd"),"00000000")&amp;TEXT($A38,"00"),가계부!$A:$L,12,FALSE),""),"")</f>
        <v/>
      </c>
      <c r="F38" s="61" t="str">
        <f>IF(MONTH(E$36)=$K$2,IFERROR(VLOOKUP(TEXT(TEXT(E$36,"yyyymmdd"),"00000000")&amp;TEXT($A38,"00"),가계부!$A:$J,10,FALSE),""),"")</f>
        <v/>
      </c>
      <c r="H38" s="59" t="str">
        <f>IF(MONTH(H$36)=$K$2,IFERROR(VLOOKUP(TEXT(TEXT(H$36,"yyyymmdd"),"00000000")&amp;TEXT($A38,"00"),가계부!$A:$L,12,FALSE),""),"")</f>
        <v/>
      </c>
      <c r="I38" s="61" t="str">
        <f>IF(MONTH(H$36)=$K$2,IFERROR(VLOOKUP(TEXT(TEXT(H$36,"yyyymmdd"),"00000000")&amp;TEXT($A38,"00"),가계부!$A:$J,10,FALSE),""),"")</f>
        <v/>
      </c>
      <c r="K38" s="59" t="str">
        <f>IF(MONTH(K$36)=$K$2,IFERROR(VLOOKUP(TEXT(TEXT(K$36,"yyyymmdd"),"00000000")&amp;TEXT($A38,"00"),가계부!$A:$L,12,FALSE),""),"")</f>
        <v>두잇</v>
      </c>
      <c r="L38" s="61">
        <f>IF(MONTH(K$36)=$K$2,IFERROR(VLOOKUP(TEXT(TEXT(K$36,"yyyymmdd"),"00000000")&amp;TEXT($A38,"00"),가계부!$A:$J,10,FALSE),""),"")</f>
        <v>7900</v>
      </c>
      <c r="N38" s="59" t="str">
        <f>IF(MONTH(N$36)=$K$2,IFERROR(VLOOKUP(TEXT(TEXT(N$36,"yyyymmdd"),"00000000")&amp;TEXT($A38,"00"),가계부!$A:$L,12,FALSE),""),"")</f>
        <v>숭실대학교소비자생협</v>
      </c>
      <c r="O38" s="61">
        <f>IF(MONTH(N$36)=$K$2,IFERROR(VLOOKUP(TEXT(TEXT(N$36,"yyyymmdd"),"00000000")&amp;TEXT($A38,"00"),가계부!$A:$J,10,FALSE),""),"")</f>
        <v>6000</v>
      </c>
      <c r="Q38" s="59" t="str">
        <f>IF(MONTH(Q$36)=$K$2,IFERROR(VLOOKUP(TEXT(TEXT(Q$36,"yyyymmdd"),"00000000")&amp;TEXT($A38,"00"),가계부!$A:$L,12,FALSE),""),"")</f>
        <v/>
      </c>
      <c r="R38" s="61" t="str">
        <f>IF(MONTH(Q$36)=$K$2,IFERROR(VLOOKUP(TEXT(TEXT(Q$36,"yyyymmdd"),"00000000")&amp;TEXT($A38,"00"),가계부!$A:$J,10,FALSE),""),"")</f>
        <v/>
      </c>
      <c r="T38" s="59" t="str">
        <f>IF(MONTH(T$36)=$K$2,IFERROR(VLOOKUP(TEXT(TEXT(T$36,"yyyymmdd"),"00000000")&amp;TEXT($A38,"00"),가계부!$A:$L,12,FALSE),""),"")</f>
        <v/>
      </c>
      <c r="U38" s="61" t="str">
        <f>IF(MONTH(T$36)=$K$2,IFERROR(VLOOKUP(TEXT(TEXT(T$36,"yyyymmdd"),"00000000")&amp;TEXT($A38,"00"),가계부!$A:$J,10,FALSE),""),"")</f>
        <v/>
      </c>
    </row>
    <row r="39" spans="1:21">
      <c r="A39" s="62">
        <v>3</v>
      </c>
      <c r="B39" s="59" t="str">
        <f>IF(MONTH(B$36)=$K$2,IFERROR(VLOOKUP(TEXT(TEXT(B$36,"yyyymmdd"),"00000000")&amp;TEXT($A39,"00"),가계부!$A:$L,12,FALSE),""),"")</f>
        <v>긴자료코</v>
      </c>
      <c r="C39" s="61">
        <f>IF(MONTH(B$36)=$K$2,IFERROR(VLOOKUP(TEXT(TEXT(B$36,"yyyymmdd"),"00000000")&amp;TEXT($A39,"00"),가계부!$A:$J,10,FALSE),""),"")</f>
        <v>11000</v>
      </c>
      <c r="E39" s="59" t="str">
        <f>IF(MONTH(E$36)=$K$2,IFERROR(VLOOKUP(TEXT(TEXT(E$36,"yyyymmdd"),"00000000")&amp;TEXT($A39,"00"),가계부!$A:$L,12,FALSE),""),"")</f>
        <v/>
      </c>
      <c r="F39" s="61" t="str">
        <f>IF(MONTH(E$36)=$K$2,IFERROR(VLOOKUP(TEXT(TEXT(E$36,"yyyymmdd"),"00000000")&amp;TEXT($A39,"00"),가계부!$A:$J,10,FALSE),""),"")</f>
        <v/>
      </c>
      <c r="H39" s="59" t="str">
        <f>IF(MONTH(H$36)=$K$2,IFERROR(VLOOKUP(TEXT(TEXT(H$36,"yyyymmdd"),"00000000")&amp;TEXT($A39,"00"),가계부!$A:$L,12,FALSE),""),"")</f>
        <v/>
      </c>
      <c r="I39" s="61" t="str">
        <f>IF(MONTH(H$36)=$K$2,IFERROR(VLOOKUP(TEXT(TEXT(H$36,"yyyymmdd"),"00000000")&amp;TEXT($A39,"00"),가계부!$A:$J,10,FALSE),""),"")</f>
        <v/>
      </c>
      <c r="K39" s="59" t="str">
        <f>IF(MONTH(K$36)=$K$2,IFERROR(VLOOKUP(TEXT(TEXT(K$36,"yyyymmdd"),"00000000")&amp;TEXT($A39,"00"),가계부!$A:$L,12,FALSE),""),"")</f>
        <v/>
      </c>
      <c r="L39" s="61" t="str">
        <f>IF(MONTH(K$36)=$K$2,IFERROR(VLOOKUP(TEXT(TEXT(K$36,"yyyymmdd"),"00000000")&amp;TEXT($A39,"00"),가계부!$A:$J,10,FALSE),""),"")</f>
        <v/>
      </c>
      <c r="N39" s="59" t="str">
        <f>IF(MONTH(N$36)=$K$2,IFERROR(VLOOKUP(TEXT(TEXT(N$36,"yyyymmdd"),"00000000")&amp;TEXT($A39,"00"),가계부!$A:$L,12,FALSE),""),"")</f>
        <v/>
      </c>
      <c r="O39" s="61" t="str">
        <f>IF(MONTH(N$36)=$K$2,IFERROR(VLOOKUP(TEXT(TEXT(N$36,"yyyymmdd"),"00000000")&amp;TEXT($A39,"00"),가계부!$A:$J,10,FALSE),""),"")</f>
        <v/>
      </c>
      <c r="Q39" s="59" t="str">
        <f>IF(MONTH(Q$36)=$K$2,IFERROR(VLOOKUP(TEXT(TEXT(Q$36,"yyyymmdd"),"00000000")&amp;TEXT($A39,"00"),가계부!$A:$L,12,FALSE),""),"")</f>
        <v/>
      </c>
      <c r="R39" s="61" t="str">
        <f>IF(MONTH(Q$36)=$K$2,IFERROR(VLOOKUP(TEXT(TEXT(Q$36,"yyyymmdd"),"00000000")&amp;TEXT($A39,"00"),가계부!$A:$J,10,FALSE),""),"")</f>
        <v/>
      </c>
      <c r="T39" s="59" t="str">
        <f>IF(MONTH(T$36)=$K$2,IFERROR(VLOOKUP(TEXT(TEXT(T$36,"yyyymmdd"),"00000000")&amp;TEXT($A39,"00"),가계부!$A:$L,12,FALSE),""),"")</f>
        <v/>
      </c>
      <c r="U39" s="61" t="str">
        <f>IF(MONTH(T$36)=$K$2,IFERROR(VLOOKUP(TEXT(TEXT(T$36,"yyyymmdd"),"00000000")&amp;TEXT($A39,"00"),가계부!$A:$J,10,FALSE),""),"")</f>
        <v/>
      </c>
    </row>
    <row r="40" spans="1:21">
      <c r="A40" s="62">
        <v>4</v>
      </c>
      <c r="B40" s="59" t="str">
        <f>IF(MONTH(B$36)=$K$2,IFERROR(VLOOKUP(TEXT(TEXT(B$36,"yyyymmdd"),"00000000")&amp;TEXT($A40,"00"),가계부!$A:$L,12,FALSE),""),"")</f>
        <v>야놀자</v>
      </c>
      <c r="C40" s="61">
        <f>IF(MONTH(B$36)=$K$2,IFERROR(VLOOKUP(TEXT(TEXT(B$36,"yyyymmdd"),"00000000")&amp;TEXT($A40,"00"),가계부!$A:$J,10,FALSE),""),"")</f>
        <v>12500</v>
      </c>
      <c r="E40" s="59" t="str">
        <f>IF(MONTH(E$36)=$K$2,IFERROR(VLOOKUP(TEXT(TEXT(E$36,"yyyymmdd"),"00000000")&amp;TEXT($A40,"00"),가계부!$A:$L,12,FALSE),""),"")</f>
        <v/>
      </c>
      <c r="F40" s="61" t="str">
        <f>IF(MONTH(E$36)=$K$2,IFERROR(VLOOKUP(TEXT(TEXT(E$36,"yyyymmdd"),"00000000")&amp;TEXT($A40,"00"),가계부!$A:$J,10,FALSE),""),"")</f>
        <v/>
      </c>
      <c r="H40" s="59" t="str">
        <f>IF(MONTH(H$36)=$K$2,IFERROR(VLOOKUP(TEXT(TEXT(H$36,"yyyymmdd"),"00000000")&amp;TEXT($A40,"00"),가계부!$A:$L,12,FALSE),""),"")</f>
        <v/>
      </c>
      <c r="I40" s="61" t="str">
        <f>IF(MONTH(H$36)=$K$2,IFERROR(VLOOKUP(TEXT(TEXT(H$36,"yyyymmdd"),"00000000")&amp;TEXT($A40,"00"),가계부!$A:$J,10,FALSE),""),"")</f>
        <v/>
      </c>
      <c r="K40" s="59" t="str">
        <f>IF(MONTH(K$36)=$K$2,IFERROR(VLOOKUP(TEXT(TEXT(K$36,"yyyymmdd"),"00000000")&amp;TEXT($A40,"00"),가계부!$A:$L,12,FALSE),""),"")</f>
        <v/>
      </c>
      <c r="L40" s="61" t="str">
        <f>IF(MONTH(K$36)=$K$2,IFERROR(VLOOKUP(TEXT(TEXT(K$36,"yyyymmdd"),"00000000")&amp;TEXT($A40,"00"),가계부!$A:$J,10,FALSE),""),"")</f>
        <v/>
      </c>
      <c r="N40" s="59" t="str">
        <f>IF(MONTH(N$36)=$K$2,IFERROR(VLOOKUP(TEXT(TEXT(N$36,"yyyymmdd"),"00000000")&amp;TEXT($A40,"00"),가계부!$A:$L,12,FALSE),""),"")</f>
        <v/>
      </c>
      <c r="O40" s="61" t="str">
        <f>IF(MONTH(N$36)=$K$2,IFERROR(VLOOKUP(TEXT(TEXT(N$36,"yyyymmdd"),"00000000")&amp;TEXT($A40,"00"),가계부!$A:$J,10,FALSE),""),"")</f>
        <v/>
      </c>
      <c r="Q40" s="59" t="str">
        <f>IF(MONTH(Q$36)=$K$2,IFERROR(VLOOKUP(TEXT(TEXT(Q$36,"yyyymmdd"),"00000000")&amp;TEXT($A40,"00"),가계부!$A:$L,12,FALSE),""),"")</f>
        <v/>
      </c>
      <c r="R40" s="61" t="str">
        <f>IF(MONTH(Q$36)=$K$2,IFERROR(VLOOKUP(TEXT(TEXT(Q$36,"yyyymmdd"),"00000000")&amp;TEXT($A40,"00"),가계부!$A:$J,10,FALSE),""),"")</f>
        <v/>
      </c>
      <c r="T40" s="59" t="str">
        <f>IF(MONTH(T$36)=$K$2,IFERROR(VLOOKUP(TEXT(TEXT(T$36,"yyyymmdd"),"00000000")&amp;TEXT($A40,"00"),가계부!$A:$L,12,FALSE),""),"")</f>
        <v/>
      </c>
      <c r="U40" s="61" t="str">
        <f>IF(MONTH(T$36)=$K$2,IFERROR(VLOOKUP(TEXT(TEXT(T$36,"yyyymmdd"),"00000000")&amp;TEXT($A40,"00"),가계부!$A:$J,10,FALSE),""),"")</f>
        <v/>
      </c>
    </row>
    <row r="41" spans="1:21" ht="17.5" thickBot="1">
      <c r="A41" s="62">
        <v>5</v>
      </c>
      <c r="B41" s="59" t="str">
        <f>IF(MONTH(B$36)=$K$2,IFERROR(VLOOKUP(TEXT(TEXT(B$36,"yyyymmdd"),"00000000")&amp;TEXT($A41,"00"),가계부!$A:$L,12,FALSE),""),"")</f>
        <v/>
      </c>
      <c r="C41" s="61" t="str">
        <f>IF(MONTH(B$36)=$K$2,IFERROR(VLOOKUP(TEXT(TEXT(B$36,"yyyymmdd"),"00000000")&amp;TEXT($A41,"00"),가계부!$A:$J,10,FALSE),""),"")</f>
        <v/>
      </c>
      <c r="E41" s="59" t="str">
        <f>IF(MONTH(E$36)=$K$2,IFERROR(VLOOKUP(TEXT(TEXT(E$36,"yyyymmdd"),"00000000")&amp;TEXT($A41,"00"),가계부!$A:$L,12,FALSE),""),"")</f>
        <v/>
      </c>
      <c r="F41" s="61" t="str">
        <f>IF(MONTH(E$36)=$K$2,IFERROR(VLOOKUP(TEXT(TEXT(E$36,"yyyymmdd"),"00000000")&amp;TEXT($A41,"00"),가계부!$A:$J,10,FALSE),""),"")</f>
        <v/>
      </c>
      <c r="H41" s="59" t="str">
        <f>IF(MONTH(H$36)=$K$2,IFERROR(VLOOKUP(TEXT(TEXT(H$36,"yyyymmdd"),"00000000")&amp;TEXT($A41,"00"),가계부!$A:$L,12,FALSE),""),"")</f>
        <v/>
      </c>
      <c r="I41" s="61" t="str">
        <f>IF(MONTH(H$36)=$K$2,IFERROR(VLOOKUP(TEXT(TEXT(H$36,"yyyymmdd"),"00000000")&amp;TEXT($A41,"00"),가계부!$A:$J,10,FALSE),""),"")</f>
        <v/>
      </c>
      <c r="K41" s="59" t="str">
        <f>IF(MONTH(K$36)=$K$2,IFERROR(VLOOKUP(TEXT(TEXT(K$36,"yyyymmdd"),"00000000")&amp;TEXT($A41,"00"),가계부!$A:$L,12,FALSE),""),"")</f>
        <v/>
      </c>
      <c r="L41" s="61" t="str">
        <f>IF(MONTH(K$36)=$K$2,IFERROR(VLOOKUP(TEXT(TEXT(K$36,"yyyymmdd"),"00000000")&amp;TEXT($A41,"00"),가계부!$A:$J,10,FALSE),""),"")</f>
        <v/>
      </c>
      <c r="N41" s="59" t="str">
        <f>IF(MONTH(N$36)=$K$2,IFERROR(VLOOKUP(TEXT(TEXT(N$36,"yyyymmdd"),"00000000")&amp;TEXT($A41,"00"),가계부!$A:$L,12,FALSE),""),"")</f>
        <v/>
      </c>
      <c r="O41" s="61" t="str">
        <f>IF(MONTH(N$36)=$K$2,IFERROR(VLOOKUP(TEXT(TEXT(N$36,"yyyymmdd"),"00000000")&amp;TEXT($A41,"00"),가계부!$A:$J,10,FALSE),""),"")</f>
        <v/>
      </c>
      <c r="Q41" s="59" t="str">
        <f>IF(MONTH(Q$36)=$K$2,IFERROR(VLOOKUP(TEXT(TEXT(Q$36,"yyyymmdd"),"00000000")&amp;TEXT($A41,"00"),가계부!$A:$L,12,FALSE),""),"")</f>
        <v/>
      </c>
      <c r="R41" s="61" t="str">
        <f>IF(MONTH(Q$36)=$K$2,IFERROR(VLOOKUP(TEXT(TEXT(Q$36,"yyyymmdd"),"00000000")&amp;TEXT($A41,"00"),가계부!$A:$J,10,FALSE),""),"")</f>
        <v/>
      </c>
      <c r="T41" s="59" t="str">
        <f>IF(MONTH(T$36)=$K$2,IFERROR(VLOOKUP(TEXT(TEXT(T$36,"yyyymmdd"),"00000000")&amp;TEXT($A41,"00"),가계부!$A:$L,12,FALSE),""),"")</f>
        <v/>
      </c>
      <c r="U41" s="61" t="str">
        <f>IF(MONTH(T$36)=$K$2,IFERROR(VLOOKUP(TEXT(TEXT(T$36,"yyyymmdd"),"00000000")&amp;TEXT($A41,"00"),가계부!$A:$J,10,FALSE),""),"")</f>
        <v/>
      </c>
    </row>
    <row r="42" spans="1:21" s="54" customFormat="1" ht="17.5" thickBot="1">
      <c r="A42" s="63">
        <v>6</v>
      </c>
      <c r="B42" s="72"/>
      <c r="C42" s="73">
        <f>IF(AND(C36&gt;5,C37&lt;&gt;""),"+"&amp;C36-5&amp;"건",SUMIF(C37:C41,"&gt;0"))</f>
        <v>33800</v>
      </c>
      <c r="D42" s="58"/>
      <c r="E42" s="72"/>
      <c r="F42" s="73">
        <f>IF(AND(F36&gt;5,F37&lt;&gt;""),"+"&amp;F36-5&amp;"건",SUMIF(F37:F41,"&gt;0"))</f>
        <v>7900</v>
      </c>
      <c r="G42" s="58"/>
      <c r="H42" s="72"/>
      <c r="I42" s="73">
        <f>IF(AND(I36&gt;5,I37&lt;&gt;""),"+"&amp;I36-5&amp;"건",SUMIF(I37:I41,"&gt;0"))</f>
        <v>0</v>
      </c>
      <c r="J42" s="58"/>
      <c r="K42" s="72"/>
      <c r="L42" s="73">
        <f>IF(AND(L36&gt;5,L37&lt;&gt;""),"+"&amp;L36-5&amp;"건",SUMIF(L37:L41,"&gt;0"))</f>
        <v>30700</v>
      </c>
      <c r="M42" s="58"/>
      <c r="N42" s="72"/>
      <c r="O42" s="73">
        <f>IF(AND(O36&gt;5,O37&lt;&gt;""),"+"&amp;O36-5&amp;"건",SUMIF(O37:O41,"&gt;0"))</f>
        <v>15520</v>
      </c>
      <c r="P42" s="58"/>
      <c r="Q42" s="72"/>
      <c r="R42" s="73">
        <f>IF(AND(R36&gt;5,R37&lt;&gt;""),"+"&amp;R36-5&amp;"건",SUMIF(R37:R41,"&gt;0"))</f>
        <v>0</v>
      </c>
      <c r="S42" s="58"/>
      <c r="T42" s="72"/>
      <c r="U42" s="73">
        <f>IF(AND(U36&gt;5,U37&lt;&gt;""),"+"&amp;U36-5&amp;"건",SUMIF(U37:U41,"&gt;0"))</f>
        <v>0</v>
      </c>
    </row>
    <row r="43" spans="1:21" ht="10" customHeight="1" thickTop="1" thickBot="1"/>
    <row r="44" spans="1:21" s="52" customFormat="1" ht="23.5" thickTop="1">
      <c r="A44" s="53">
        <v>0</v>
      </c>
      <c r="B44" s="68">
        <f>B36+7</f>
        <v>45872</v>
      </c>
      <c r="C44" s="69">
        <f>COUNTIF(가계부!$B:$B,B44)</f>
        <v>1</v>
      </c>
      <c r="D44" s="57"/>
      <c r="E44" s="70">
        <f>E36+7</f>
        <v>45873</v>
      </c>
      <c r="F44" s="69">
        <f>COUNTIF(가계부!$B:$B,E44)</f>
        <v>0</v>
      </c>
      <c r="G44" s="57"/>
      <c r="H44" s="70">
        <f>H36+7</f>
        <v>45874</v>
      </c>
      <c r="I44" s="69">
        <f>COUNTIF(가계부!$B:$B,H44)</f>
        <v>6</v>
      </c>
      <c r="J44" s="57"/>
      <c r="K44" s="70">
        <f>K36+7</f>
        <v>45875</v>
      </c>
      <c r="L44" s="69">
        <f>COUNTIF(가계부!$B:$B,K44)</f>
        <v>0</v>
      </c>
      <c r="M44" s="57"/>
      <c r="N44" s="70">
        <f>N36+7</f>
        <v>45876</v>
      </c>
      <c r="O44" s="69">
        <f>COUNTIF(가계부!$B:$B,N44)</f>
        <v>1</v>
      </c>
      <c r="P44" s="57"/>
      <c r="Q44" s="70">
        <f>Q36+7</f>
        <v>45877</v>
      </c>
      <c r="R44" s="69">
        <f>COUNTIF(가계부!$B:$B,Q44)</f>
        <v>0</v>
      </c>
      <c r="S44" s="57"/>
      <c r="T44" s="71">
        <f>T36+7</f>
        <v>45878</v>
      </c>
      <c r="U44" s="69">
        <f>COUNTIF(가계부!$B:$B,T44)</f>
        <v>1</v>
      </c>
    </row>
    <row r="45" spans="1:21">
      <c r="A45" s="62">
        <v>1</v>
      </c>
      <c r="B45" s="59" t="str">
        <f>IF(MONTH(B$44)=$K$2,IFERROR(VLOOKUP(TEXT(TEXT(B$44,"yyyymmdd"),"00000000")&amp;TEXT($A45,"00"),가계부!$A:$L,12,FALSE),""),"")</f>
        <v/>
      </c>
      <c r="C45" s="61" t="str">
        <f>IF(MONTH(B$44)=$K$2,IFERROR(VLOOKUP(TEXT(TEXT(B$44,"yyyymmdd"),"00000000")&amp;TEXT($A45,"00"),가계부!$A:$J,10,FALSE),""),"")</f>
        <v/>
      </c>
      <c r="E45" s="59" t="str">
        <f>IF(MONTH(E$44)=$K$2,IFERROR(VLOOKUP(TEXT(TEXT(E$44,"yyyymmdd"),"00000000")&amp;TEXT($A45,"00"),가계부!$A:$L,12,FALSE),""),"")</f>
        <v/>
      </c>
      <c r="F45" s="61" t="str">
        <f>IF(MONTH(E$44)=$K$2,IFERROR(VLOOKUP(TEXT(TEXT(E$44,"yyyymmdd"),"00000000")&amp;TEXT($A45,"00"),가계부!$A:$J,10,FALSE),""),"")</f>
        <v/>
      </c>
      <c r="H45" s="59" t="str">
        <f>IF(MONTH(H$44)=$K$2,IFERROR(VLOOKUP(TEXT(TEXT(H$44,"yyyymmdd"),"00000000")&amp;TEXT($A45,"00"),가계부!$A:$L,12,FALSE),""),"")</f>
        <v/>
      </c>
      <c r="I45" s="61" t="str">
        <f>IF(MONTH(H$44)=$K$2,IFERROR(VLOOKUP(TEXT(TEXT(H$44,"yyyymmdd"),"00000000")&amp;TEXT($A45,"00"),가계부!$A:$J,10,FALSE),""),"")</f>
        <v/>
      </c>
      <c r="K45" s="59" t="str">
        <f>IF(MONTH(K$44)=$K$2,IFERROR(VLOOKUP(TEXT(TEXT(K$44,"yyyymmdd"),"00000000")&amp;TEXT($A45,"00"),가계부!$A:$L,12,FALSE),""),"")</f>
        <v/>
      </c>
      <c r="L45" s="61" t="str">
        <f>IF(MONTH(K$44)=$K$2,IFERROR(VLOOKUP(TEXT(TEXT(K$44,"yyyymmdd"),"00000000")&amp;TEXT($A45,"00"),가계부!$A:$J,10,FALSE),""),"")</f>
        <v/>
      </c>
      <c r="N45" s="59" t="str">
        <f>IF(MONTH(N$44)=$K$2,IFERROR(VLOOKUP(TEXT(TEXT(N$44,"yyyymmdd"),"00000000")&amp;TEXT($A45,"00"),가계부!$A:$L,12,FALSE),""),"")</f>
        <v/>
      </c>
      <c r="O45" s="61" t="str">
        <f>IF(MONTH(N$44)=$K$2,IFERROR(VLOOKUP(TEXT(TEXT(N$44,"yyyymmdd"),"00000000")&amp;TEXT($A45,"00"),가계부!$A:$J,10,FALSE),""),"")</f>
        <v/>
      </c>
      <c r="Q45" s="59" t="str">
        <f>IF(MONTH(Q$44)=$K$2,IFERROR(VLOOKUP(TEXT(TEXT(Q$44,"yyyymmdd"),"00000000")&amp;TEXT($A45,"00"),가계부!$A:$L,12,FALSE),""),"")</f>
        <v/>
      </c>
      <c r="R45" s="61" t="str">
        <f>IF(MONTH(Q$44)=$K$2,IFERROR(VLOOKUP(TEXT(TEXT(Q$44,"yyyymmdd"),"00000000")&amp;TEXT($A45,"00"),가계부!$A:$J,10,FALSE),""),"")</f>
        <v/>
      </c>
      <c r="T45" s="59" t="str">
        <f>IF(MONTH(T$44)=$K$2,IFERROR(VLOOKUP(TEXT(TEXT(T$44,"yyyymmdd"),"00000000")&amp;TEXT($A45,"00"),가계부!$A:$L,12,FALSE),""),"")</f>
        <v/>
      </c>
      <c r="U45" s="61" t="str">
        <f>IF(MONTH(T$44)=$K$2,IFERROR(VLOOKUP(TEXT(TEXT(T$44,"yyyymmdd"),"00000000")&amp;TEXT($A45,"00"),가계부!$A:$J,10,FALSE),""),"")</f>
        <v/>
      </c>
    </row>
    <row r="46" spans="1:21">
      <c r="A46" s="62">
        <v>2</v>
      </c>
      <c r="B46" s="59" t="str">
        <f>IF(MONTH(B$44)=$K$2,IFERROR(VLOOKUP(TEXT(TEXT(B$44,"yyyymmdd"),"00000000")&amp;TEXT($A46,"00"),가계부!$A:$L,12,FALSE),""),"")</f>
        <v/>
      </c>
      <c r="C46" s="61" t="str">
        <f>IF(MONTH(B$44)=$K$2,IFERROR(VLOOKUP(TEXT(TEXT(B$44,"yyyymmdd"),"00000000")&amp;TEXT($A46,"00"),가계부!$A:$J,10,FALSE),""),"")</f>
        <v/>
      </c>
      <c r="E46" s="59" t="str">
        <f>IF(MONTH(E$44)=$K$2,IFERROR(VLOOKUP(TEXT(TEXT(E$44,"yyyymmdd"),"00000000")&amp;TEXT($A46,"00"),가계부!$A:$L,12,FALSE),""),"")</f>
        <v/>
      </c>
      <c r="F46" s="61" t="str">
        <f>IF(MONTH(E$44)=$K$2,IFERROR(VLOOKUP(TEXT(TEXT(E$44,"yyyymmdd"),"00000000")&amp;TEXT($A46,"00"),가계부!$A:$J,10,FALSE),""),"")</f>
        <v/>
      </c>
      <c r="H46" s="59" t="str">
        <f>IF(MONTH(H$44)=$K$2,IFERROR(VLOOKUP(TEXT(TEXT(H$44,"yyyymmdd"),"00000000")&amp;TEXT($A46,"00"),가계부!$A:$L,12,FALSE),""),"")</f>
        <v/>
      </c>
      <c r="I46" s="61" t="str">
        <f>IF(MONTH(H$44)=$K$2,IFERROR(VLOOKUP(TEXT(TEXT(H$44,"yyyymmdd"),"00000000")&amp;TEXT($A46,"00"),가계부!$A:$J,10,FALSE),""),"")</f>
        <v/>
      </c>
      <c r="K46" s="59" t="str">
        <f>IF(MONTH(K$44)=$K$2,IFERROR(VLOOKUP(TEXT(TEXT(K$44,"yyyymmdd"),"00000000")&amp;TEXT($A46,"00"),가계부!$A:$L,12,FALSE),""),"")</f>
        <v/>
      </c>
      <c r="L46" s="61" t="str">
        <f>IF(MONTH(K$44)=$K$2,IFERROR(VLOOKUP(TEXT(TEXT(K$44,"yyyymmdd"),"00000000")&amp;TEXT($A46,"00"),가계부!$A:$J,10,FALSE),""),"")</f>
        <v/>
      </c>
      <c r="N46" s="59" t="str">
        <f>IF(MONTH(N$44)=$K$2,IFERROR(VLOOKUP(TEXT(TEXT(N$44,"yyyymmdd"),"00000000")&amp;TEXT($A46,"00"),가계부!$A:$L,12,FALSE),""),"")</f>
        <v/>
      </c>
      <c r="O46" s="61" t="str">
        <f>IF(MONTH(N$44)=$K$2,IFERROR(VLOOKUP(TEXT(TEXT(N$44,"yyyymmdd"),"00000000")&amp;TEXT($A46,"00"),가계부!$A:$J,10,FALSE),""),"")</f>
        <v/>
      </c>
      <c r="Q46" s="59" t="str">
        <f>IF(MONTH(Q$44)=$K$2,IFERROR(VLOOKUP(TEXT(TEXT(Q$44,"yyyymmdd"),"00000000")&amp;TEXT($A46,"00"),가계부!$A:$L,12,FALSE),""),"")</f>
        <v/>
      </c>
      <c r="R46" s="61" t="str">
        <f>IF(MONTH(Q$44)=$K$2,IFERROR(VLOOKUP(TEXT(TEXT(Q$44,"yyyymmdd"),"00000000")&amp;TEXT($A46,"00"),가계부!$A:$J,10,FALSE),""),"")</f>
        <v/>
      </c>
      <c r="T46" s="59" t="str">
        <f>IF(MONTH(T$44)=$K$2,IFERROR(VLOOKUP(TEXT(TEXT(T$44,"yyyymmdd"),"00000000")&amp;TEXT($A46,"00"),가계부!$A:$L,12,FALSE),""),"")</f>
        <v/>
      </c>
      <c r="U46" s="61" t="str">
        <f>IF(MONTH(T$44)=$K$2,IFERROR(VLOOKUP(TEXT(TEXT(T$44,"yyyymmdd"),"00000000")&amp;TEXT($A46,"00"),가계부!$A:$J,10,FALSE),""),"")</f>
        <v/>
      </c>
    </row>
    <row r="47" spans="1:21">
      <c r="A47" s="62">
        <v>3</v>
      </c>
      <c r="B47" s="59" t="str">
        <f>IF(MONTH(B$44)=$K$2,IFERROR(VLOOKUP(TEXT(TEXT(B$44,"yyyymmdd"),"00000000")&amp;TEXT($A47,"00"),가계부!$A:$L,12,FALSE),""),"")</f>
        <v/>
      </c>
      <c r="C47" s="61" t="str">
        <f>IF(MONTH(B$44)=$K$2,IFERROR(VLOOKUP(TEXT(TEXT(B$44,"yyyymmdd"),"00000000")&amp;TEXT($A47,"00"),가계부!$A:$J,10,FALSE),""),"")</f>
        <v/>
      </c>
      <c r="E47" s="59" t="str">
        <f>IF(MONTH(E$44)=$K$2,IFERROR(VLOOKUP(TEXT(TEXT(E$44,"yyyymmdd"),"00000000")&amp;TEXT($A47,"00"),가계부!$A:$L,12,FALSE),""),"")</f>
        <v/>
      </c>
      <c r="F47" s="61" t="str">
        <f>IF(MONTH(E$44)=$K$2,IFERROR(VLOOKUP(TEXT(TEXT(E$44,"yyyymmdd"),"00000000")&amp;TEXT($A47,"00"),가계부!$A:$J,10,FALSE),""),"")</f>
        <v/>
      </c>
      <c r="H47" s="59" t="str">
        <f>IF(MONTH(H$44)=$K$2,IFERROR(VLOOKUP(TEXT(TEXT(H$44,"yyyymmdd"),"00000000")&amp;TEXT($A47,"00"),가계부!$A:$L,12,FALSE),""),"")</f>
        <v/>
      </c>
      <c r="I47" s="61" t="str">
        <f>IF(MONTH(H$44)=$K$2,IFERROR(VLOOKUP(TEXT(TEXT(H$44,"yyyymmdd"),"00000000")&amp;TEXT($A47,"00"),가계부!$A:$J,10,FALSE),""),"")</f>
        <v/>
      </c>
      <c r="K47" s="59" t="str">
        <f>IF(MONTH(K$44)=$K$2,IFERROR(VLOOKUP(TEXT(TEXT(K$44,"yyyymmdd"),"00000000")&amp;TEXT($A47,"00"),가계부!$A:$L,12,FALSE),""),"")</f>
        <v/>
      </c>
      <c r="L47" s="61" t="str">
        <f>IF(MONTH(K$44)=$K$2,IFERROR(VLOOKUP(TEXT(TEXT(K$44,"yyyymmdd"),"00000000")&amp;TEXT($A47,"00"),가계부!$A:$J,10,FALSE),""),"")</f>
        <v/>
      </c>
      <c r="N47" s="59" t="str">
        <f>IF(MONTH(N$44)=$K$2,IFERROR(VLOOKUP(TEXT(TEXT(N$44,"yyyymmdd"),"00000000")&amp;TEXT($A47,"00"),가계부!$A:$L,12,FALSE),""),"")</f>
        <v/>
      </c>
      <c r="O47" s="61" t="str">
        <f>IF(MONTH(N$44)=$K$2,IFERROR(VLOOKUP(TEXT(TEXT(N$44,"yyyymmdd"),"00000000")&amp;TEXT($A47,"00"),가계부!$A:$J,10,FALSE),""),"")</f>
        <v/>
      </c>
      <c r="Q47" s="59" t="str">
        <f>IF(MONTH(Q$44)=$K$2,IFERROR(VLOOKUP(TEXT(TEXT(Q$44,"yyyymmdd"),"00000000")&amp;TEXT($A47,"00"),가계부!$A:$L,12,FALSE),""),"")</f>
        <v/>
      </c>
      <c r="R47" s="61" t="str">
        <f>IF(MONTH(Q$44)=$K$2,IFERROR(VLOOKUP(TEXT(TEXT(Q$44,"yyyymmdd"),"00000000")&amp;TEXT($A47,"00"),가계부!$A:$J,10,FALSE),""),"")</f>
        <v/>
      </c>
      <c r="T47" s="59" t="str">
        <f>IF(MONTH(T$44)=$K$2,IFERROR(VLOOKUP(TEXT(TEXT(T$44,"yyyymmdd"),"00000000")&amp;TEXT($A47,"00"),가계부!$A:$L,12,FALSE),""),"")</f>
        <v/>
      </c>
      <c r="U47" s="61" t="str">
        <f>IF(MONTH(T$44)=$K$2,IFERROR(VLOOKUP(TEXT(TEXT(T$44,"yyyymmdd"),"00000000")&amp;TEXT($A47,"00"),가계부!$A:$J,10,FALSE),""),"")</f>
        <v/>
      </c>
    </row>
    <row r="48" spans="1:21">
      <c r="A48" s="62">
        <v>4</v>
      </c>
      <c r="B48" s="59" t="str">
        <f>IF(MONTH(B$44)=$K$2,IFERROR(VLOOKUP(TEXT(TEXT(B$44,"yyyymmdd"),"00000000")&amp;TEXT($A48,"00"),가계부!$A:$L,12,FALSE),""),"")</f>
        <v/>
      </c>
      <c r="C48" s="61" t="str">
        <f>IF(MONTH(B$44)=$K$2,IFERROR(VLOOKUP(TEXT(TEXT(B$44,"yyyymmdd"),"00000000")&amp;TEXT($A48,"00"),가계부!$A:$J,10,FALSE),""),"")</f>
        <v/>
      </c>
      <c r="E48" s="59" t="str">
        <f>IF(MONTH(E$44)=$K$2,IFERROR(VLOOKUP(TEXT(TEXT(E$44,"yyyymmdd"),"00000000")&amp;TEXT($A48,"00"),가계부!$A:$L,12,FALSE),""),"")</f>
        <v/>
      </c>
      <c r="F48" s="61" t="str">
        <f>IF(MONTH(E$44)=$K$2,IFERROR(VLOOKUP(TEXT(TEXT(E$44,"yyyymmdd"),"00000000")&amp;TEXT($A48,"00"),가계부!$A:$J,10,FALSE),""),"")</f>
        <v/>
      </c>
      <c r="H48" s="59" t="str">
        <f>IF(MONTH(H$44)=$K$2,IFERROR(VLOOKUP(TEXT(TEXT(H$44,"yyyymmdd"),"00000000")&amp;TEXT($A48,"00"),가계부!$A:$L,12,FALSE),""),"")</f>
        <v/>
      </c>
      <c r="I48" s="61" t="str">
        <f>IF(MONTH(H$44)=$K$2,IFERROR(VLOOKUP(TEXT(TEXT(H$44,"yyyymmdd"),"00000000")&amp;TEXT($A48,"00"),가계부!$A:$J,10,FALSE),""),"")</f>
        <v/>
      </c>
      <c r="K48" s="59" t="str">
        <f>IF(MONTH(K$44)=$K$2,IFERROR(VLOOKUP(TEXT(TEXT(K$44,"yyyymmdd"),"00000000")&amp;TEXT($A48,"00"),가계부!$A:$L,12,FALSE),""),"")</f>
        <v/>
      </c>
      <c r="L48" s="61" t="str">
        <f>IF(MONTH(K$44)=$K$2,IFERROR(VLOOKUP(TEXT(TEXT(K$44,"yyyymmdd"),"00000000")&amp;TEXT($A48,"00"),가계부!$A:$J,10,FALSE),""),"")</f>
        <v/>
      </c>
      <c r="N48" s="59" t="str">
        <f>IF(MONTH(N$44)=$K$2,IFERROR(VLOOKUP(TEXT(TEXT(N$44,"yyyymmdd"),"00000000")&amp;TEXT($A48,"00"),가계부!$A:$L,12,FALSE),""),"")</f>
        <v/>
      </c>
      <c r="O48" s="61" t="str">
        <f>IF(MONTH(N$44)=$K$2,IFERROR(VLOOKUP(TEXT(TEXT(N$44,"yyyymmdd"),"00000000")&amp;TEXT($A48,"00"),가계부!$A:$J,10,FALSE),""),"")</f>
        <v/>
      </c>
      <c r="Q48" s="59" t="str">
        <f>IF(MONTH(Q$44)=$K$2,IFERROR(VLOOKUP(TEXT(TEXT(Q$44,"yyyymmdd"),"00000000")&amp;TEXT($A48,"00"),가계부!$A:$L,12,FALSE),""),"")</f>
        <v/>
      </c>
      <c r="R48" s="61" t="str">
        <f>IF(MONTH(Q$44)=$K$2,IFERROR(VLOOKUP(TEXT(TEXT(Q$44,"yyyymmdd"),"00000000")&amp;TEXT($A48,"00"),가계부!$A:$J,10,FALSE),""),"")</f>
        <v/>
      </c>
      <c r="T48" s="59" t="str">
        <f>IF(MONTH(T$44)=$K$2,IFERROR(VLOOKUP(TEXT(TEXT(T$44,"yyyymmdd"),"00000000")&amp;TEXT($A48,"00"),가계부!$A:$L,12,FALSE),""),"")</f>
        <v/>
      </c>
      <c r="U48" s="61" t="str">
        <f>IF(MONTH(T$44)=$K$2,IFERROR(VLOOKUP(TEXT(TEXT(T$44,"yyyymmdd"),"00000000")&amp;TEXT($A48,"00"),가계부!$A:$J,10,FALSE),""),"")</f>
        <v/>
      </c>
    </row>
    <row r="49" spans="1:21" ht="17.5" thickBot="1">
      <c r="A49" s="62">
        <v>5</v>
      </c>
      <c r="B49" s="59" t="str">
        <f>IF(MONTH(B$44)=$K$2,IFERROR(VLOOKUP(TEXT(TEXT(B$44,"yyyymmdd"),"00000000")&amp;TEXT($A49,"00"),가계부!$A:$L,12,FALSE),""),"")</f>
        <v/>
      </c>
      <c r="C49" s="61" t="str">
        <f>IF(MONTH(B$44)=$K$2,IFERROR(VLOOKUP(TEXT(TEXT(B$44,"yyyymmdd"),"00000000")&amp;TEXT($A49,"00"),가계부!$A:$J,10,FALSE),""),"")</f>
        <v/>
      </c>
      <c r="E49" s="59" t="str">
        <f>IF(MONTH(E$44)=$K$2,IFERROR(VLOOKUP(TEXT(TEXT(E$44,"yyyymmdd"),"00000000")&amp;TEXT($A49,"00"),가계부!$A:$L,12,FALSE),""),"")</f>
        <v/>
      </c>
      <c r="F49" s="61" t="str">
        <f>IF(MONTH(E$44)=$K$2,IFERROR(VLOOKUP(TEXT(TEXT(E$44,"yyyymmdd"),"00000000")&amp;TEXT($A49,"00"),가계부!$A:$J,10,FALSE),""),"")</f>
        <v/>
      </c>
      <c r="H49" s="59" t="str">
        <f>IF(MONTH(H$44)=$K$2,IFERROR(VLOOKUP(TEXT(TEXT(H$44,"yyyymmdd"),"00000000")&amp;TEXT($A49,"00"),가계부!$A:$L,12,FALSE),""),"")</f>
        <v/>
      </c>
      <c r="I49" s="61" t="str">
        <f>IF(MONTH(H$44)=$K$2,IFERROR(VLOOKUP(TEXT(TEXT(H$44,"yyyymmdd"),"00000000")&amp;TEXT($A49,"00"),가계부!$A:$J,10,FALSE),""),"")</f>
        <v/>
      </c>
      <c r="K49" s="59" t="str">
        <f>IF(MONTH(K$44)=$K$2,IFERROR(VLOOKUP(TEXT(TEXT(K$44,"yyyymmdd"),"00000000")&amp;TEXT($A49,"00"),가계부!$A:$L,12,FALSE),""),"")</f>
        <v/>
      </c>
      <c r="L49" s="61" t="str">
        <f>IF(MONTH(K$44)=$K$2,IFERROR(VLOOKUP(TEXT(TEXT(K$44,"yyyymmdd"),"00000000")&amp;TEXT($A49,"00"),가계부!$A:$J,10,FALSE),""),"")</f>
        <v/>
      </c>
      <c r="N49" s="59" t="str">
        <f>IF(MONTH(N$44)=$K$2,IFERROR(VLOOKUP(TEXT(TEXT(N$44,"yyyymmdd"),"00000000")&amp;TEXT($A49,"00"),가계부!$A:$L,12,FALSE),""),"")</f>
        <v/>
      </c>
      <c r="O49" s="61" t="str">
        <f>IF(MONTH(N$44)=$K$2,IFERROR(VLOOKUP(TEXT(TEXT(N$44,"yyyymmdd"),"00000000")&amp;TEXT($A49,"00"),가계부!$A:$J,10,FALSE),""),"")</f>
        <v/>
      </c>
      <c r="Q49" s="59" t="str">
        <f>IF(MONTH(Q$44)=$K$2,IFERROR(VLOOKUP(TEXT(TEXT(Q$44,"yyyymmdd"),"00000000")&amp;TEXT($A49,"00"),가계부!$A:$L,12,FALSE),""),"")</f>
        <v/>
      </c>
      <c r="R49" s="61" t="str">
        <f>IF(MONTH(Q$44)=$K$2,IFERROR(VLOOKUP(TEXT(TEXT(Q$44,"yyyymmdd"),"00000000")&amp;TEXT($A49,"00"),가계부!$A:$J,10,FALSE),""),"")</f>
        <v/>
      </c>
      <c r="T49" s="59" t="str">
        <f>IF(MONTH(T$44)=$K$2,IFERROR(VLOOKUP(TEXT(TEXT(T$44,"yyyymmdd"),"00000000")&amp;TEXT($A49,"00"),가계부!$A:$L,12,FALSE),""),"")</f>
        <v/>
      </c>
      <c r="U49" s="61" t="str">
        <f>IF(MONTH(T$44)=$K$2,IFERROR(VLOOKUP(TEXT(TEXT(T$44,"yyyymmdd"),"00000000")&amp;TEXT($A49,"00"),가계부!$A:$J,10,FALSE),""),"")</f>
        <v/>
      </c>
    </row>
    <row r="50" spans="1:21" s="54" customFormat="1" ht="17.5" thickBot="1">
      <c r="A50" s="63">
        <v>6</v>
      </c>
      <c r="B50" s="72"/>
      <c r="C50" s="73">
        <f>IF(AND(C44&gt;5,C45&lt;&gt;""),"+"&amp;C44-5&amp;"건",SUMIF(C45:C49,"&gt;0"))</f>
        <v>0</v>
      </c>
      <c r="D50" s="58"/>
      <c r="E50" s="72"/>
      <c r="F50" s="73">
        <f>IF(AND(F44&gt;5,F45&lt;&gt;""),"+"&amp;F44-5&amp;"건",SUMIF(F45:F49,"&gt;0"))</f>
        <v>0</v>
      </c>
      <c r="G50" s="58"/>
      <c r="H50" s="72"/>
      <c r="I50" s="73">
        <f>IF(AND(I44&gt;5,I45&lt;&gt;""),"+"&amp;I44-5&amp;"건",SUMIF(I45:I49,"&gt;0"))</f>
        <v>0</v>
      </c>
      <c r="J50" s="58"/>
      <c r="K50" s="72"/>
      <c r="L50" s="73">
        <f>IF(AND(L44&gt;5,L45&lt;&gt;""),"+"&amp;L44-5&amp;"건",SUMIF(L45:L49,"&gt;0"))</f>
        <v>0</v>
      </c>
      <c r="M50" s="58"/>
      <c r="N50" s="72"/>
      <c r="O50" s="73">
        <f>IF(AND(O44&gt;5,O45&lt;&gt;""),"+"&amp;O44-5&amp;"건",SUMIF(O45:O49,"&gt;0"))</f>
        <v>0</v>
      </c>
      <c r="P50" s="58"/>
      <c r="Q50" s="72"/>
      <c r="R50" s="73">
        <f>IF(AND(R44&gt;5,R45&lt;&gt;""),"+"&amp;R44-5&amp;"건",SUMIF(R45:R49,"&gt;0"))</f>
        <v>0</v>
      </c>
      <c r="S50" s="58"/>
      <c r="T50" s="72"/>
      <c r="U50" s="73">
        <f>IF(AND(U44&gt;5,U45&lt;&gt;""),"+"&amp;U44-5&amp;"건",SUMIF(U45:U49,"&gt;0"))</f>
        <v>0</v>
      </c>
    </row>
    <row r="51" spans="1:21" ht="17.5" thickTop="1"/>
  </sheetData>
  <mergeCells count="8">
    <mergeCell ref="R2:T2"/>
    <mergeCell ref="B3:C3"/>
    <mergeCell ref="T3:U3"/>
    <mergeCell ref="Q3:R3"/>
    <mergeCell ref="N3:O3"/>
    <mergeCell ref="K3:L3"/>
    <mergeCell ref="H3:I3"/>
    <mergeCell ref="E3:F3"/>
  </mergeCells>
  <phoneticPr fontId="1" type="noConversion"/>
  <conditionalFormatting sqref="A10:XFD10 A18:XFD18 A26:XFD26 A34:XFD34 A42:XFD42 A50:XFD50">
    <cfRule type="expression" dxfId="1" priority="18">
      <formula>IF(RIGHT(A10)&lt;&gt;"건",A10&gt;$O$2,0)</formula>
    </cfRule>
  </conditionalFormatting>
  <conditionalFormatting sqref="B36 E36 H36 K36 N36 Q36 T36 T44 Q44 N44 K44 H44 E44 B44 B4 E4 H4 K4 N4 Q4 T4">
    <cfRule type="expression" dxfId="0" priority="1">
      <formula>MONTH(B4)&lt;&gt;$K$2</formula>
    </cfRule>
  </conditionalFormatting>
  <pageMargins left="0.7" right="0.7" top="0.75" bottom="0.75" header="0.3" footer="0.3"/>
  <ignoredErrors>
    <ignoredError sqref="B12 B26 B34 B42 T4 B20 E10 K10 H10 N10 Q10 Q12 B28 B36 B44 E20 H20 K20 N20 Q20 T20 E28 H29:I33 K28 N28 Q28 T28 E36 H36 K36 N36 Q36 T36 E44 H44 K44 N44 Q44 T44 Q4 N4 N12 K12 K4 H4 H12 E12 E4 T42 Q42 N42 K42 H42 E42 T34 Q34 N34 K34 H34 E34 T26 Q26 N26 K26 H26 E26 T18 Q18 N18 K18 H18 E18 B18 H28" formula="1"/>
  </ignoredErrors>
  <drawing r:id="rId1"/>
  <legacyDrawing r:id="rId2"/>
  <controls>
    <mc:AlternateContent xmlns:mc="http://schemas.openxmlformats.org/markup-compatibility/2006">
      <mc:Choice Requires="x14">
        <control shapeId="3074" r:id="rId3" name="SpinButton1">
          <controlPr defaultSize="0" autoFill="0" autoLine="0" autoPict="0" r:id="rId4">
            <anchor moveWithCells="1">
              <from>
                <xdr:col>11</xdr:col>
                <xdr:colOff>323850</xdr:colOff>
                <xdr:row>0</xdr:row>
                <xdr:rowOff>19050</xdr:rowOff>
              </from>
              <to>
                <xdr:col>11</xdr:col>
                <xdr:colOff>622300</xdr:colOff>
                <xdr:row>1</xdr:row>
                <xdr:rowOff>374650</xdr:rowOff>
              </to>
            </anchor>
          </controlPr>
        </control>
      </mc:Choice>
      <mc:Fallback>
        <control shapeId="3074" r:id="rId3" name="Spin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BA8F-0AE0-40D8-A896-8411420AA166}">
  <sheetPr codeName="Sheet2"/>
  <dimension ref="A1:AW2227"/>
  <sheetViews>
    <sheetView tabSelected="1" zoomScale="115" zoomScaleNormal="115" workbookViewId="0">
      <pane ySplit="1" topLeftCell="A2210" activePane="bottomLeft" state="frozen"/>
      <selection activeCell="B1" sqref="B1"/>
      <selection pane="bottomLeft" activeCell="A2227" sqref="A2227"/>
    </sheetView>
  </sheetViews>
  <sheetFormatPr defaultRowHeight="17"/>
  <cols>
    <col min="1" max="1" width="9" style="20" customWidth="1"/>
    <col min="2" max="2" width="7" style="21" customWidth="1"/>
    <col min="3" max="3" width="4.33203125" style="22" customWidth="1"/>
    <col min="4" max="4" width="4.33203125" style="23" customWidth="1"/>
    <col min="5" max="5" width="4.33203125" style="24" customWidth="1"/>
    <col min="6" max="6" width="17.08203125" style="42" bestFit="1" customWidth="1"/>
    <col min="7" max="9" width="12.5" style="42" customWidth="1"/>
    <col min="10" max="10" width="17.33203125" style="10" customWidth="1"/>
    <col min="11" max="11" width="17.33203125" style="7" customWidth="1"/>
    <col min="12" max="12" width="21.25" style="1" customWidth="1"/>
    <col min="13" max="13" width="44.08203125" style="2" customWidth="1"/>
    <col min="14" max="26" width="7.25" style="2" customWidth="1"/>
    <col min="27" max="27" width="11.25" customWidth="1"/>
    <col min="28" max="28" width="17.08203125" customWidth="1"/>
    <col min="29" max="30" width="11" customWidth="1"/>
    <col min="31" max="32" width="11.33203125" bestFit="1" customWidth="1"/>
    <col min="33" max="33" width="7.25" customWidth="1"/>
    <col min="34" max="34" width="16.25" customWidth="1"/>
    <col min="35" max="35" width="10" bestFit="1" customWidth="1"/>
    <col min="36" max="36" width="13" customWidth="1"/>
    <col min="37" max="37" width="14" bestFit="1" customWidth="1"/>
    <col min="38" max="39" width="12.83203125" bestFit="1" customWidth="1"/>
    <col min="40" max="40" width="9" customWidth="1"/>
    <col min="41" max="41" width="10" customWidth="1"/>
    <col min="42" max="42" width="12.83203125" bestFit="1" customWidth="1"/>
    <col min="43" max="43" width="14.08203125" customWidth="1"/>
    <col min="44" max="44" width="12.08203125" customWidth="1"/>
    <col min="45" max="45" width="15.25" customWidth="1"/>
    <col min="46" max="48" width="12.83203125" bestFit="1" customWidth="1"/>
    <col min="49" max="49" width="11.33203125" bestFit="1" customWidth="1"/>
  </cols>
  <sheetData>
    <row r="1" spans="1:49" s="3" customFormat="1" ht="27" customHeight="1">
      <c r="A1" s="13" t="s">
        <v>350</v>
      </c>
      <c r="B1" s="13" t="s">
        <v>149</v>
      </c>
      <c r="C1" s="17" t="s">
        <v>106</v>
      </c>
      <c r="D1" s="18" t="s">
        <v>107</v>
      </c>
      <c r="E1" s="19" t="s">
        <v>108</v>
      </c>
      <c r="F1" s="41" t="s">
        <v>12</v>
      </c>
      <c r="G1" s="41" t="s">
        <v>0</v>
      </c>
      <c r="H1" s="41" t="s">
        <v>1</v>
      </c>
      <c r="I1" s="41" t="s">
        <v>2</v>
      </c>
      <c r="J1" s="12" t="s">
        <v>101</v>
      </c>
      <c r="K1" s="6" t="s">
        <v>130</v>
      </c>
      <c r="L1" s="4" t="s">
        <v>4</v>
      </c>
      <c r="M1" s="5" t="s">
        <v>5</v>
      </c>
      <c r="N1" s="5"/>
      <c r="O1" s="5"/>
      <c r="P1" s="5"/>
      <c r="Q1" s="5"/>
      <c r="R1" s="5" t="s">
        <v>1391</v>
      </c>
      <c r="S1" s="5"/>
      <c r="T1" s="5"/>
      <c r="U1" s="5"/>
      <c r="V1" s="5"/>
      <c r="W1" s="5"/>
      <c r="X1" s="5"/>
      <c r="Y1" s="5"/>
      <c r="Z1" s="5"/>
      <c r="AB1" s="3" t="s">
        <v>12</v>
      </c>
      <c r="AC1" s="3" t="s">
        <v>0</v>
      </c>
      <c r="AD1" s="3" t="s">
        <v>1</v>
      </c>
      <c r="AE1" s="3" t="s">
        <v>9</v>
      </c>
      <c r="AF1" s="3" t="s">
        <v>10</v>
      </c>
      <c r="AG1" s="3" t="s">
        <v>28</v>
      </c>
      <c r="AH1" s="3" t="s">
        <v>110</v>
      </c>
      <c r="AI1" s="3" t="s">
        <v>111</v>
      </c>
      <c r="AJ1" s="3" t="s">
        <v>29</v>
      </c>
      <c r="AK1" s="3" t="s">
        <v>30</v>
      </c>
      <c r="AL1" s="3" t="s">
        <v>112</v>
      </c>
      <c r="AM1" s="3" t="s">
        <v>113</v>
      </c>
      <c r="AN1" s="3" t="s">
        <v>31</v>
      </c>
      <c r="AO1" s="3" t="s">
        <v>33</v>
      </c>
      <c r="AP1" s="3" t="s">
        <v>114</v>
      </c>
      <c r="AQ1" s="3" t="s">
        <v>115</v>
      </c>
      <c r="AR1" s="3" t="s">
        <v>74</v>
      </c>
      <c r="AS1" s="3" t="s">
        <v>116</v>
      </c>
      <c r="AT1" s="3" t="s">
        <v>117</v>
      </c>
      <c r="AU1" s="3" t="s">
        <v>118</v>
      </c>
      <c r="AV1" s="3" t="s">
        <v>119</v>
      </c>
      <c r="AW1" s="3" t="s">
        <v>100</v>
      </c>
    </row>
    <row r="2" spans="1:49">
      <c r="A2" s="21" t="str">
        <f>TEXT(TEXT(B2,"yyyymmdd"),"00000000")&amp;TEXT(COUNTIF($B$2:B2,B2),"00")</f>
        <v>2022070101</v>
      </c>
      <c r="B2" s="21">
        <f t="shared" ref="B2:B65" si="0">DATE(C2,D2,E2)</f>
        <v>44743</v>
      </c>
      <c r="C2" s="22">
        <v>2022</v>
      </c>
      <c r="D2" s="23">
        <v>7</v>
      </c>
      <c r="E2" s="24">
        <v>1</v>
      </c>
      <c r="F2" s="42" t="s">
        <v>15</v>
      </c>
      <c r="G2" s="42" t="s">
        <v>11</v>
      </c>
      <c r="H2" s="42" t="s">
        <v>99</v>
      </c>
      <c r="I2" s="42" t="s">
        <v>94</v>
      </c>
      <c r="J2" s="10">
        <v>-53097</v>
      </c>
      <c r="K2" s="7">
        <v>53097</v>
      </c>
      <c r="L2" s="1" t="s">
        <v>102</v>
      </c>
      <c r="AB2" s="43" t="s">
        <v>16</v>
      </c>
      <c r="AC2" t="s">
        <v>9</v>
      </c>
      <c r="AD2" t="s">
        <v>9</v>
      </c>
      <c r="AE2" t="s">
        <v>23</v>
      </c>
      <c r="AF2" t="s">
        <v>26</v>
      </c>
      <c r="AG2" t="s">
        <v>36</v>
      </c>
      <c r="AH2" t="s">
        <v>120</v>
      </c>
      <c r="AI2" t="s">
        <v>38</v>
      </c>
      <c r="AJ2" t="s">
        <v>39</v>
      </c>
      <c r="AK2" t="s">
        <v>46</v>
      </c>
      <c r="AL2" t="s">
        <v>48</v>
      </c>
      <c r="AM2" t="s">
        <v>51</v>
      </c>
      <c r="AN2" t="s">
        <v>55</v>
      </c>
      <c r="AO2" t="s">
        <v>59</v>
      </c>
      <c r="AP2" t="s">
        <v>65</v>
      </c>
      <c r="AQ2" t="s">
        <v>71</v>
      </c>
      <c r="AR2" t="s">
        <v>75</v>
      </c>
      <c r="AS2" t="s">
        <v>77</v>
      </c>
      <c r="AT2" t="s">
        <v>83</v>
      </c>
      <c r="AU2" t="s">
        <v>89</v>
      </c>
      <c r="AV2" t="s">
        <v>90</v>
      </c>
      <c r="AW2" t="s">
        <v>95</v>
      </c>
    </row>
    <row r="3" spans="1:49">
      <c r="A3" s="21" t="str">
        <f>TEXT(TEXT(B3,"yyyymmdd"),"00000000")&amp;TEXT(COUNTIF($B$2:B3,B3),"00")</f>
        <v>2022070102</v>
      </c>
      <c r="B3" s="21">
        <f t="shared" si="0"/>
        <v>44743</v>
      </c>
      <c r="C3" s="22">
        <v>2022</v>
      </c>
      <c r="D3" s="23">
        <v>7</v>
      </c>
      <c r="E3" s="24">
        <v>1</v>
      </c>
      <c r="F3" s="42" t="s">
        <v>17</v>
      </c>
      <c r="G3" s="42" t="s">
        <v>11</v>
      </c>
      <c r="H3" s="42" t="s">
        <v>99</v>
      </c>
      <c r="I3" s="42" t="s">
        <v>94</v>
      </c>
      <c r="J3" s="10">
        <v>-357530</v>
      </c>
      <c r="K3" s="7">
        <v>357530</v>
      </c>
      <c r="L3" s="1" t="s">
        <v>102</v>
      </c>
      <c r="AB3" s="44" t="s">
        <v>18</v>
      </c>
      <c r="AC3" t="s">
        <v>10</v>
      </c>
      <c r="AD3" t="s">
        <v>10</v>
      </c>
      <c r="AE3" t="s">
        <v>24</v>
      </c>
      <c r="AF3" t="s">
        <v>27</v>
      </c>
      <c r="AG3" t="s">
        <v>35</v>
      </c>
      <c r="AH3" t="s">
        <v>37</v>
      </c>
      <c r="AI3" t="s">
        <v>543</v>
      </c>
      <c r="AJ3" t="s">
        <v>40</v>
      </c>
      <c r="AK3" t="s">
        <v>47</v>
      </c>
      <c r="AL3" t="s">
        <v>49</v>
      </c>
      <c r="AM3" t="s">
        <v>52</v>
      </c>
      <c r="AN3" t="s">
        <v>56</v>
      </c>
      <c r="AO3" t="s">
        <v>60</v>
      </c>
      <c r="AP3" t="s">
        <v>66</v>
      </c>
      <c r="AQ3" t="s">
        <v>72</v>
      </c>
      <c r="AR3" t="s">
        <v>121</v>
      </c>
      <c r="AS3" t="s">
        <v>78</v>
      </c>
      <c r="AT3" t="s">
        <v>84</v>
      </c>
      <c r="AU3" t="s">
        <v>87</v>
      </c>
      <c r="AV3" t="s">
        <v>91</v>
      </c>
      <c r="AW3" t="s">
        <v>3</v>
      </c>
    </row>
    <row r="4" spans="1:49">
      <c r="A4" s="21" t="str">
        <f>TEXT(TEXT(B4,"yyyymmdd"),"00000000")&amp;TEXT(COUNTIF($B$2:B4,B4),"00")</f>
        <v>2022070103</v>
      </c>
      <c r="B4" s="21">
        <f t="shared" si="0"/>
        <v>44743</v>
      </c>
      <c r="C4" s="22">
        <v>2022</v>
      </c>
      <c r="D4" s="23">
        <v>7</v>
      </c>
      <c r="E4" s="24">
        <v>1</v>
      </c>
      <c r="F4" s="42" t="s">
        <v>22</v>
      </c>
      <c r="G4" s="42" t="s">
        <v>11</v>
      </c>
      <c r="H4" s="42" t="s">
        <v>99</v>
      </c>
      <c r="I4" s="42" t="s">
        <v>94</v>
      </c>
      <c r="J4" s="10">
        <v>-407121</v>
      </c>
      <c r="K4" s="7">
        <v>407121</v>
      </c>
      <c r="L4" s="1" t="s">
        <v>102</v>
      </c>
      <c r="AB4" s="44" t="s">
        <v>22</v>
      </c>
      <c r="AC4" t="s">
        <v>6</v>
      </c>
      <c r="AD4" t="s">
        <v>28</v>
      </c>
      <c r="AF4" t="s">
        <v>25</v>
      </c>
      <c r="AG4" t="s">
        <v>34</v>
      </c>
      <c r="AH4" t="s">
        <v>122</v>
      </c>
      <c r="AJ4" t="s">
        <v>41</v>
      </c>
      <c r="AK4" t="s">
        <v>45</v>
      </c>
      <c r="AL4" t="s">
        <v>1124</v>
      </c>
      <c r="AM4" t="s">
        <v>53</v>
      </c>
      <c r="AN4" t="s">
        <v>57</v>
      </c>
      <c r="AO4" t="s">
        <v>61</v>
      </c>
      <c r="AP4" t="s">
        <v>67</v>
      </c>
      <c r="AQ4" t="s">
        <v>123</v>
      </c>
      <c r="AR4" t="s">
        <v>76</v>
      </c>
      <c r="AS4" t="s">
        <v>79</v>
      </c>
      <c r="AT4" t="s">
        <v>85</v>
      </c>
      <c r="AU4" t="s">
        <v>88</v>
      </c>
      <c r="AV4" t="s">
        <v>92</v>
      </c>
      <c r="AW4" t="s">
        <v>96</v>
      </c>
    </row>
    <row r="5" spans="1:49">
      <c r="A5" s="21" t="str">
        <f>TEXT(TEXT(B5,"yyyymmdd"),"00000000")&amp;TEXT(COUNTIF($B$2:B5,B5),"00")</f>
        <v>2022070104</v>
      </c>
      <c r="B5" s="21">
        <f t="shared" si="0"/>
        <v>44743</v>
      </c>
      <c r="C5" s="22">
        <v>2022</v>
      </c>
      <c r="D5" s="23">
        <v>7</v>
      </c>
      <c r="E5" s="24">
        <v>1</v>
      </c>
      <c r="F5" s="42" t="s">
        <v>20</v>
      </c>
      <c r="G5" s="42" t="s">
        <v>11</v>
      </c>
      <c r="H5" s="42" t="s">
        <v>99</v>
      </c>
      <c r="I5" s="42" t="s">
        <v>94</v>
      </c>
      <c r="J5" s="10">
        <v>-10</v>
      </c>
      <c r="K5" s="7">
        <v>10</v>
      </c>
      <c r="L5" s="1" t="s">
        <v>102</v>
      </c>
      <c r="AB5" s="44" t="s">
        <v>20</v>
      </c>
      <c r="AC5" t="s">
        <v>14</v>
      </c>
      <c r="AD5" t="s">
        <v>110</v>
      </c>
      <c r="AF5" t="s">
        <v>24</v>
      </c>
      <c r="AG5" t="s">
        <v>159</v>
      </c>
      <c r="AH5" t="s">
        <v>124</v>
      </c>
      <c r="AJ5" t="s">
        <v>44</v>
      </c>
      <c r="AK5" t="s">
        <v>618</v>
      </c>
      <c r="AL5" t="s">
        <v>50</v>
      </c>
      <c r="AM5" t="s">
        <v>54</v>
      </c>
      <c r="AN5" t="s">
        <v>58</v>
      </c>
      <c r="AO5" t="s">
        <v>62</v>
      </c>
      <c r="AP5" t="s">
        <v>68</v>
      </c>
      <c r="AQ5" t="s">
        <v>73</v>
      </c>
      <c r="AR5" t="s">
        <v>125</v>
      </c>
      <c r="AS5" t="s">
        <v>80</v>
      </c>
      <c r="AT5" t="s">
        <v>86</v>
      </c>
      <c r="AV5" t="s">
        <v>93</v>
      </c>
      <c r="AW5" t="s">
        <v>97</v>
      </c>
    </row>
    <row r="6" spans="1:49">
      <c r="A6" s="21" t="str">
        <f>TEXT(TEXT(B6,"yyyymmdd"),"00000000")&amp;TEXT(COUNTIF($B$2:B6,B6),"00")</f>
        <v>2022070105</v>
      </c>
      <c r="B6" s="21">
        <f t="shared" si="0"/>
        <v>44743</v>
      </c>
      <c r="C6" s="22">
        <v>2022</v>
      </c>
      <c r="D6" s="23">
        <v>7</v>
      </c>
      <c r="E6" s="24">
        <v>1</v>
      </c>
      <c r="F6" s="42" t="s">
        <v>440</v>
      </c>
      <c r="G6" s="42" t="s">
        <v>11</v>
      </c>
      <c r="H6" s="42" t="s">
        <v>99</v>
      </c>
      <c r="I6" s="42" t="s">
        <v>94</v>
      </c>
      <c r="J6" s="10">
        <v>-2200000</v>
      </c>
      <c r="K6" s="7">
        <v>2200000</v>
      </c>
      <c r="L6" s="1" t="s">
        <v>102</v>
      </c>
      <c r="AB6" s="44" t="s">
        <v>499</v>
      </c>
      <c r="AC6" t="s">
        <v>8</v>
      </c>
      <c r="AD6" t="s">
        <v>111</v>
      </c>
      <c r="AF6" t="s">
        <v>144</v>
      </c>
      <c r="AJ6" t="s">
        <v>42</v>
      </c>
      <c r="AN6" t="s">
        <v>174</v>
      </c>
      <c r="AO6" t="s">
        <v>126</v>
      </c>
      <c r="AP6" t="s">
        <v>69</v>
      </c>
      <c r="AR6" t="s">
        <v>127</v>
      </c>
      <c r="AS6" t="s">
        <v>128</v>
      </c>
      <c r="AT6" t="s">
        <v>472</v>
      </c>
      <c r="AW6" t="s">
        <v>98</v>
      </c>
    </row>
    <row r="7" spans="1:49">
      <c r="A7" s="21" t="str">
        <f>TEXT(TEXT(B7,"yyyymmdd"),"00000000")&amp;TEXT(COUNTIF($B$2:B7,B7),"00")</f>
        <v>2022070106</v>
      </c>
      <c r="B7" s="21">
        <f t="shared" si="0"/>
        <v>44743</v>
      </c>
      <c r="C7" s="22">
        <v>2022</v>
      </c>
      <c r="D7" s="23">
        <v>7</v>
      </c>
      <c r="E7" s="24">
        <v>1</v>
      </c>
      <c r="F7" s="42" t="s">
        <v>441</v>
      </c>
      <c r="G7" s="42" t="s">
        <v>11</v>
      </c>
      <c r="H7" s="42" t="s">
        <v>99</v>
      </c>
      <c r="I7" s="42" t="s">
        <v>94</v>
      </c>
      <c r="J7" s="10">
        <v>-2200000</v>
      </c>
      <c r="K7" s="7">
        <v>2200000</v>
      </c>
      <c r="L7" s="1" t="s">
        <v>102</v>
      </c>
      <c r="AB7" s="44" t="s">
        <v>525</v>
      </c>
      <c r="AC7" t="s">
        <v>3</v>
      </c>
      <c r="AD7" t="s">
        <v>29</v>
      </c>
      <c r="AJ7" t="s">
        <v>129</v>
      </c>
      <c r="AN7" t="s">
        <v>1045</v>
      </c>
      <c r="AO7" t="s">
        <v>63</v>
      </c>
      <c r="AP7" t="s">
        <v>70</v>
      </c>
      <c r="AS7" t="s">
        <v>81</v>
      </c>
    </row>
    <row r="8" spans="1:49">
      <c r="A8" s="21" t="str">
        <f>TEXT(TEXT(B8,"yyyymmdd"),"00000000")&amp;TEXT(COUNTIF($B$2:B8,B8),"00")</f>
        <v>2022070107</v>
      </c>
      <c r="B8" s="21">
        <f t="shared" si="0"/>
        <v>44743</v>
      </c>
      <c r="C8" s="22">
        <v>2022</v>
      </c>
      <c r="D8" s="23">
        <v>7</v>
      </c>
      <c r="E8" s="24">
        <v>1</v>
      </c>
      <c r="F8" s="42" t="s">
        <v>499</v>
      </c>
      <c r="G8" s="42" t="s">
        <v>11</v>
      </c>
      <c r="H8" s="42" t="s">
        <v>99</v>
      </c>
      <c r="I8" s="42" t="s">
        <v>94</v>
      </c>
      <c r="J8" s="10">
        <v>-4010690</v>
      </c>
      <c r="K8" s="7">
        <v>4010690</v>
      </c>
      <c r="L8" s="1" t="s">
        <v>102</v>
      </c>
      <c r="AB8" s="44" t="s">
        <v>440</v>
      </c>
      <c r="AD8" t="s">
        <v>30</v>
      </c>
      <c r="AJ8" t="s">
        <v>43</v>
      </c>
      <c r="AO8" t="s">
        <v>64</v>
      </c>
      <c r="AS8" t="s">
        <v>82</v>
      </c>
    </row>
    <row r="9" spans="1:49">
      <c r="A9" s="21" t="str">
        <f>TEXT(TEXT(B9,"yyyymmdd"),"00000000")&amp;TEXT(COUNTIF($B$2:B9,B9),"00")</f>
        <v>2022070108</v>
      </c>
      <c r="B9" s="21">
        <f t="shared" si="0"/>
        <v>44743</v>
      </c>
      <c r="C9" s="22">
        <v>2022</v>
      </c>
      <c r="D9" s="23">
        <v>7</v>
      </c>
      <c r="E9" s="24">
        <v>1</v>
      </c>
      <c r="F9" s="42" t="s">
        <v>17</v>
      </c>
      <c r="G9" s="42" t="s">
        <v>7</v>
      </c>
      <c r="H9" s="42" t="s">
        <v>32</v>
      </c>
      <c r="I9" s="42" t="s">
        <v>141</v>
      </c>
      <c r="J9" s="10">
        <v>500</v>
      </c>
      <c r="K9" s="7">
        <v>-500</v>
      </c>
      <c r="L9" s="1" t="s">
        <v>142</v>
      </c>
      <c r="AB9" s="44" t="s">
        <v>441</v>
      </c>
      <c r="AD9" t="s">
        <v>112</v>
      </c>
      <c r="AJ9" t="s">
        <v>546</v>
      </c>
      <c r="AO9" t="s">
        <v>534</v>
      </c>
      <c r="AS9" t="s">
        <v>212</v>
      </c>
    </row>
    <row r="10" spans="1:49">
      <c r="A10" s="21" t="str">
        <f>TEXT(TEXT(B10,"yyyymmdd"),"00000000")&amp;TEXT(COUNTIF($B$2:B10,B10),"00")</f>
        <v>2022070109</v>
      </c>
      <c r="B10" s="21">
        <f t="shared" si="0"/>
        <v>44743</v>
      </c>
      <c r="C10" s="22">
        <v>2022</v>
      </c>
      <c r="D10" s="23">
        <v>7</v>
      </c>
      <c r="E10" s="24">
        <v>1</v>
      </c>
      <c r="F10" s="42" t="s">
        <v>17</v>
      </c>
      <c r="G10" s="42" t="s">
        <v>135</v>
      </c>
      <c r="H10" s="42" t="s">
        <v>135</v>
      </c>
      <c r="I10" s="42" t="s">
        <v>136</v>
      </c>
      <c r="J10" s="10">
        <v>-83330</v>
      </c>
      <c r="K10" s="7">
        <v>83330</v>
      </c>
      <c r="L10" s="1" t="s">
        <v>137</v>
      </c>
      <c r="AB10" s="45" t="s">
        <v>1352</v>
      </c>
      <c r="AD10" t="s">
        <v>113</v>
      </c>
    </row>
    <row r="11" spans="1:49">
      <c r="A11" s="21" t="str">
        <f>TEXT(TEXT(B11,"yyyymmdd"),"00000000")&amp;TEXT(COUNTIF($B$2:B11,B11),"00")</f>
        <v>2022070110</v>
      </c>
      <c r="B11" s="21">
        <f t="shared" si="0"/>
        <v>44743</v>
      </c>
      <c r="C11" s="22">
        <v>2022</v>
      </c>
      <c r="D11" s="23">
        <v>7</v>
      </c>
      <c r="E11" s="24">
        <v>1</v>
      </c>
      <c r="F11" s="42" t="s">
        <v>17</v>
      </c>
      <c r="G11" s="42" t="s">
        <v>13</v>
      </c>
      <c r="H11" s="42" t="s">
        <v>138</v>
      </c>
      <c r="I11" s="42" t="s">
        <v>139</v>
      </c>
      <c r="J11" s="10">
        <v>23400</v>
      </c>
      <c r="K11" s="7">
        <v>-23400</v>
      </c>
      <c r="L11" s="1" t="s">
        <v>140</v>
      </c>
      <c r="AD11" t="s">
        <v>31</v>
      </c>
    </row>
    <row r="12" spans="1:49">
      <c r="A12" s="21" t="str">
        <f>TEXT(TEXT(B12,"yyyymmdd"),"00000000")&amp;TEXT(COUNTIF($B$2:B12,B12),"00")</f>
        <v>2022070201</v>
      </c>
      <c r="B12" s="21">
        <f t="shared" si="0"/>
        <v>44744</v>
      </c>
      <c r="C12" s="22">
        <v>2022</v>
      </c>
      <c r="D12" s="23">
        <v>7</v>
      </c>
      <c r="E12" s="24">
        <v>2</v>
      </c>
      <c r="F12" s="42" t="s">
        <v>17</v>
      </c>
      <c r="G12" s="42" t="s">
        <v>135</v>
      </c>
      <c r="H12" s="42" t="s">
        <v>135</v>
      </c>
      <c r="I12" s="42" t="s">
        <v>143</v>
      </c>
      <c r="J12" s="10">
        <v>-1</v>
      </c>
      <c r="K12" s="7">
        <v>1</v>
      </c>
      <c r="L12" s="1" t="s">
        <v>145</v>
      </c>
      <c r="M12" s="2" t="s">
        <v>146</v>
      </c>
      <c r="AD12" t="s">
        <v>33</v>
      </c>
    </row>
    <row r="13" spans="1:49">
      <c r="A13" s="21" t="str">
        <f>TEXT(TEXT(B13,"yyyymmdd"),"00000000")&amp;TEXT(COUNTIF($B$2:B13,B13),"00")</f>
        <v>2022070301</v>
      </c>
      <c r="B13" s="21">
        <f t="shared" si="0"/>
        <v>44745</v>
      </c>
      <c r="C13" s="22">
        <v>2022</v>
      </c>
      <c r="D13" s="23">
        <v>7</v>
      </c>
      <c r="E13" s="24">
        <v>3</v>
      </c>
      <c r="F13" s="42" t="s">
        <v>17</v>
      </c>
      <c r="G13" s="42" t="s">
        <v>170</v>
      </c>
      <c r="H13" s="42" t="s">
        <v>155</v>
      </c>
      <c r="I13" s="42" t="s">
        <v>156</v>
      </c>
      <c r="J13" s="10">
        <v>7425</v>
      </c>
      <c r="K13" s="7">
        <v>-7425</v>
      </c>
      <c r="L13" s="1" t="s">
        <v>157</v>
      </c>
      <c r="M13" s="2" t="s">
        <v>158</v>
      </c>
      <c r="AD13" t="s">
        <v>114</v>
      </c>
    </row>
    <row r="14" spans="1:49">
      <c r="A14" s="21" t="str">
        <f>TEXT(TEXT(B14,"yyyymmdd"),"00000000")&amp;TEXT(COUNTIF($B$2:B14,B14),"00")</f>
        <v>2022070302</v>
      </c>
      <c r="B14" s="21">
        <f t="shared" si="0"/>
        <v>44745</v>
      </c>
      <c r="C14" s="22">
        <v>2022</v>
      </c>
      <c r="D14" s="23">
        <v>7</v>
      </c>
      <c r="E14" s="24">
        <v>3</v>
      </c>
      <c r="F14" s="42" t="s">
        <v>17</v>
      </c>
      <c r="G14" s="42" t="s">
        <v>135</v>
      </c>
      <c r="H14" s="42" t="s">
        <v>135</v>
      </c>
      <c r="I14" s="42" t="s">
        <v>152</v>
      </c>
      <c r="J14" s="10">
        <v>-1743</v>
      </c>
      <c r="K14" s="7">
        <v>1743</v>
      </c>
      <c r="L14" s="1" t="s">
        <v>153</v>
      </c>
      <c r="M14" s="2" t="s">
        <v>154</v>
      </c>
      <c r="AC14" t="s">
        <v>9</v>
      </c>
      <c r="AD14" t="s">
        <v>115</v>
      </c>
    </row>
    <row r="15" spans="1:49">
      <c r="A15" s="21" t="str">
        <f>TEXT(TEXT(B15,"yyyymmdd"),"00000000")&amp;TEXT(COUNTIF($B$2:B15,B15),"00")</f>
        <v>2022070501</v>
      </c>
      <c r="B15" s="21">
        <f t="shared" si="0"/>
        <v>44747</v>
      </c>
      <c r="C15" s="22">
        <v>2022</v>
      </c>
      <c r="D15" s="23">
        <v>7</v>
      </c>
      <c r="E15" s="24">
        <v>5</v>
      </c>
      <c r="F15" s="42" t="s">
        <v>17</v>
      </c>
      <c r="G15" s="42" t="s">
        <v>13</v>
      </c>
      <c r="H15" s="42" t="s">
        <v>138</v>
      </c>
      <c r="I15" s="42" t="s">
        <v>159</v>
      </c>
      <c r="J15" s="10">
        <v>19000</v>
      </c>
      <c r="K15" s="7">
        <v>-19000</v>
      </c>
      <c r="L15" s="1" t="s">
        <v>160</v>
      </c>
      <c r="M15" s="2" t="s">
        <v>161</v>
      </c>
      <c r="AC15" t="s">
        <v>10</v>
      </c>
      <c r="AD15" t="s">
        <v>74</v>
      </c>
    </row>
    <row r="16" spans="1:49">
      <c r="A16" s="21" t="str">
        <f>TEXT(TEXT(B16,"yyyymmdd"),"00000000")&amp;TEXT(COUNTIF($B$2:B16,B16),"00")</f>
        <v>2022070601</v>
      </c>
      <c r="B16" s="21">
        <f t="shared" si="0"/>
        <v>44748</v>
      </c>
      <c r="C16" s="22">
        <v>2022</v>
      </c>
      <c r="D16" s="23">
        <v>7</v>
      </c>
      <c r="E16" s="24">
        <v>6</v>
      </c>
      <c r="F16" s="42" t="s">
        <v>17</v>
      </c>
      <c r="G16" s="42" t="s">
        <v>135</v>
      </c>
      <c r="H16" s="42" t="s">
        <v>135</v>
      </c>
      <c r="I16" s="42" t="s">
        <v>152</v>
      </c>
      <c r="J16" s="10">
        <v>-150000</v>
      </c>
      <c r="K16" s="7">
        <v>150000</v>
      </c>
      <c r="L16" s="1" t="s">
        <v>152</v>
      </c>
      <c r="M16" s="2" t="s">
        <v>164</v>
      </c>
      <c r="AC16" t="s">
        <v>6</v>
      </c>
      <c r="AD16" t="s">
        <v>116</v>
      </c>
    </row>
    <row r="17" spans="1:30">
      <c r="A17" s="21" t="str">
        <f>TEXT(TEXT(B17,"yyyymmdd"),"00000000")&amp;TEXT(COUNTIF($B$2:B17,B17),"00")</f>
        <v>2022070602</v>
      </c>
      <c r="B17" s="21">
        <f t="shared" si="0"/>
        <v>44748</v>
      </c>
      <c r="C17" s="22">
        <v>2022</v>
      </c>
      <c r="D17" s="23">
        <v>7</v>
      </c>
      <c r="E17" s="24">
        <v>6</v>
      </c>
      <c r="F17" s="42" t="s">
        <v>17</v>
      </c>
      <c r="G17" s="42" t="s">
        <v>7</v>
      </c>
      <c r="H17" s="42" t="s">
        <v>110</v>
      </c>
      <c r="I17" s="42" t="s">
        <v>120</v>
      </c>
      <c r="J17" s="10">
        <v>4000</v>
      </c>
      <c r="K17" s="7">
        <v>-4000</v>
      </c>
      <c r="L17" s="1" t="s">
        <v>162</v>
      </c>
      <c r="M17" s="2" t="s">
        <v>163</v>
      </c>
      <c r="AC17" t="s">
        <v>14</v>
      </c>
      <c r="AD17" t="s">
        <v>117</v>
      </c>
    </row>
    <row r="18" spans="1:30">
      <c r="A18" s="21" t="str">
        <f>TEXT(TEXT(B18,"yyyymmdd"),"00000000")&amp;TEXT(COUNTIF($B$2:B18,B18),"00")</f>
        <v>2022070701</v>
      </c>
      <c r="B18" s="21">
        <f t="shared" si="0"/>
        <v>44749</v>
      </c>
      <c r="C18" s="22">
        <v>2022</v>
      </c>
      <c r="D18" s="23">
        <v>7</v>
      </c>
      <c r="E18" s="24">
        <v>7</v>
      </c>
      <c r="F18" s="42" t="s">
        <v>17</v>
      </c>
      <c r="G18" s="42" t="s">
        <v>7</v>
      </c>
      <c r="H18" s="42" t="s">
        <v>167</v>
      </c>
      <c r="I18" s="42" t="s">
        <v>168</v>
      </c>
      <c r="J18" s="10">
        <v>11000</v>
      </c>
      <c r="K18" s="7">
        <v>-11000</v>
      </c>
      <c r="L18" s="1" t="s">
        <v>332</v>
      </c>
      <c r="M18" s="2" t="s">
        <v>169</v>
      </c>
      <c r="AC18" t="s">
        <v>8</v>
      </c>
      <c r="AD18" t="s">
        <v>118</v>
      </c>
    </row>
    <row r="19" spans="1:30">
      <c r="A19" s="21" t="str">
        <f>TEXT(TEXT(B19,"yyyymmdd"),"00000000")&amp;TEXT(COUNTIF($B$2:B19,B19),"00")</f>
        <v>2022070702</v>
      </c>
      <c r="B19" s="21">
        <f t="shared" si="0"/>
        <v>44749</v>
      </c>
      <c r="C19" s="22">
        <v>2022</v>
      </c>
      <c r="D19" s="23">
        <v>7</v>
      </c>
      <c r="E19" s="24">
        <v>7</v>
      </c>
      <c r="F19" s="42" t="s">
        <v>17</v>
      </c>
      <c r="G19" s="42" t="s">
        <v>7</v>
      </c>
      <c r="H19" s="42" t="s">
        <v>173</v>
      </c>
      <c r="I19" s="42" t="s">
        <v>174</v>
      </c>
      <c r="J19" s="10">
        <v>1610</v>
      </c>
      <c r="K19" s="7">
        <v>-1610</v>
      </c>
      <c r="L19" s="1" t="s">
        <v>353</v>
      </c>
      <c r="AC19" t="s">
        <v>486</v>
      </c>
      <c r="AD19" t="s">
        <v>119</v>
      </c>
    </row>
    <row r="20" spans="1:30">
      <c r="A20" s="21" t="str">
        <f>TEXT(TEXT(B20,"yyyymmdd"),"00000000")&amp;TEXT(COUNTIF($B$2:B20,B20),"00")</f>
        <v>2022070703</v>
      </c>
      <c r="B20" s="21">
        <f t="shared" si="0"/>
        <v>44749</v>
      </c>
      <c r="C20" s="22">
        <v>2022</v>
      </c>
      <c r="D20" s="23">
        <v>7</v>
      </c>
      <c r="E20" s="24">
        <v>7</v>
      </c>
      <c r="F20" s="42" t="s">
        <v>17</v>
      </c>
      <c r="G20" s="42" t="s">
        <v>13</v>
      </c>
      <c r="H20" s="42" t="s">
        <v>113</v>
      </c>
      <c r="I20" s="42" t="s">
        <v>171</v>
      </c>
      <c r="J20" s="10">
        <v>11000</v>
      </c>
      <c r="K20" s="7">
        <v>-11000</v>
      </c>
      <c r="L20" s="1" t="s">
        <v>172</v>
      </c>
      <c r="AC20" t="s">
        <v>487</v>
      </c>
      <c r="AD20" t="s">
        <v>100</v>
      </c>
    </row>
    <row r="21" spans="1:30">
      <c r="A21" s="21" t="str">
        <f>TEXT(TEXT(B21,"yyyymmdd"),"00000000")&amp;TEXT(COUNTIF($B$2:B21,B21),"00")</f>
        <v>2022070704</v>
      </c>
      <c r="B21" s="21">
        <f t="shared" si="0"/>
        <v>44749</v>
      </c>
      <c r="C21" s="22">
        <v>2022</v>
      </c>
      <c r="D21" s="23">
        <v>7</v>
      </c>
      <c r="E21" s="24">
        <v>7</v>
      </c>
      <c r="F21" s="42" t="s">
        <v>17</v>
      </c>
      <c r="G21" s="42" t="s">
        <v>13</v>
      </c>
      <c r="H21" s="42" t="s">
        <v>138</v>
      </c>
      <c r="I21" s="42" t="s">
        <v>159</v>
      </c>
      <c r="J21" s="10">
        <v>5500</v>
      </c>
      <c r="K21" s="7">
        <v>-5500</v>
      </c>
      <c r="L21" s="1" t="s">
        <v>337</v>
      </c>
      <c r="M21" s="2" t="s">
        <v>517</v>
      </c>
    </row>
    <row r="22" spans="1:30">
      <c r="A22" s="21" t="str">
        <f>TEXT(TEXT(B22,"yyyymmdd"),"00000000")&amp;TEXT(COUNTIF($B$2:B22,B22),"00")</f>
        <v>2022070705</v>
      </c>
      <c r="B22" s="21">
        <f t="shared" si="0"/>
        <v>44749</v>
      </c>
      <c r="C22" s="22">
        <v>2022</v>
      </c>
      <c r="D22" s="23">
        <v>7</v>
      </c>
      <c r="E22" s="24">
        <v>7</v>
      </c>
      <c r="F22" s="42" t="s">
        <v>17</v>
      </c>
      <c r="G22" s="42" t="s">
        <v>7</v>
      </c>
      <c r="H22" s="42" t="s">
        <v>110</v>
      </c>
      <c r="I22" s="42" t="s">
        <v>120</v>
      </c>
      <c r="J22" s="10">
        <v>26600</v>
      </c>
      <c r="K22" s="7">
        <v>-26600</v>
      </c>
      <c r="L22" s="1" t="s">
        <v>175</v>
      </c>
      <c r="M22" s="2" t="s">
        <v>176</v>
      </c>
    </row>
    <row r="23" spans="1:30">
      <c r="A23" s="21" t="str">
        <f>TEXT(TEXT(B23,"yyyymmdd"),"00000000")&amp;TEXT(COUNTIF($B$2:B23,B23),"00")</f>
        <v>2022070706</v>
      </c>
      <c r="B23" s="21">
        <f t="shared" si="0"/>
        <v>44749</v>
      </c>
      <c r="C23" s="22">
        <v>2022</v>
      </c>
      <c r="D23" s="23">
        <v>7</v>
      </c>
      <c r="E23" s="24">
        <v>7</v>
      </c>
      <c r="F23" s="42" t="s">
        <v>17</v>
      </c>
      <c r="G23" s="42" t="s">
        <v>135</v>
      </c>
      <c r="H23" s="42" t="s">
        <v>135</v>
      </c>
      <c r="I23" s="42" t="s">
        <v>143</v>
      </c>
      <c r="J23" s="10">
        <v>-10000</v>
      </c>
      <c r="K23" s="7">
        <v>10000</v>
      </c>
      <c r="L23" s="1" t="s">
        <v>165</v>
      </c>
      <c r="M23" s="2" t="s">
        <v>166</v>
      </c>
    </row>
    <row r="24" spans="1:30">
      <c r="A24" s="21" t="str">
        <f>TEXT(TEXT(B24,"yyyymmdd"),"00000000")&amp;TEXT(COUNTIF($B$2:B24,B24),"00")</f>
        <v>2022070801</v>
      </c>
      <c r="B24" s="21">
        <f t="shared" si="0"/>
        <v>44750</v>
      </c>
      <c r="C24" s="22">
        <v>2022</v>
      </c>
      <c r="D24" s="23">
        <v>7</v>
      </c>
      <c r="E24" s="24">
        <v>8</v>
      </c>
      <c r="F24" s="42" t="s">
        <v>17</v>
      </c>
      <c r="G24" s="42" t="s">
        <v>151</v>
      </c>
      <c r="H24" s="42" t="s">
        <v>151</v>
      </c>
      <c r="I24" s="42" t="s">
        <v>177</v>
      </c>
      <c r="J24" s="10">
        <v>-766300</v>
      </c>
      <c r="K24" s="7">
        <v>766300</v>
      </c>
      <c r="L24" s="1" t="s">
        <v>178</v>
      </c>
      <c r="M24" s="2" t="s">
        <v>179</v>
      </c>
    </row>
    <row r="25" spans="1:30">
      <c r="A25" s="21" t="str">
        <f>TEXT(TEXT(B25,"yyyymmdd"),"00000000")&amp;TEXT(COUNTIF($B$2:B25,B25),"00")</f>
        <v>2022070802</v>
      </c>
      <c r="B25" s="21">
        <f t="shared" si="0"/>
        <v>44750</v>
      </c>
      <c r="C25" s="22">
        <v>2022</v>
      </c>
      <c r="D25" s="23">
        <v>7</v>
      </c>
      <c r="E25" s="24">
        <v>8</v>
      </c>
      <c r="F25" s="42" t="s">
        <v>17</v>
      </c>
      <c r="G25" s="42" t="s">
        <v>7</v>
      </c>
      <c r="H25" s="42" t="s">
        <v>119</v>
      </c>
      <c r="I25" s="42" t="s">
        <v>180</v>
      </c>
      <c r="J25" s="10">
        <v>17000</v>
      </c>
      <c r="K25" s="7">
        <v>-17000</v>
      </c>
      <c r="L25" s="1" t="s">
        <v>181</v>
      </c>
      <c r="M25" s="2" t="s">
        <v>1350</v>
      </c>
    </row>
    <row r="26" spans="1:30">
      <c r="A26" s="21" t="str">
        <f>TEXT(TEXT(B26,"yyyymmdd"),"00000000")&amp;TEXT(COUNTIF($B$2:B26,B26),"00")</f>
        <v>2022071001</v>
      </c>
      <c r="B26" s="21">
        <f t="shared" si="0"/>
        <v>44752</v>
      </c>
      <c r="C26" s="22">
        <v>2022</v>
      </c>
      <c r="D26" s="23">
        <v>7</v>
      </c>
      <c r="E26" s="24">
        <v>10</v>
      </c>
      <c r="F26" s="42" t="s">
        <v>17</v>
      </c>
      <c r="G26" s="42" t="s">
        <v>13</v>
      </c>
      <c r="H26" s="42" t="s">
        <v>138</v>
      </c>
      <c r="I26" s="42" t="s">
        <v>139</v>
      </c>
      <c r="J26" s="10">
        <v>17300</v>
      </c>
      <c r="K26" s="7">
        <v>-17300</v>
      </c>
      <c r="L26" s="1" t="s">
        <v>182</v>
      </c>
      <c r="M26" s="2" t="s">
        <v>183</v>
      </c>
    </row>
    <row r="27" spans="1:30">
      <c r="A27" s="21" t="str">
        <f>TEXT(TEXT(B27,"yyyymmdd"),"00000000")&amp;TEXT(COUNTIF($B$2:B27,B27),"00")</f>
        <v>2022071101</v>
      </c>
      <c r="B27" s="21">
        <f t="shared" si="0"/>
        <v>44753</v>
      </c>
      <c r="C27" s="22">
        <v>2022</v>
      </c>
      <c r="D27" s="23">
        <v>7</v>
      </c>
      <c r="E27" s="24">
        <v>11</v>
      </c>
      <c r="F27" s="42" t="s">
        <v>17</v>
      </c>
      <c r="G27" s="42" t="s">
        <v>11</v>
      </c>
      <c r="H27" s="42" t="s">
        <v>99</v>
      </c>
      <c r="I27" s="42" t="s">
        <v>184</v>
      </c>
      <c r="J27" s="10">
        <v>200000</v>
      </c>
      <c r="K27" s="7">
        <v>-200000</v>
      </c>
      <c r="L27" s="1" t="s">
        <v>189</v>
      </c>
    </row>
    <row r="28" spans="1:30">
      <c r="A28" s="21" t="str">
        <f>TEXT(TEXT(B28,"yyyymmdd"),"00000000")&amp;TEXT(COUNTIF($B$2:B28,B28),"00")</f>
        <v>2022071102</v>
      </c>
      <c r="B28" s="21">
        <f t="shared" si="0"/>
        <v>44753</v>
      </c>
      <c r="C28" s="22">
        <v>2022</v>
      </c>
      <c r="D28" s="23">
        <v>7</v>
      </c>
      <c r="E28" s="24">
        <v>11</v>
      </c>
      <c r="F28" s="42" t="s">
        <v>440</v>
      </c>
      <c r="G28" s="42" t="s">
        <v>11</v>
      </c>
      <c r="H28" s="42" t="s">
        <v>99</v>
      </c>
      <c r="I28" s="42" t="s">
        <v>184</v>
      </c>
      <c r="J28" s="10">
        <v>-200000</v>
      </c>
      <c r="K28" s="7">
        <v>200000</v>
      </c>
      <c r="L28" s="1" t="s">
        <v>189</v>
      </c>
    </row>
    <row r="29" spans="1:30">
      <c r="A29" s="21" t="str">
        <f>TEXT(TEXT(B29,"yyyymmdd"),"00000000")&amp;TEXT(COUNTIF($B$2:B29,B29),"00")</f>
        <v>2022071103</v>
      </c>
      <c r="B29" s="21">
        <f t="shared" si="0"/>
        <v>44753</v>
      </c>
      <c r="C29" s="22">
        <v>2022</v>
      </c>
      <c r="D29" s="23">
        <v>7</v>
      </c>
      <c r="E29" s="24">
        <v>11</v>
      </c>
      <c r="F29" s="42" t="s">
        <v>17</v>
      </c>
      <c r="G29" s="42" t="s">
        <v>11</v>
      </c>
      <c r="H29" s="42" t="s">
        <v>99</v>
      </c>
      <c r="I29" s="42" t="s">
        <v>184</v>
      </c>
      <c r="J29" s="10">
        <v>200000</v>
      </c>
      <c r="K29" s="7">
        <v>-200000</v>
      </c>
      <c r="L29" s="1" t="s">
        <v>185</v>
      </c>
    </row>
    <row r="30" spans="1:30">
      <c r="A30" s="21" t="str">
        <f>TEXT(TEXT(B30,"yyyymmdd"),"00000000")&amp;TEXT(COUNTIF($B$2:B30,B30),"00")</f>
        <v>2022071104</v>
      </c>
      <c r="B30" s="21">
        <f t="shared" si="0"/>
        <v>44753</v>
      </c>
      <c r="C30" s="22">
        <v>2022</v>
      </c>
      <c r="D30" s="23">
        <v>7</v>
      </c>
      <c r="E30" s="24">
        <v>11</v>
      </c>
      <c r="F30" s="42" t="s">
        <v>441</v>
      </c>
      <c r="G30" s="42" t="s">
        <v>11</v>
      </c>
      <c r="H30" s="42" t="s">
        <v>99</v>
      </c>
      <c r="I30" s="42" t="s">
        <v>184</v>
      </c>
      <c r="J30" s="10">
        <v>-200000</v>
      </c>
      <c r="K30" s="7">
        <v>200000</v>
      </c>
      <c r="L30" s="1" t="s">
        <v>185</v>
      </c>
    </row>
    <row r="31" spans="1:30">
      <c r="A31" s="21" t="str">
        <f>TEXT(TEXT(B31,"yyyymmdd"),"00000000")&amp;TEXT(COUNTIF($B$2:B31,B31),"00")</f>
        <v>2022071105</v>
      </c>
      <c r="B31" s="21">
        <f t="shared" si="0"/>
        <v>44753</v>
      </c>
      <c r="C31" s="22">
        <v>2022</v>
      </c>
      <c r="D31" s="23">
        <v>7</v>
      </c>
      <c r="E31" s="24">
        <v>11</v>
      </c>
      <c r="F31" s="42" t="s">
        <v>17</v>
      </c>
      <c r="G31" s="42" t="s">
        <v>13</v>
      </c>
      <c r="H31" s="42" t="s">
        <v>138</v>
      </c>
      <c r="I31" s="42" t="s">
        <v>139</v>
      </c>
      <c r="J31" s="10">
        <v>17000</v>
      </c>
      <c r="K31" s="7">
        <v>-17000</v>
      </c>
      <c r="L31" s="1" t="s">
        <v>187</v>
      </c>
      <c r="M31" s="2" t="s">
        <v>188</v>
      </c>
    </row>
    <row r="32" spans="1:30">
      <c r="A32" s="21" t="str">
        <f>TEXT(TEXT(B32,"yyyymmdd"),"00000000")&amp;TEXT(COUNTIF($B$2:B32,B32),"00")</f>
        <v>2022071106</v>
      </c>
      <c r="B32" s="21">
        <f t="shared" si="0"/>
        <v>44753</v>
      </c>
      <c r="C32" s="22">
        <v>2022</v>
      </c>
      <c r="D32" s="23">
        <v>7</v>
      </c>
      <c r="E32" s="24">
        <v>11</v>
      </c>
      <c r="F32" s="42" t="s">
        <v>17</v>
      </c>
      <c r="G32" s="42" t="s">
        <v>170</v>
      </c>
      <c r="H32" s="42" t="s">
        <v>186</v>
      </c>
      <c r="I32" s="42" t="s">
        <v>125</v>
      </c>
      <c r="J32" s="10">
        <v>300</v>
      </c>
      <c r="K32" s="7">
        <v>-300</v>
      </c>
      <c r="L32" s="1" t="s">
        <v>483</v>
      </c>
    </row>
    <row r="33" spans="1:13">
      <c r="A33" s="21" t="str">
        <f>TEXT(TEXT(B33,"yyyymmdd"),"00000000")&amp;TEXT(COUNTIF($B$2:B33,B33),"00")</f>
        <v>2022071201</v>
      </c>
      <c r="B33" s="21">
        <f t="shared" si="0"/>
        <v>44754</v>
      </c>
      <c r="C33" s="22">
        <v>2022</v>
      </c>
      <c r="D33" s="23">
        <v>7</v>
      </c>
      <c r="E33" s="24">
        <v>12</v>
      </c>
      <c r="F33" s="42" t="s">
        <v>17</v>
      </c>
      <c r="G33" s="42" t="s">
        <v>11</v>
      </c>
      <c r="H33" s="42" t="s">
        <v>99</v>
      </c>
      <c r="I33" s="42" t="s">
        <v>94</v>
      </c>
      <c r="J33" s="10">
        <v>28370</v>
      </c>
      <c r="K33" s="7">
        <v>-28370</v>
      </c>
      <c r="L33" s="1" t="s">
        <v>192</v>
      </c>
    </row>
    <row r="34" spans="1:13">
      <c r="A34" s="21" t="str">
        <f>TEXT(TEXT(B34,"yyyymmdd"),"00000000")&amp;TEXT(COUNTIF($B$2:B34,B34),"00")</f>
        <v>2022071202</v>
      </c>
      <c r="B34" s="21">
        <f t="shared" si="0"/>
        <v>44754</v>
      </c>
      <c r="C34" s="22">
        <v>2022</v>
      </c>
      <c r="D34" s="23">
        <v>7</v>
      </c>
      <c r="E34" s="24">
        <v>12</v>
      </c>
      <c r="F34" s="42" t="s">
        <v>19</v>
      </c>
      <c r="G34" s="42" t="s">
        <v>11</v>
      </c>
      <c r="H34" s="42" t="s">
        <v>99</v>
      </c>
      <c r="I34" s="42" t="s">
        <v>94</v>
      </c>
      <c r="J34" s="10">
        <v>-97520</v>
      </c>
      <c r="K34" s="7">
        <v>97520</v>
      </c>
      <c r="L34" s="1" t="s">
        <v>192</v>
      </c>
    </row>
    <row r="35" spans="1:13">
      <c r="A35" s="21" t="str">
        <f>TEXT(TEXT(B35,"yyyymmdd"),"00000000")&amp;TEXT(COUNTIF($B$2:B35,B35),"00")</f>
        <v>2022071203</v>
      </c>
      <c r="B35" s="21">
        <f t="shared" si="0"/>
        <v>44754</v>
      </c>
      <c r="C35" s="22">
        <v>2022</v>
      </c>
      <c r="D35" s="23">
        <v>7</v>
      </c>
      <c r="E35" s="24">
        <v>12</v>
      </c>
      <c r="F35" s="42" t="s">
        <v>17</v>
      </c>
      <c r="G35" s="42" t="s">
        <v>135</v>
      </c>
      <c r="H35" s="42" t="s">
        <v>135</v>
      </c>
      <c r="I35" s="42" t="s">
        <v>190</v>
      </c>
      <c r="J35" s="10">
        <v>-2500</v>
      </c>
      <c r="K35" s="7">
        <v>2500</v>
      </c>
      <c r="L35" s="1" t="s">
        <v>191</v>
      </c>
    </row>
    <row r="36" spans="1:13">
      <c r="A36" s="21" t="str">
        <f>TEXT(TEXT(B36,"yyyymmdd"),"00000000")&amp;TEXT(COUNTIF($B$2:B36,B36),"00")</f>
        <v>2022071301</v>
      </c>
      <c r="B36" s="21">
        <f t="shared" si="0"/>
        <v>44755</v>
      </c>
      <c r="C36" s="22">
        <v>2022</v>
      </c>
      <c r="D36" s="23">
        <v>7</v>
      </c>
      <c r="E36" s="24">
        <v>13</v>
      </c>
      <c r="F36" s="42" t="s">
        <v>17</v>
      </c>
      <c r="G36" s="42" t="s">
        <v>13</v>
      </c>
      <c r="H36" s="42" t="s">
        <v>167</v>
      </c>
      <c r="I36" s="42" t="s">
        <v>168</v>
      </c>
      <c r="J36" s="10">
        <v>1500</v>
      </c>
      <c r="K36" s="7">
        <v>-1500</v>
      </c>
      <c r="L36" s="1" t="s">
        <v>332</v>
      </c>
      <c r="M36" s="2" t="s">
        <v>509</v>
      </c>
    </row>
    <row r="37" spans="1:13">
      <c r="A37" s="21" t="str">
        <f>TEXT(TEXT(B37,"yyyymmdd"),"00000000")&amp;TEXT(COUNTIF($B$2:B37,B37),"00")</f>
        <v>2022071302</v>
      </c>
      <c r="B37" s="21">
        <f t="shared" si="0"/>
        <v>44755</v>
      </c>
      <c r="C37" s="22">
        <v>2022</v>
      </c>
      <c r="D37" s="23">
        <v>7</v>
      </c>
      <c r="E37" s="24">
        <v>13</v>
      </c>
      <c r="F37" s="42" t="s">
        <v>17</v>
      </c>
      <c r="G37" s="42" t="s">
        <v>13</v>
      </c>
      <c r="H37" s="42" t="s">
        <v>138</v>
      </c>
      <c r="I37" s="42" t="s">
        <v>159</v>
      </c>
      <c r="J37" s="10">
        <v>5500</v>
      </c>
      <c r="K37" s="7">
        <v>-5500</v>
      </c>
      <c r="L37" s="1" t="s">
        <v>337</v>
      </c>
      <c r="M37" s="2" t="s">
        <v>516</v>
      </c>
    </row>
    <row r="38" spans="1:13">
      <c r="A38" s="21" t="str">
        <f>TEXT(TEXT(B38,"yyyymmdd"),"00000000")&amp;TEXT(COUNTIF($B$2:B38,B38),"00")</f>
        <v>2022071303</v>
      </c>
      <c r="B38" s="21">
        <f t="shared" si="0"/>
        <v>44755</v>
      </c>
      <c r="C38" s="22">
        <v>2022</v>
      </c>
      <c r="D38" s="23">
        <v>7</v>
      </c>
      <c r="E38" s="24">
        <v>13</v>
      </c>
      <c r="F38" s="42" t="s">
        <v>17</v>
      </c>
      <c r="G38" s="42" t="s">
        <v>13</v>
      </c>
      <c r="H38" s="42" t="s">
        <v>138</v>
      </c>
      <c r="I38" s="42" t="s">
        <v>139</v>
      </c>
      <c r="J38" s="10">
        <v>8900</v>
      </c>
      <c r="K38" s="7">
        <v>-8900</v>
      </c>
      <c r="L38" s="1" t="s">
        <v>193</v>
      </c>
      <c r="M38" s="2" t="s">
        <v>194</v>
      </c>
    </row>
    <row r="39" spans="1:13">
      <c r="A39" s="21" t="str">
        <f>TEXT(TEXT(B39,"yyyymmdd"),"00000000")&amp;TEXT(COUNTIF($B$2:B39,B39),"00")</f>
        <v>2022071401</v>
      </c>
      <c r="B39" s="21">
        <f t="shared" si="0"/>
        <v>44756</v>
      </c>
      <c r="C39" s="22">
        <v>2022</v>
      </c>
      <c r="D39" s="23">
        <v>7</v>
      </c>
      <c r="E39" s="24">
        <v>14</v>
      </c>
      <c r="F39" s="42" t="s">
        <v>17</v>
      </c>
      <c r="G39" s="42" t="s">
        <v>7</v>
      </c>
      <c r="H39" s="42" t="s">
        <v>167</v>
      </c>
      <c r="I39" s="42" t="s">
        <v>168</v>
      </c>
      <c r="J39" s="10">
        <v>1000</v>
      </c>
      <c r="K39" s="7">
        <v>-1000</v>
      </c>
      <c r="L39" s="1" t="s">
        <v>195</v>
      </c>
    </row>
    <row r="40" spans="1:13">
      <c r="A40" s="21" t="str">
        <f>TEXT(TEXT(B40,"yyyymmdd"),"00000000")&amp;TEXT(COUNTIF($B$2:B40,B40),"00")</f>
        <v>2022071402</v>
      </c>
      <c r="B40" s="21">
        <f t="shared" si="0"/>
        <v>44756</v>
      </c>
      <c r="C40" s="22">
        <v>2022</v>
      </c>
      <c r="D40" s="23">
        <v>7</v>
      </c>
      <c r="E40" s="24">
        <v>14</v>
      </c>
      <c r="F40" s="42" t="s">
        <v>17</v>
      </c>
      <c r="G40" s="42" t="s">
        <v>13</v>
      </c>
      <c r="H40" s="42" t="s">
        <v>138</v>
      </c>
      <c r="I40" s="42" t="s">
        <v>159</v>
      </c>
      <c r="J40" s="10">
        <v>5500</v>
      </c>
      <c r="K40" s="7">
        <v>-5500</v>
      </c>
      <c r="L40" s="1" t="s">
        <v>196</v>
      </c>
    </row>
    <row r="41" spans="1:13">
      <c r="A41" s="21" t="str">
        <f>TEXT(TEXT(B41,"yyyymmdd"),"00000000")&amp;TEXT(COUNTIF($B$2:B41,B41),"00")</f>
        <v>2022071501</v>
      </c>
      <c r="B41" s="21">
        <f t="shared" si="0"/>
        <v>44757</v>
      </c>
      <c r="C41" s="22">
        <v>2022</v>
      </c>
      <c r="D41" s="23">
        <v>7</v>
      </c>
      <c r="E41" s="24">
        <v>15</v>
      </c>
      <c r="F41" s="42" t="s">
        <v>17</v>
      </c>
      <c r="G41" s="42" t="s">
        <v>7</v>
      </c>
      <c r="H41" s="42" t="s">
        <v>173</v>
      </c>
      <c r="I41" s="42" t="s">
        <v>174</v>
      </c>
      <c r="J41" s="10">
        <v>1430</v>
      </c>
      <c r="K41" s="7">
        <v>-1430</v>
      </c>
      <c r="L41" s="1" t="s">
        <v>353</v>
      </c>
    </row>
    <row r="42" spans="1:13">
      <c r="A42" s="21" t="str">
        <f>TEXT(TEXT(B42,"yyyymmdd"),"00000000")&amp;TEXT(COUNTIF($B$2:B42,B42),"00")</f>
        <v>2022071502</v>
      </c>
      <c r="B42" s="21">
        <f t="shared" si="0"/>
        <v>44757</v>
      </c>
      <c r="C42" s="22">
        <v>2022</v>
      </c>
      <c r="D42" s="23">
        <v>7</v>
      </c>
      <c r="E42" s="24">
        <v>15</v>
      </c>
      <c r="F42" s="42" t="s">
        <v>17</v>
      </c>
      <c r="G42" s="42" t="s">
        <v>13</v>
      </c>
      <c r="H42" s="42" t="s">
        <v>138</v>
      </c>
      <c r="I42" s="42" t="s">
        <v>159</v>
      </c>
      <c r="J42" s="10">
        <v>8900</v>
      </c>
      <c r="K42" s="7">
        <v>-8900</v>
      </c>
      <c r="L42" s="1" t="s">
        <v>337</v>
      </c>
      <c r="M42" s="2" t="s">
        <v>515</v>
      </c>
    </row>
    <row r="43" spans="1:13">
      <c r="A43" s="21" t="str">
        <f>TEXT(TEXT(B43,"yyyymmdd"),"00000000")&amp;TEXT(COUNTIF($B$2:B43,B43),"00")</f>
        <v>2022071503</v>
      </c>
      <c r="B43" s="21">
        <f t="shared" si="0"/>
        <v>44757</v>
      </c>
      <c r="C43" s="22">
        <v>2022</v>
      </c>
      <c r="D43" s="23">
        <v>7</v>
      </c>
      <c r="E43" s="24">
        <v>15</v>
      </c>
      <c r="F43" s="42" t="s">
        <v>17</v>
      </c>
      <c r="G43" s="42" t="s">
        <v>135</v>
      </c>
      <c r="H43" s="42" t="s">
        <v>135</v>
      </c>
      <c r="I43" s="42" t="s">
        <v>136</v>
      </c>
      <c r="J43" s="10">
        <v>-34000</v>
      </c>
      <c r="K43" s="7">
        <v>34000</v>
      </c>
      <c r="L43" s="1" t="s">
        <v>484</v>
      </c>
    </row>
    <row r="44" spans="1:13">
      <c r="A44" s="21" t="str">
        <f>TEXT(TEXT(B44,"yyyymmdd"),"00000000")&amp;TEXT(COUNTIF($B$2:B44,B44),"00")</f>
        <v>2022071601</v>
      </c>
      <c r="B44" s="21">
        <f t="shared" si="0"/>
        <v>44758</v>
      </c>
      <c r="C44" s="22">
        <v>2022</v>
      </c>
      <c r="D44" s="23">
        <v>7</v>
      </c>
      <c r="E44" s="24">
        <v>16</v>
      </c>
      <c r="F44" s="42" t="s">
        <v>17</v>
      </c>
      <c r="G44" s="42" t="s">
        <v>7</v>
      </c>
      <c r="H44" s="42" t="s">
        <v>110</v>
      </c>
      <c r="I44" s="42" t="s">
        <v>120</v>
      </c>
      <c r="J44" s="10">
        <v>5100</v>
      </c>
      <c r="K44" s="7">
        <v>-5100</v>
      </c>
      <c r="L44" s="1" t="s">
        <v>510</v>
      </c>
    </row>
    <row r="45" spans="1:13">
      <c r="A45" s="21" t="str">
        <f>TEXT(TEXT(B45,"yyyymmdd"),"00000000")&amp;TEXT(COUNTIF($B$2:B45,B45),"00")</f>
        <v>2022071602</v>
      </c>
      <c r="B45" s="21">
        <f t="shared" si="0"/>
        <v>44758</v>
      </c>
      <c r="C45" s="22">
        <v>2022</v>
      </c>
      <c r="D45" s="23">
        <v>7</v>
      </c>
      <c r="E45" s="24">
        <v>16</v>
      </c>
      <c r="F45" s="42" t="s">
        <v>19</v>
      </c>
      <c r="G45" s="42" t="s">
        <v>11</v>
      </c>
      <c r="H45" s="42" t="s">
        <v>99</v>
      </c>
      <c r="I45" s="42" t="s">
        <v>197</v>
      </c>
      <c r="J45" s="10">
        <v>85400</v>
      </c>
      <c r="K45" s="7">
        <v>-85400</v>
      </c>
      <c r="L45" s="1" t="s">
        <v>198</v>
      </c>
      <c r="M45" s="2" t="s">
        <v>199</v>
      </c>
    </row>
    <row r="46" spans="1:13">
      <c r="A46" s="21" t="str">
        <f>TEXT(TEXT(B46,"yyyymmdd"),"00000000")&amp;TEXT(COUNTIF($B$2:B46,B46),"00")</f>
        <v>2022071801</v>
      </c>
      <c r="B46" s="21">
        <f t="shared" si="0"/>
        <v>44760</v>
      </c>
      <c r="C46" s="22">
        <v>2022</v>
      </c>
      <c r="D46" s="23">
        <v>7</v>
      </c>
      <c r="E46" s="24">
        <v>18</v>
      </c>
      <c r="F46" s="42" t="s">
        <v>17</v>
      </c>
      <c r="G46" s="42" t="s">
        <v>11</v>
      </c>
      <c r="H46" s="42" t="s">
        <v>99</v>
      </c>
      <c r="I46" s="42" t="s">
        <v>11</v>
      </c>
      <c r="J46" s="10">
        <v>-650000</v>
      </c>
      <c r="K46" s="7">
        <v>650000</v>
      </c>
      <c r="L46" s="1" t="s">
        <v>200</v>
      </c>
    </row>
    <row r="47" spans="1:13">
      <c r="A47" s="21" t="str">
        <f>TEXT(TEXT(B47,"yyyymmdd"),"00000000")&amp;TEXT(COUNTIF($B$2:B47,B47),"00")</f>
        <v>2022071802</v>
      </c>
      <c r="B47" s="21">
        <f t="shared" si="0"/>
        <v>44760</v>
      </c>
      <c r="C47" s="22">
        <v>2022</v>
      </c>
      <c r="D47" s="23">
        <v>7</v>
      </c>
      <c r="E47" s="24">
        <v>18</v>
      </c>
      <c r="F47" s="42" t="s">
        <v>17</v>
      </c>
      <c r="G47" s="42" t="s">
        <v>13</v>
      </c>
      <c r="H47" s="42" t="s">
        <v>138</v>
      </c>
      <c r="I47" s="42" t="s">
        <v>139</v>
      </c>
      <c r="J47" s="10">
        <v>13100</v>
      </c>
      <c r="K47" s="7">
        <v>-13100</v>
      </c>
      <c r="L47" s="1" t="s">
        <v>187</v>
      </c>
      <c r="M47" s="2" t="s">
        <v>201</v>
      </c>
    </row>
    <row r="48" spans="1:13">
      <c r="A48" s="21" t="str">
        <f>TEXT(TEXT(B48,"yyyymmdd"),"00000000")&amp;TEXT(COUNTIF($B$2:B48,B48),"00")</f>
        <v>2022071901</v>
      </c>
      <c r="B48" s="21">
        <f t="shared" si="0"/>
        <v>44761</v>
      </c>
      <c r="C48" s="22">
        <v>2022</v>
      </c>
      <c r="D48" s="23">
        <v>7</v>
      </c>
      <c r="E48" s="24">
        <v>19</v>
      </c>
      <c r="F48" s="42" t="s">
        <v>17</v>
      </c>
      <c r="G48" s="42" t="s">
        <v>13</v>
      </c>
      <c r="H48" s="42" t="s">
        <v>138</v>
      </c>
      <c r="I48" s="42" t="s">
        <v>139</v>
      </c>
      <c r="J48" s="10">
        <v>15300</v>
      </c>
      <c r="K48" s="7">
        <v>-15300</v>
      </c>
      <c r="L48" s="1" t="s">
        <v>202</v>
      </c>
      <c r="M48" s="2" t="s">
        <v>203</v>
      </c>
    </row>
    <row r="49" spans="1:13">
      <c r="A49" s="21" t="str">
        <f>TEXT(TEXT(B49,"yyyymmdd"),"00000000")&amp;TEXT(COUNTIF($B$2:B49,B49),"00")</f>
        <v>2022071902</v>
      </c>
      <c r="B49" s="21">
        <f t="shared" si="0"/>
        <v>44761</v>
      </c>
      <c r="C49" s="22">
        <v>2022</v>
      </c>
      <c r="D49" s="23">
        <v>7</v>
      </c>
      <c r="E49" s="24">
        <v>19</v>
      </c>
      <c r="F49" s="42" t="s">
        <v>17</v>
      </c>
      <c r="G49" s="42" t="s">
        <v>135</v>
      </c>
      <c r="H49" s="42" t="s">
        <v>135</v>
      </c>
      <c r="I49" s="42" t="s">
        <v>136</v>
      </c>
      <c r="J49" s="10">
        <v>-66330</v>
      </c>
      <c r="K49" s="7">
        <v>66330</v>
      </c>
      <c r="L49" s="1" t="s">
        <v>484</v>
      </c>
    </row>
    <row r="50" spans="1:13">
      <c r="A50" s="21" t="str">
        <f>TEXT(TEXT(B50,"yyyymmdd"),"00000000")&amp;TEXT(COUNTIF($B$2:B50,B50),"00")</f>
        <v>2022071903</v>
      </c>
      <c r="B50" s="21">
        <f t="shared" si="0"/>
        <v>44761</v>
      </c>
      <c r="C50" s="22">
        <v>2022</v>
      </c>
      <c r="D50" s="23">
        <v>7</v>
      </c>
      <c r="E50" s="24">
        <v>19</v>
      </c>
      <c r="F50" s="42" t="s">
        <v>17</v>
      </c>
      <c r="G50" s="42" t="s">
        <v>13</v>
      </c>
      <c r="H50" s="42" t="s">
        <v>138</v>
      </c>
      <c r="I50" s="42" t="s">
        <v>139</v>
      </c>
      <c r="J50" s="10">
        <v>7000</v>
      </c>
      <c r="K50" s="7">
        <v>-7000</v>
      </c>
      <c r="L50" s="1" t="s">
        <v>193</v>
      </c>
      <c r="M50" s="2" t="s">
        <v>187</v>
      </c>
    </row>
    <row r="51" spans="1:13">
      <c r="A51" s="21" t="str">
        <f>TEXT(TEXT(B51,"yyyymmdd"),"00000000")&amp;TEXT(COUNTIF($B$2:B51,B51),"00")</f>
        <v>2022072001</v>
      </c>
      <c r="B51" s="21">
        <f t="shared" si="0"/>
        <v>44762</v>
      </c>
      <c r="C51" s="22">
        <v>2022</v>
      </c>
      <c r="D51" s="23">
        <v>7</v>
      </c>
      <c r="E51" s="24">
        <v>20</v>
      </c>
      <c r="F51" s="42" t="s">
        <v>17</v>
      </c>
      <c r="G51" s="42" t="s">
        <v>7</v>
      </c>
      <c r="H51" s="42" t="s">
        <v>173</v>
      </c>
      <c r="I51" s="42" t="s">
        <v>207</v>
      </c>
      <c r="J51" s="10">
        <v>4400</v>
      </c>
      <c r="K51" s="7">
        <v>-4400</v>
      </c>
      <c r="L51" s="1" t="s">
        <v>313</v>
      </c>
    </row>
    <row r="52" spans="1:13">
      <c r="A52" s="21" t="str">
        <f>TEXT(TEXT(B52,"yyyymmdd"),"00000000")&amp;TEXT(COUNTIF($B$2:B52,B52),"00")</f>
        <v>2022072002</v>
      </c>
      <c r="B52" s="21">
        <f t="shared" si="0"/>
        <v>44762</v>
      </c>
      <c r="C52" s="22">
        <v>2022</v>
      </c>
      <c r="D52" s="23">
        <v>7</v>
      </c>
      <c r="E52" s="24">
        <v>20</v>
      </c>
      <c r="F52" s="42" t="s">
        <v>17</v>
      </c>
      <c r="G52" s="42" t="s">
        <v>13</v>
      </c>
      <c r="H52" s="42" t="s">
        <v>138</v>
      </c>
      <c r="I52" s="42" t="s">
        <v>197</v>
      </c>
      <c r="J52" s="10">
        <v>11200</v>
      </c>
      <c r="K52" s="7">
        <v>-11200</v>
      </c>
      <c r="L52" s="1" t="s">
        <v>205</v>
      </c>
      <c r="M52" s="2" t="s">
        <v>206</v>
      </c>
    </row>
    <row r="53" spans="1:13">
      <c r="A53" s="21" t="str">
        <f>TEXT(TEXT(B53,"yyyymmdd"),"00000000")&amp;TEXT(COUNTIF($B$2:B53,B53),"00")</f>
        <v>2022072003</v>
      </c>
      <c r="B53" s="21">
        <f t="shared" si="0"/>
        <v>44762</v>
      </c>
      <c r="C53" s="22">
        <v>2022</v>
      </c>
      <c r="D53" s="23">
        <v>7</v>
      </c>
      <c r="E53" s="24">
        <v>20</v>
      </c>
      <c r="F53" s="42" t="s">
        <v>17</v>
      </c>
      <c r="G53" s="42" t="s">
        <v>13</v>
      </c>
      <c r="H53" s="42" t="s">
        <v>138</v>
      </c>
      <c r="I53" s="42" t="s">
        <v>139</v>
      </c>
      <c r="J53" s="10">
        <v>7000</v>
      </c>
      <c r="K53" s="7">
        <v>-7000</v>
      </c>
      <c r="L53" s="1" t="s">
        <v>204</v>
      </c>
      <c r="M53" s="2" t="s">
        <v>187</v>
      </c>
    </row>
    <row r="54" spans="1:13">
      <c r="A54" s="21" t="str">
        <f>TEXT(TEXT(B54,"yyyymmdd"),"00000000")&amp;TEXT(COUNTIF($B$2:B54,B54),"00")</f>
        <v>2022072101</v>
      </c>
      <c r="B54" s="21">
        <f t="shared" si="0"/>
        <v>44763</v>
      </c>
      <c r="C54" s="22">
        <v>2022</v>
      </c>
      <c r="D54" s="23">
        <v>7</v>
      </c>
      <c r="E54" s="24">
        <v>21</v>
      </c>
      <c r="F54" s="42" t="s">
        <v>19</v>
      </c>
      <c r="G54" s="42" t="s">
        <v>135</v>
      </c>
      <c r="H54" s="42" t="s">
        <v>135</v>
      </c>
      <c r="I54" s="42" t="s">
        <v>190</v>
      </c>
      <c r="J54" s="10">
        <v>-3</v>
      </c>
      <c r="K54" s="7">
        <v>3</v>
      </c>
      <c r="L54" s="1" t="s">
        <v>210</v>
      </c>
    </row>
    <row r="55" spans="1:13">
      <c r="A55" s="21" t="str">
        <f>TEXT(TEXT(B55,"yyyymmdd"),"00000000")&amp;TEXT(COUNTIF($B$2:B55,B55),"00")</f>
        <v>2022072102</v>
      </c>
      <c r="B55" s="21">
        <f t="shared" si="0"/>
        <v>44763</v>
      </c>
      <c r="C55" s="22">
        <v>2022</v>
      </c>
      <c r="D55" s="23">
        <v>7</v>
      </c>
      <c r="E55" s="24">
        <v>21</v>
      </c>
      <c r="F55" s="42" t="s">
        <v>17</v>
      </c>
      <c r="G55" s="42" t="s">
        <v>135</v>
      </c>
      <c r="H55" s="42" t="s">
        <v>135</v>
      </c>
      <c r="I55" s="42" t="s">
        <v>136</v>
      </c>
      <c r="J55" s="10">
        <v>-101000</v>
      </c>
      <c r="K55" s="7">
        <v>101000</v>
      </c>
      <c r="L55" s="1" t="s">
        <v>209</v>
      </c>
    </row>
    <row r="56" spans="1:13">
      <c r="A56" s="21" t="str">
        <f>TEXT(TEXT(B56,"yyyymmdd"),"00000000")&amp;TEXT(COUNTIF($B$2:B56,B56),"00")</f>
        <v>2022072103</v>
      </c>
      <c r="B56" s="21">
        <f t="shared" si="0"/>
        <v>44763</v>
      </c>
      <c r="C56" s="22">
        <v>2022</v>
      </c>
      <c r="D56" s="23">
        <v>7</v>
      </c>
      <c r="E56" s="24">
        <v>21</v>
      </c>
      <c r="F56" s="42" t="s">
        <v>17</v>
      </c>
      <c r="G56" s="42" t="s">
        <v>7</v>
      </c>
      <c r="H56" s="42" t="s">
        <v>138</v>
      </c>
      <c r="I56" s="42" t="s">
        <v>139</v>
      </c>
      <c r="J56" s="10">
        <v>33250</v>
      </c>
      <c r="K56" s="7">
        <v>-33250</v>
      </c>
      <c r="L56" s="1" t="s">
        <v>211</v>
      </c>
      <c r="M56" s="2" t="s">
        <v>206</v>
      </c>
    </row>
    <row r="57" spans="1:13">
      <c r="A57" s="21" t="str">
        <f>TEXT(TEXT(B57,"yyyymmdd"),"00000000")&amp;TEXT(COUNTIF($B$2:B57,B57),"00")</f>
        <v>2022072104</v>
      </c>
      <c r="B57" s="21">
        <f t="shared" si="0"/>
        <v>44763</v>
      </c>
      <c r="C57" s="22">
        <v>2022</v>
      </c>
      <c r="D57" s="23">
        <v>7</v>
      </c>
      <c r="E57" s="24">
        <v>21</v>
      </c>
      <c r="F57" s="42" t="s">
        <v>17</v>
      </c>
      <c r="G57" s="42" t="s">
        <v>7</v>
      </c>
      <c r="H57" s="42" t="s">
        <v>116</v>
      </c>
      <c r="I57" s="42" t="s">
        <v>212</v>
      </c>
      <c r="J57" s="10">
        <v>3000</v>
      </c>
      <c r="K57" s="7">
        <v>-3000</v>
      </c>
      <c r="L57" s="1" t="s">
        <v>213</v>
      </c>
    </row>
    <row r="58" spans="1:13">
      <c r="A58" s="21" t="str">
        <f>TEXT(TEXT(B58,"yyyymmdd"),"00000000")&amp;TEXT(COUNTIF($B$2:B58,B58),"00")</f>
        <v>2022072201</v>
      </c>
      <c r="B58" s="21">
        <f t="shared" si="0"/>
        <v>44764</v>
      </c>
      <c r="C58" s="22">
        <v>2022</v>
      </c>
      <c r="D58" s="23">
        <v>7</v>
      </c>
      <c r="E58" s="24">
        <v>22</v>
      </c>
      <c r="F58" s="42" t="s">
        <v>17</v>
      </c>
      <c r="G58" s="42" t="s">
        <v>7</v>
      </c>
      <c r="H58" s="42" t="s">
        <v>167</v>
      </c>
      <c r="I58" s="42" t="s">
        <v>214</v>
      </c>
      <c r="J58" s="10">
        <v>17270</v>
      </c>
      <c r="K58" s="7">
        <v>-17270</v>
      </c>
      <c r="L58" s="1" t="s">
        <v>215</v>
      </c>
      <c r="M58" s="2" t="s">
        <v>220</v>
      </c>
    </row>
    <row r="59" spans="1:13">
      <c r="A59" s="21" t="str">
        <f>TEXT(TEXT(B59,"yyyymmdd"),"00000000")&amp;TEXT(COUNTIF($B$2:B59,B59),"00")</f>
        <v>2022072202</v>
      </c>
      <c r="B59" s="21">
        <f t="shared" si="0"/>
        <v>44764</v>
      </c>
      <c r="C59" s="22">
        <v>2022</v>
      </c>
      <c r="D59" s="23">
        <v>7</v>
      </c>
      <c r="E59" s="24">
        <v>22</v>
      </c>
      <c r="F59" s="42" t="s">
        <v>17</v>
      </c>
      <c r="G59" s="42" t="s">
        <v>135</v>
      </c>
      <c r="H59" s="42" t="s">
        <v>135</v>
      </c>
      <c r="I59" s="42" t="s">
        <v>136</v>
      </c>
      <c r="J59" s="10">
        <v>-30000</v>
      </c>
      <c r="K59" s="7">
        <v>30000</v>
      </c>
      <c r="L59" s="1" t="s">
        <v>523</v>
      </c>
      <c r="M59" s="2" t="s">
        <v>216</v>
      </c>
    </row>
    <row r="60" spans="1:13">
      <c r="A60" s="21" t="str">
        <f>TEXT(TEXT(B60,"yyyymmdd"),"00000000")&amp;TEXT(COUNTIF($B$2:B60,B60),"00")</f>
        <v>2022072301</v>
      </c>
      <c r="B60" s="21">
        <f t="shared" si="0"/>
        <v>44765</v>
      </c>
      <c r="C60" s="22">
        <v>2022</v>
      </c>
      <c r="D60" s="23">
        <v>7</v>
      </c>
      <c r="E60" s="24">
        <v>23</v>
      </c>
      <c r="F60" s="42" t="s">
        <v>17</v>
      </c>
      <c r="G60" s="42" t="s">
        <v>7</v>
      </c>
      <c r="H60" s="42" t="s">
        <v>116</v>
      </c>
      <c r="I60" s="42" t="s">
        <v>217</v>
      </c>
      <c r="J60" s="10">
        <v>3900</v>
      </c>
      <c r="K60" s="7">
        <v>-3900</v>
      </c>
      <c r="L60" s="1" t="s">
        <v>325</v>
      </c>
      <c r="M60" s="2" t="s">
        <v>219</v>
      </c>
    </row>
    <row r="61" spans="1:13">
      <c r="A61" s="21" t="str">
        <f>TEXT(TEXT(B61,"yyyymmdd"),"00000000")&amp;TEXT(COUNTIF($B$2:B61,B61),"00")</f>
        <v>2022072401</v>
      </c>
      <c r="B61" s="21">
        <f t="shared" si="0"/>
        <v>44766</v>
      </c>
      <c r="C61" s="22">
        <v>2022</v>
      </c>
      <c r="D61" s="23">
        <v>7</v>
      </c>
      <c r="E61" s="24">
        <v>24</v>
      </c>
      <c r="F61" s="42" t="s">
        <v>17</v>
      </c>
      <c r="G61" s="42" t="s">
        <v>7</v>
      </c>
      <c r="H61" s="42" t="s">
        <v>155</v>
      </c>
      <c r="I61" s="42" t="s">
        <v>221</v>
      </c>
      <c r="J61" s="10">
        <v>76000</v>
      </c>
      <c r="K61" s="7">
        <v>-76000</v>
      </c>
      <c r="L61" s="1" t="s">
        <v>222</v>
      </c>
      <c r="M61" s="2" t="s">
        <v>223</v>
      </c>
    </row>
    <row r="62" spans="1:13">
      <c r="A62" s="21" t="str">
        <f>TEXT(TEXT(B62,"yyyymmdd"),"00000000")&amp;TEXT(COUNTIF($B$2:B62,B62),"00")</f>
        <v>2022072402</v>
      </c>
      <c r="B62" s="21">
        <f t="shared" si="0"/>
        <v>44766</v>
      </c>
      <c r="C62" s="22">
        <v>2022</v>
      </c>
      <c r="D62" s="23">
        <v>7</v>
      </c>
      <c r="E62" s="24">
        <v>24</v>
      </c>
      <c r="F62" s="42" t="s">
        <v>17</v>
      </c>
      <c r="G62" s="42" t="s">
        <v>7</v>
      </c>
      <c r="H62" s="42" t="s">
        <v>110</v>
      </c>
      <c r="I62" s="42" t="s">
        <v>120</v>
      </c>
      <c r="J62" s="10">
        <v>2400</v>
      </c>
      <c r="K62" s="7">
        <v>-2400</v>
      </c>
      <c r="L62" s="1" t="s">
        <v>228</v>
      </c>
    </row>
    <row r="63" spans="1:13">
      <c r="A63" s="21" t="str">
        <f>TEXT(TEXT(B63,"yyyymmdd"),"00000000")&amp;TEXT(COUNTIF($B$2:B63,B63),"00")</f>
        <v>2022072403</v>
      </c>
      <c r="B63" s="21">
        <f t="shared" si="0"/>
        <v>44766</v>
      </c>
      <c r="C63" s="22">
        <v>2022</v>
      </c>
      <c r="D63" s="23">
        <v>7</v>
      </c>
      <c r="E63" s="24">
        <v>24</v>
      </c>
      <c r="F63" s="42" t="s">
        <v>17</v>
      </c>
      <c r="G63" s="42" t="s">
        <v>13</v>
      </c>
      <c r="H63" s="42" t="s">
        <v>138</v>
      </c>
      <c r="I63" s="42" t="s">
        <v>139</v>
      </c>
      <c r="J63" s="10">
        <v>13000</v>
      </c>
      <c r="K63" s="7">
        <v>-13000</v>
      </c>
      <c r="L63" s="1" t="s">
        <v>224</v>
      </c>
      <c r="M63" s="2" t="s">
        <v>206</v>
      </c>
    </row>
    <row r="64" spans="1:13">
      <c r="A64" s="21" t="str">
        <f>TEXT(TEXT(B64,"yyyymmdd"),"00000000")&amp;TEXT(COUNTIF($B$2:B64,B64),"00")</f>
        <v>2022072404</v>
      </c>
      <c r="B64" s="21">
        <f t="shared" si="0"/>
        <v>44766</v>
      </c>
      <c r="C64" s="22">
        <v>2022</v>
      </c>
      <c r="D64" s="23">
        <v>7</v>
      </c>
      <c r="E64" s="24">
        <v>24</v>
      </c>
      <c r="F64" s="42" t="s">
        <v>17</v>
      </c>
      <c r="G64" s="42" t="s">
        <v>7</v>
      </c>
      <c r="H64" s="42" t="s">
        <v>116</v>
      </c>
      <c r="I64" s="42" t="s">
        <v>225</v>
      </c>
      <c r="J64" s="10">
        <v>36500</v>
      </c>
      <c r="K64" s="7">
        <v>-36500</v>
      </c>
      <c r="L64" s="1" t="s">
        <v>226</v>
      </c>
      <c r="M64" s="2" t="s">
        <v>227</v>
      </c>
    </row>
    <row r="65" spans="1:13">
      <c r="A65" s="21" t="str">
        <f>TEXT(TEXT(B65,"yyyymmdd"),"00000000")&amp;TEXT(COUNTIF($B$2:B65,B65),"00")</f>
        <v>2022072405</v>
      </c>
      <c r="B65" s="21">
        <f t="shared" si="0"/>
        <v>44766</v>
      </c>
      <c r="C65" s="22">
        <v>2022</v>
      </c>
      <c r="D65" s="23">
        <v>7</v>
      </c>
      <c r="E65" s="24">
        <v>24</v>
      </c>
      <c r="F65" s="42" t="s">
        <v>17</v>
      </c>
      <c r="G65" s="42" t="s">
        <v>13</v>
      </c>
      <c r="H65" s="42" t="s">
        <v>138</v>
      </c>
      <c r="I65" s="42" t="s">
        <v>159</v>
      </c>
      <c r="J65" s="10">
        <v>4900</v>
      </c>
      <c r="K65" s="7">
        <v>-4900</v>
      </c>
      <c r="L65" s="1" t="s">
        <v>229</v>
      </c>
      <c r="M65" s="2" t="s">
        <v>206</v>
      </c>
    </row>
    <row r="66" spans="1:13">
      <c r="A66" s="21" t="str">
        <f>TEXT(TEXT(B66,"yyyymmdd"),"00000000")&amp;TEXT(COUNTIF($B$2:B66,B66),"00")</f>
        <v>2022072501</v>
      </c>
      <c r="B66" s="21">
        <f t="shared" ref="B66:B129" si="1">DATE(C66,D66,E66)</f>
        <v>44767</v>
      </c>
      <c r="C66" s="22">
        <v>2022</v>
      </c>
      <c r="D66" s="23">
        <v>7</v>
      </c>
      <c r="E66" s="24">
        <v>25</v>
      </c>
      <c r="F66" s="42" t="s">
        <v>17</v>
      </c>
      <c r="G66" s="42" t="s">
        <v>7</v>
      </c>
      <c r="H66" s="42" t="s">
        <v>116</v>
      </c>
      <c r="I66" s="42" t="s">
        <v>212</v>
      </c>
      <c r="J66" s="10">
        <v>5000</v>
      </c>
      <c r="K66" s="7">
        <v>-5000</v>
      </c>
      <c r="L66" s="1" t="s">
        <v>230</v>
      </c>
    </row>
    <row r="67" spans="1:13">
      <c r="A67" s="21" t="str">
        <f>TEXT(TEXT(B67,"yyyymmdd"),"00000000")&amp;TEXT(COUNTIF($B$2:B67,B67),"00")</f>
        <v>2022072601</v>
      </c>
      <c r="B67" s="21">
        <f t="shared" si="1"/>
        <v>44768</v>
      </c>
      <c r="C67" s="22">
        <v>2022</v>
      </c>
      <c r="D67" s="23">
        <v>7</v>
      </c>
      <c r="E67" s="24">
        <v>26</v>
      </c>
      <c r="F67" s="42" t="s">
        <v>17</v>
      </c>
      <c r="G67" s="42" t="s">
        <v>13</v>
      </c>
      <c r="H67" s="42" t="s">
        <v>113</v>
      </c>
      <c r="I67" s="42" t="s">
        <v>231</v>
      </c>
      <c r="J67" s="10">
        <v>65246</v>
      </c>
      <c r="K67" s="7">
        <v>-65246</v>
      </c>
      <c r="L67" s="1" t="s">
        <v>232</v>
      </c>
      <c r="M67" s="2" t="s">
        <v>233</v>
      </c>
    </row>
    <row r="68" spans="1:13">
      <c r="A68" s="21" t="str">
        <f>TEXT(TEXT(B68,"yyyymmdd"),"00000000")&amp;TEXT(COUNTIF($B$2:B68,B68),"00")</f>
        <v>2022072701</v>
      </c>
      <c r="B68" s="21">
        <f t="shared" si="1"/>
        <v>44769</v>
      </c>
      <c r="C68" s="22">
        <v>2022</v>
      </c>
      <c r="D68" s="23">
        <v>7</v>
      </c>
      <c r="E68" s="24">
        <v>27</v>
      </c>
      <c r="F68" s="42" t="s">
        <v>17</v>
      </c>
      <c r="G68" s="42" t="s">
        <v>13</v>
      </c>
      <c r="H68" s="42" t="s">
        <v>138</v>
      </c>
      <c r="I68" s="42" t="s">
        <v>139</v>
      </c>
      <c r="J68" s="10">
        <v>16000</v>
      </c>
      <c r="K68" s="7">
        <v>-16000</v>
      </c>
      <c r="L68" s="1" t="s">
        <v>234</v>
      </c>
      <c r="M68" s="2" t="s">
        <v>235</v>
      </c>
    </row>
    <row r="69" spans="1:13">
      <c r="A69" s="21" t="str">
        <f>TEXT(TEXT(B69,"yyyymmdd"),"00000000")&amp;TEXT(COUNTIF($B$2:B69,B69),"00")</f>
        <v>2022072801</v>
      </c>
      <c r="B69" s="21">
        <f t="shared" si="1"/>
        <v>44770</v>
      </c>
      <c r="C69" s="22">
        <v>2022</v>
      </c>
      <c r="D69" s="23">
        <v>7</v>
      </c>
      <c r="E69" s="24">
        <v>28</v>
      </c>
      <c r="F69" s="42" t="s">
        <v>17</v>
      </c>
      <c r="G69" s="42" t="s">
        <v>7</v>
      </c>
      <c r="H69" s="42" t="s">
        <v>167</v>
      </c>
      <c r="I69" s="42" t="s">
        <v>168</v>
      </c>
      <c r="J69" s="10">
        <v>720</v>
      </c>
      <c r="K69" s="7">
        <v>-720</v>
      </c>
      <c r="L69" s="1" t="s">
        <v>332</v>
      </c>
      <c r="M69" s="2" t="s">
        <v>508</v>
      </c>
    </row>
    <row r="70" spans="1:13">
      <c r="A70" s="21" t="str">
        <f>TEXT(TEXT(B70,"yyyymmdd"),"00000000")&amp;TEXT(COUNTIF($B$2:B70,B70),"00")</f>
        <v>2022072802</v>
      </c>
      <c r="B70" s="21">
        <f t="shared" si="1"/>
        <v>44770</v>
      </c>
      <c r="C70" s="22">
        <v>2022</v>
      </c>
      <c r="D70" s="23">
        <v>7</v>
      </c>
      <c r="E70" s="24">
        <v>28</v>
      </c>
      <c r="F70" s="42" t="s">
        <v>17</v>
      </c>
      <c r="G70" s="42" t="s">
        <v>13</v>
      </c>
      <c r="H70" s="42" t="s">
        <v>138</v>
      </c>
      <c r="I70" s="42" t="s">
        <v>197</v>
      </c>
      <c r="J70" s="10">
        <v>14000</v>
      </c>
      <c r="K70" s="7">
        <v>-14000</v>
      </c>
      <c r="L70" s="1" t="s">
        <v>236</v>
      </c>
      <c r="M70" s="2" t="s">
        <v>237</v>
      </c>
    </row>
    <row r="71" spans="1:13">
      <c r="A71" s="21" t="str">
        <f>TEXT(TEXT(B71,"yyyymmdd"),"00000000")&amp;TEXT(COUNTIF($B$2:B71,B71),"00")</f>
        <v>2022072803</v>
      </c>
      <c r="B71" s="21">
        <f t="shared" si="1"/>
        <v>44770</v>
      </c>
      <c r="C71" s="22">
        <v>2022</v>
      </c>
      <c r="D71" s="23">
        <v>7</v>
      </c>
      <c r="E71" s="24">
        <v>28</v>
      </c>
      <c r="F71" s="42" t="s">
        <v>17</v>
      </c>
      <c r="G71" s="42" t="s">
        <v>135</v>
      </c>
      <c r="H71" s="42" t="s">
        <v>135</v>
      </c>
      <c r="I71" s="42" t="s">
        <v>136</v>
      </c>
      <c r="J71" s="10">
        <v>-52000</v>
      </c>
      <c r="K71" s="7">
        <v>52000</v>
      </c>
      <c r="L71" s="1" t="s">
        <v>484</v>
      </c>
    </row>
    <row r="72" spans="1:13">
      <c r="A72" s="21" t="str">
        <f>TEXT(TEXT(B72,"yyyymmdd"),"00000000")&amp;TEXT(COUNTIF($B$2:B72,B72),"00")</f>
        <v>2022072901</v>
      </c>
      <c r="B72" s="21">
        <f t="shared" si="1"/>
        <v>44771</v>
      </c>
      <c r="C72" s="22">
        <v>2022</v>
      </c>
      <c r="D72" s="23">
        <v>7</v>
      </c>
      <c r="E72" s="24">
        <v>29</v>
      </c>
      <c r="F72" s="42" t="s">
        <v>17</v>
      </c>
      <c r="G72" s="42" t="s">
        <v>13</v>
      </c>
      <c r="H72" s="42" t="s">
        <v>167</v>
      </c>
      <c r="I72" s="42" t="s">
        <v>214</v>
      </c>
      <c r="J72" s="10">
        <v>3000</v>
      </c>
      <c r="K72" s="7">
        <v>-3000</v>
      </c>
      <c r="L72" s="1" t="s">
        <v>215</v>
      </c>
      <c r="M72" s="2" t="s">
        <v>238</v>
      </c>
    </row>
    <row r="73" spans="1:13">
      <c r="A73" s="21" t="str">
        <f>TEXT(TEXT(B73,"yyyymmdd"),"00000000")&amp;TEXT(COUNTIF($B$2:B73,B73),"00")</f>
        <v>2022073001</v>
      </c>
      <c r="B73" s="21">
        <f t="shared" si="1"/>
        <v>44772</v>
      </c>
      <c r="C73" s="22">
        <v>2022</v>
      </c>
      <c r="D73" s="23">
        <v>7</v>
      </c>
      <c r="E73" s="24">
        <v>30</v>
      </c>
      <c r="F73" s="42" t="s">
        <v>17</v>
      </c>
      <c r="G73" s="42" t="s">
        <v>7</v>
      </c>
      <c r="H73" s="42" t="s">
        <v>138</v>
      </c>
      <c r="I73" s="42" t="s">
        <v>197</v>
      </c>
      <c r="J73" s="10">
        <v>12700</v>
      </c>
      <c r="K73" s="7">
        <v>-12700</v>
      </c>
      <c r="L73" s="1" t="s">
        <v>239</v>
      </c>
      <c r="M73" s="2" t="s">
        <v>240</v>
      </c>
    </row>
    <row r="74" spans="1:13">
      <c r="A74" s="21" t="str">
        <f>TEXT(TEXT(B74,"yyyymmdd"),"00000000")&amp;TEXT(COUNTIF($B$2:B74,B74),"00")</f>
        <v>2022073101</v>
      </c>
      <c r="B74" s="21">
        <f t="shared" si="1"/>
        <v>44773</v>
      </c>
      <c r="C74" s="22">
        <v>2022</v>
      </c>
      <c r="D74" s="23">
        <v>7</v>
      </c>
      <c r="E74" s="24">
        <v>31</v>
      </c>
      <c r="F74" s="42" t="s">
        <v>17</v>
      </c>
      <c r="G74" s="42" t="s">
        <v>13</v>
      </c>
      <c r="H74" s="42" t="s">
        <v>138</v>
      </c>
      <c r="I74" s="42" t="s">
        <v>139</v>
      </c>
      <c r="J74" s="10">
        <v>7500</v>
      </c>
      <c r="K74" s="7">
        <v>-7500</v>
      </c>
      <c r="L74" s="1" t="s">
        <v>244</v>
      </c>
      <c r="M74" s="2" t="s">
        <v>183</v>
      </c>
    </row>
    <row r="75" spans="1:13">
      <c r="A75" s="21" t="str">
        <f>TEXT(TEXT(B75,"yyyymmdd"),"00000000")&amp;TEXT(COUNTIF($B$2:B75,B75),"00")</f>
        <v>2022073102</v>
      </c>
      <c r="B75" s="21">
        <f t="shared" si="1"/>
        <v>44773</v>
      </c>
      <c r="C75" s="22">
        <v>2022</v>
      </c>
      <c r="D75" s="23">
        <v>7</v>
      </c>
      <c r="E75" s="24">
        <v>31</v>
      </c>
      <c r="F75" s="42" t="s">
        <v>17</v>
      </c>
      <c r="G75" s="42" t="s">
        <v>11</v>
      </c>
      <c r="H75" s="42" t="s">
        <v>99</v>
      </c>
      <c r="I75" s="42" t="s">
        <v>11</v>
      </c>
      <c r="J75" s="10">
        <v>-2000</v>
      </c>
      <c r="K75" s="7">
        <v>2000</v>
      </c>
      <c r="L75" s="1" t="s">
        <v>241</v>
      </c>
      <c r="M75" s="2" t="s">
        <v>242</v>
      </c>
    </row>
    <row r="76" spans="1:13">
      <c r="A76" s="21" t="str">
        <f>TEXT(TEXT(B76,"yyyymmdd"),"00000000")&amp;TEXT(COUNTIF($B$2:B76,B76),"00")</f>
        <v>2022073103</v>
      </c>
      <c r="B76" s="21">
        <f t="shared" si="1"/>
        <v>44773</v>
      </c>
      <c r="C76" s="22">
        <v>2022</v>
      </c>
      <c r="D76" s="23">
        <v>7</v>
      </c>
      <c r="E76" s="24">
        <v>31</v>
      </c>
      <c r="F76" s="42" t="s">
        <v>17</v>
      </c>
      <c r="G76" s="42" t="s">
        <v>7</v>
      </c>
      <c r="H76" s="42" t="s">
        <v>119</v>
      </c>
      <c r="I76" s="42" t="s">
        <v>180</v>
      </c>
      <c r="J76" s="10">
        <v>21900</v>
      </c>
      <c r="K76" s="7">
        <v>-21900</v>
      </c>
      <c r="L76" s="1" t="s">
        <v>181</v>
      </c>
      <c r="M76" s="2" t="s">
        <v>243</v>
      </c>
    </row>
    <row r="77" spans="1:13">
      <c r="A77" s="21" t="str">
        <f>TEXT(TEXT(B77,"yyyymmdd"),"00000000")&amp;TEXT(COUNTIF($B$2:B77,B77),"00")</f>
        <v>2022073104</v>
      </c>
      <c r="B77" s="21">
        <f t="shared" si="1"/>
        <v>44773</v>
      </c>
      <c r="C77" s="22">
        <v>2022</v>
      </c>
      <c r="D77" s="23">
        <v>7</v>
      </c>
      <c r="E77" s="24">
        <v>31</v>
      </c>
      <c r="F77" s="42" t="s">
        <v>17</v>
      </c>
      <c r="G77" s="42" t="s">
        <v>7</v>
      </c>
      <c r="H77" s="42" t="s">
        <v>110</v>
      </c>
      <c r="I77" s="42" t="s">
        <v>120</v>
      </c>
      <c r="J77" s="10">
        <v>2500</v>
      </c>
      <c r="K77" s="7">
        <v>-2500</v>
      </c>
      <c r="L77" s="1" t="s">
        <v>245</v>
      </c>
    </row>
    <row r="78" spans="1:13">
      <c r="A78" s="21" t="str">
        <f>TEXT(TEXT(B78,"yyyymmdd"),"00000000")&amp;TEXT(COUNTIF($B$2:B78,B78),"00")</f>
        <v>2022080101</v>
      </c>
      <c r="B78" s="21">
        <f t="shared" si="1"/>
        <v>44774</v>
      </c>
      <c r="C78" s="22">
        <v>2022</v>
      </c>
      <c r="D78" s="23">
        <v>8</v>
      </c>
      <c r="E78" s="24">
        <v>1</v>
      </c>
      <c r="F78" s="42" t="s">
        <v>17</v>
      </c>
      <c r="G78" s="42" t="s">
        <v>135</v>
      </c>
      <c r="H78" s="42" t="s">
        <v>135</v>
      </c>
      <c r="I78" s="42" t="s">
        <v>136</v>
      </c>
      <c r="J78" s="10">
        <v>-4330</v>
      </c>
      <c r="K78" s="7">
        <v>4330</v>
      </c>
      <c r="L78" s="1" t="s">
        <v>484</v>
      </c>
      <c r="M78" s="2" t="s">
        <v>246</v>
      </c>
    </row>
    <row r="79" spans="1:13">
      <c r="A79" s="21" t="str">
        <f>TEXT(TEXT(B79,"yyyymmdd"),"00000000")&amp;TEXT(COUNTIF($B$2:B79,B79),"00")</f>
        <v>2022080102</v>
      </c>
      <c r="B79" s="21">
        <f t="shared" si="1"/>
        <v>44774</v>
      </c>
      <c r="C79" s="22">
        <v>2022</v>
      </c>
      <c r="D79" s="23">
        <v>8</v>
      </c>
      <c r="E79" s="24">
        <v>1</v>
      </c>
      <c r="F79" s="42" t="s">
        <v>17</v>
      </c>
      <c r="G79" s="42" t="s">
        <v>7</v>
      </c>
      <c r="H79" s="42" t="s">
        <v>138</v>
      </c>
      <c r="I79" s="42" t="s">
        <v>197</v>
      </c>
      <c r="J79" s="10">
        <v>10000</v>
      </c>
      <c r="K79" s="7">
        <v>-10000</v>
      </c>
      <c r="L79" s="1" t="s">
        <v>247</v>
      </c>
      <c r="M79" s="2" t="s">
        <v>188</v>
      </c>
    </row>
    <row r="80" spans="1:13">
      <c r="A80" s="21" t="str">
        <f>TEXT(TEXT(B80,"yyyymmdd"),"00000000")&amp;TEXT(COUNTIF($B$2:B80,B80),"00")</f>
        <v>2022080201</v>
      </c>
      <c r="B80" s="21">
        <f t="shared" si="1"/>
        <v>44775</v>
      </c>
      <c r="C80" s="22">
        <v>2022</v>
      </c>
      <c r="D80" s="23">
        <v>8</v>
      </c>
      <c r="E80" s="24">
        <v>2</v>
      </c>
      <c r="F80" s="42" t="s">
        <v>17</v>
      </c>
      <c r="G80" s="42" t="s">
        <v>7</v>
      </c>
      <c r="H80" s="42" t="s">
        <v>138</v>
      </c>
      <c r="I80" s="42" t="s">
        <v>139</v>
      </c>
      <c r="J80" s="10">
        <v>226000</v>
      </c>
      <c r="K80" s="7">
        <v>-226000</v>
      </c>
      <c r="L80" s="1" t="s">
        <v>248</v>
      </c>
      <c r="M80" s="2" t="s">
        <v>249</v>
      </c>
    </row>
    <row r="81" spans="1:13">
      <c r="A81" s="21" t="str">
        <f>TEXT(TEXT(B81,"yyyymmdd"),"00000000")&amp;TEXT(COUNTIF($B$2:B81,B81),"00")</f>
        <v>2022080301</v>
      </c>
      <c r="B81" s="21">
        <f t="shared" si="1"/>
        <v>44776</v>
      </c>
      <c r="C81" s="22">
        <v>2022</v>
      </c>
      <c r="D81" s="23">
        <v>8</v>
      </c>
      <c r="E81" s="24">
        <v>3</v>
      </c>
      <c r="F81" s="42" t="s">
        <v>17</v>
      </c>
      <c r="G81" s="42" t="s">
        <v>7</v>
      </c>
      <c r="H81" s="42" t="s">
        <v>116</v>
      </c>
      <c r="I81" s="42" t="s">
        <v>217</v>
      </c>
      <c r="J81" s="10">
        <v>2500</v>
      </c>
      <c r="K81" s="7">
        <v>-2500</v>
      </c>
      <c r="L81" s="1" t="s">
        <v>325</v>
      </c>
      <c r="M81" s="2" t="s">
        <v>219</v>
      </c>
    </row>
    <row r="82" spans="1:13">
      <c r="A82" s="21" t="str">
        <f>TEXT(TEXT(B82,"yyyymmdd"),"00000000")&amp;TEXT(COUNTIF($B$2:B82,B82),"00")</f>
        <v>2022080302</v>
      </c>
      <c r="B82" s="21">
        <f t="shared" si="1"/>
        <v>44776</v>
      </c>
      <c r="C82" s="22">
        <v>2022</v>
      </c>
      <c r="D82" s="23">
        <v>8</v>
      </c>
      <c r="E82" s="24">
        <v>3</v>
      </c>
      <c r="F82" s="42" t="s">
        <v>17</v>
      </c>
      <c r="G82" s="42" t="s">
        <v>135</v>
      </c>
      <c r="H82" s="42" t="s">
        <v>135</v>
      </c>
      <c r="I82" s="42" t="s">
        <v>136</v>
      </c>
      <c r="J82" s="10">
        <v>-21000</v>
      </c>
      <c r="K82" s="7">
        <v>21000</v>
      </c>
      <c r="L82" s="1" t="s">
        <v>484</v>
      </c>
      <c r="M82" s="2" t="s">
        <v>246</v>
      </c>
    </row>
    <row r="83" spans="1:13">
      <c r="A83" s="21" t="str">
        <f>TEXT(TEXT(B83,"yyyymmdd"),"00000000")&amp;TEXT(COUNTIF($B$2:B83,B83),"00")</f>
        <v>2022080401</v>
      </c>
      <c r="B83" s="21">
        <f t="shared" si="1"/>
        <v>44777</v>
      </c>
      <c r="C83" s="22">
        <v>2022</v>
      </c>
      <c r="D83" s="23">
        <v>8</v>
      </c>
      <c r="E83" s="24">
        <v>4</v>
      </c>
      <c r="F83" s="42" t="s">
        <v>17</v>
      </c>
      <c r="G83" s="42" t="s">
        <v>135</v>
      </c>
      <c r="H83" s="42" t="s">
        <v>135</v>
      </c>
      <c r="I83" s="42" t="s">
        <v>152</v>
      </c>
      <c r="J83" s="10">
        <v>-1500</v>
      </c>
      <c r="K83" s="7">
        <v>1500</v>
      </c>
      <c r="L83" s="1" t="s">
        <v>252</v>
      </c>
      <c r="M83" s="2" t="s">
        <v>253</v>
      </c>
    </row>
    <row r="84" spans="1:13">
      <c r="A84" s="21" t="str">
        <f>TEXT(TEXT(B84,"yyyymmdd"),"00000000")&amp;TEXT(COUNTIF($B$2:B84,B84),"00")</f>
        <v>2022080402</v>
      </c>
      <c r="B84" s="21">
        <f t="shared" si="1"/>
        <v>44777</v>
      </c>
      <c r="C84" s="22">
        <v>2022</v>
      </c>
      <c r="D84" s="23">
        <v>8</v>
      </c>
      <c r="E84" s="24">
        <v>4</v>
      </c>
      <c r="F84" s="42" t="s">
        <v>17</v>
      </c>
      <c r="G84" s="42" t="s">
        <v>13</v>
      </c>
      <c r="H84" s="42" t="s">
        <v>113</v>
      </c>
      <c r="I84" s="42" t="s">
        <v>231</v>
      </c>
      <c r="J84" s="10">
        <v>18120</v>
      </c>
      <c r="K84" s="7">
        <v>-18120</v>
      </c>
      <c r="L84" s="1" t="s">
        <v>254</v>
      </c>
      <c r="M84" s="2" t="s">
        <v>206</v>
      </c>
    </row>
    <row r="85" spans="1:13">
      <c r="A85" s="21" t="str">
        <f>TEXT(TEXT(B85,"yyyymmdd"),"00000000")&amp;TEXT(COUNTIF($B$2:B85,B85),"00")</f>
        <v>2022080403</v>
      </c>
      <c r="B85" s="21">
        <f t="shared" si="1"/>
        <v>44777</v>
      </c>
      <c r="C85" s="22">
        <v>2022</v>
      </c>
      <c r="D85" s="23">
        <v>8</v>
      </c>
      <c r="E85" s="24">
        <v>4</v>
      </c>
      <c r="F85" s="42" t="s">
        <v>17</v>
      </c>
      <c r="G85" s="42" t="s">
        <v>13</v>
      </c>
      <c r="H85" s="42" t="s">
        <v>167</v>
      </c>
      <c r="I85" s="42" t="s">
        <v>168</v>
      </c>
      <c r="J85" s="10">
        <v>4100</v>
      </c>
      <c r="K85" s="7">
        <v>-4100</v>
      </c>
      <c r="L85" s="1" t="s">
        <v>250</v>
      </c>
      <c r="M85" s="2" t="s">
        <v>251</v>
      </c>
    </row>
    <row r="86" spans="1:13">
      <c r="A86" s="21" t="str">
        <f>TEXT(TEXT(B86,"yyyymmdd"),"00000000")&amp;TEXT(COUNTIF($B$2:B86,B86),"00")</f>
        <v>2022080501</v>
      </c>
      <c r="B86" s="21">
        <f t="shared" si="1"/>
        <v>44778</v>
      </c>
      <c r="C86" s="22">
        <v>2022</v>
      </c>
      <c r="D86" s="23">
        <v>8</v>
      </c>
      <c r="E86" s="24">
        <v>5</v>
      </c>
      <c r="F86" s="42" t="s">
        <v>17</v>
      </c>
      <c r="G86" s="42" t="s">
        <v>13</v>
      </c>
      <c r="H86" s="42" t="s">
        <v>113</v>
      </c>
      <c r="I86" s="42" t="s">
        <v>171</v>
      </c>
      <c r="J86" s="10">
        <v>10000</v>
      </c>
      <c r="K86" s="7">
        <v>-10000</v>
      </c>
      <c r="L86" s="1" t="s">
        <v>255</v>
      </c>
    </row>
    <row r="87" spans="1:13">
      <c r="A87" s="21" t="str">
        <f>TEXT(TEXT(B87,"yyyymmdd"),"00000000")&amp;TEXT(COUNTIF($B$2:B87,B87),"00")</f>
        <v>2022080601</v>
      </c>
      <c r="B87" s="21">
        <f t="shared" si="1"/>
        <v>44779</v>
      </c>
      <c r="C87" s="22">
        <v>2022</v>
      </c>
      <c r="D87" s="23">
        <v>8</v>
      </c>
      <c r="E87" s="24">
        <v>6</v>
      </c>
      <c r="F87" s="42" t="s">
        <v>19</v>
      </c>
      <c r="G87" s="42" t="s">
        <v>11</v>
      </c>
      <c r="H87" s="42" t="s">
        <v>99</v>
      </c>
      <c r="I87" s="42" t="s">
        <v>11</v>
      </c>
      <c r="J87" s="10">
        <v>-21150</v>
      </c>
      <c r="K87" s="7">
        <v>21150</v>
      </c>
      <c r="L87" s="1" t="s">
        <v>485</v>
      </c>
    </row>
    <row r="88" spans="1:13">
      <c r="A88" s="21" t="str">
        <f>TEXT(TEXT(B88,"yyyymmdd"),"00000000")&amp;TEXT(COUNTIF($B$2:B88,B88),"00")</f>
        <v>2022080701</v>
      </c>
      <c r="B88" s="21">
        <f t="shared" si="1"/>
        <v>44780</v>
      </c>
      <c r="C88" s="22">
        <v>2022</v>
      </c>
      <c r="D88" s="23">
        <v>8</v>
      </c>
      <c r="E88" s="24">
        <v>7</v>
      </c>
      <c r="F88" s="42" t="s">
        <v>17</v>
      </c>
      <c r="G88" s="42" t="s">
        <v>7</v>
      </c>
      <c r="H88" s="42" t="s">
        <v>110</v>
      </c>
      <c r="I88" s="42" t="s">
        <v>122</v>
      </c>
      <c r="J88" s="10">
        <v>3900</v>
      </c>
      <c r="K88" s="7">
        <v>-3900</v>
      </c>
      <c r="L88" s="1" t="s">
        <v>256</v>
      </c>
      <c r="M88" s="2" t="s">
        <v>240</v>
      </c>
    </row>
    <row r="89" spans="1:13">
      <c r="A89" s="21" t="str">
        <f>TEXT(TEXT(B89,"yyyymmdd"),"00000000")&amp;TEXT(COUNTIF($B$2:B89,B89),"00")</f>
        <v>2022080801</v>
      </c>
      <c r="B89" s="21">
        <f t="shared" si="1"/>
        <v>44781</v>
      </c>
      <c r="C89" s="22">
        <v>2022</v>
      </c>
      <c r="D89" s="23">
        <v>8</v>
      </c>
      <c r="E89" s="24">
        <v>8</v>
      </c>
      <c r="F89" s="42" t="s">
        <v>17</v>
      </c>
      <c r="G89" s="42" t="s">
        <v>7</v>
      </c>
      <c r="H89" s="42" t="s">
        <v>138</v>
      </c>
      <c r="I89" s="42" t="s">
        <v>139</v>
      </c>
      <c r="J89" s="10">
        <v>10000</v>
      </c>
      <c r="K89" s="7">
        <v>-10000</v>
      </c>
      <c r="L89" s="1" t="s">
        <v>257</v>
      </c>
      <c r="M89" s="2" t="s">
        <v>258</v>
      </c>
    </row>
    <row r="90" spans="1:13">
      <c r="A90" s="21" t="str">
        <f>TEXT(TEXT(B90,"yyyymmdd"),"00000000")&amp;TEXT(COUNTIF($B$2:B90,B90),"00")</f>
        <v>2022081001</v>
      </c>
      <c r="B90" s="21">
        <f t="shared" si="1"/>
        <v>44783</v>
      </c>
      <c r="C90" s="22">
        <v>2022</v>
      </c>
      <c r="D90" s="23">
        <v>8</v>
      </c>
      <c r="E90" s="24">
        <v>10</v>
      </c>
      <c r="F90" s="42" t="s">
        <v>17</v>
      </c>
      <c r="G90" s="42" t="s">
        <v>151</v>
      </c>
      <c r="H90" s="42" t="s">
        <v>151</v>
      </c>
      <c r="I90" s="42" t="s">
        <v>177</v>
      </c>
      <c r="J90" s="10">
        <v>-704000</v>
      </c>
      <c r="K90" s="7">
        <v>704000</v>
      </c>
      <c r="L90" s="1" t="s">
        <v>178</v>
      </c>
      <c r="M90" s="2" t="s">
        <v>259</v>
      </c>
    </row>
    <row r="91" spans="1:13">
      <c r="A91" s="21" t="str">
        <f>TEXT(TEXT(B91,"yyyymmdd"),"00000000")&amp;TEXT(COUNTIF($B$2:B91,B91),"00")</f>
        <v>2022081101</v>
      </c>
      <c r="B91" s="21">
        <f t="shared" si="1"/>
        <v>44784</v>
      </c>
      <c r="C91" s="22">
        <v>2022</v>
      </c>
      <c r="D91" s="23">
        <v>8</v>
      </c>
      <c r="E91" s="24">
        <v>11</v>
      </c>
      <c r="F91" s="42" t="s">
        <v>17</v>
      </c>
      <c r="G91" s="42" t="s">
        <v>11</v>
      </c>
      <c r="H91" s="42" t="s">
        <v>99</v>
      </c>
      <c r="I91" s="42" t="s">
        <v>184</v>
      </c>
      <c r="J91" s="10">
        <v>200000</v>
      </c>
      <c r="K91" s="7">
        <v>-200000</v>
      </c>
      <c r="L91" s="1" t="s">
        <v>189</v>
      </c>
    </row>
    <row r="92" spans="1:13">
      <c r="A92" s="21" t="str">
        <f>TEXT(TEXT(B92,"yyyymmdd"),"00000000")&amp;TEXT(COUNTIF($B$2:B92,B92),"00")</f>
        <v>2022081102</v>
      </c>
      <c r="B92" s="21">
        <f t="shared" si="1"/>
        <v>44784</v>
      </c>
      <c r="C92" s="22">
        <v>2022</v>
      </c>
      <c r="D92" s="23">
        <v>8</v>
      </c>
      <c r="E92" s="24">
        <v>11</v>
      </c>
      <c r="F92" s="42" t="s">
        <v>440</v>
      </c>
      <c r="G92" s="42" t="s">
        <v>11</v>
      </c>
      <c r="H92" s="42" t="s">
        <v>99</v>
      </c>
      <c r="I92" s="42" t="s">
        <v>184</v>
      </c>
      <c r="J92" s="10">
        <v>-200000</v>
      </c>
      <c r="K92" s="7">
        <v>200000</v>
      </c>
      <c r="L92" s="1" t="s">
        <v>189</v>
      </c>
    </row>
    <row r="93" spans="1:13">
      <c r="A93" s="21" t="str">
        <f>TEXT(TEXT(B93,"yyyymmdd"),"00000000")&amp;TEXT(COUNTIF($B$2:B93,B93),"00")</f>
        <v>2022081103</v>
      </c>
      <c r="B93" s="21">
        <f t="shared" si="1"/>
        <v>44784</v>
      </c>
      <c r="C93" s="22">
        <v>2022</v>
      </c>
      <c r="D93" s="23">
        <v>8</v>
      </c>
      <c r="E93" s="24">
        <v>11</v>
      </c>
      <c r="F93" s="42" t="s">
        <v>17</v>
      </c>
      <c r="G93" s="42" t="s">
        <v>7</v>
      </c>
      <c r="H93" s="42" t="s">
        <v>119</v>
      </c>
      <c r="I93" s="42" t="s">
        <v>180</v>
      </c>
      <c r="J93" s="10">
        <v>14000</v>
      </c>
      <c r="K93" s="7">
        <v>-14000</v>
      </c>
      <c r="L93" s="1" t="s">
        <v>266</v>
      </c>
      <c r="M93" s="2" t="s">
        <v>267</v>
      </c>
    </row>
    <row r="94" spans="1:13">
      <c r="A94" s="21" t="str">
        <f>TEXT(TEXT(B94,"yyyymmdd"),"00000000")&amp;TEXT(COUNTIF($B$2:B94,B94),"00")</f>
        <v>2022081104</v>
      </c>
      <c r="B94" s="21">
        <f t="shared" si="1"/>
        <v>44784</v>
      </c>
      <c r="C94" s="22">
        <v>2022</v>
      </c>
      <c r="D94" s="23">
        <v>8</v>
      </c>
      <c r="E94" s="24">
        <v>11</v>
      </c>
      <c r="F94" s="42" t="s">
        <v>17</v>
      </c>
      <c r="G94" s="42" t="s">
        <v>13</v>
      </c>
      <c r="H94" s="42" t="s">
        <v>167</v>
      </c>
      <c r="I94" s="42" t="s">
        <v>168</v>
      </c>
      <c r="J94" s="10">
        <v>2400</v>
      </c>
      <c r="K94" s="7">
        <v>-2400</v>
      </c>
      <c r="L94" s="1" t="s">
        <v>261</v>
      </c>
      <c r="M94" s="2" t="s">
        <v>251</v>
      </c>
    </row>
    <row r="95" spans="1:13">
      <c r="A95" s="21" t="str">
        <f>TEXT(TEXT(B95,"yyyymmdd"),"00000000")&amp;TEXT(COUNTIF($B$2:B95,B95),"00")</f>
        <v>2022081105</v>
      </c>
      <c r="B95" s="21">
        <f t="shared" si="1"/>
        <v>44784</v>
      </c>
      <c r="C95" s="22">
        <v>2022</v>
      </c>
      <c r="D95" s="23">
        <v>8</v>
      </c>
      <c r="E95" s="24">
        <v>11</v>
      </c>
      <c r="F95" s="42" t="s">
        <v>17</v>
      </c>
      <c r="G95" s="42" t="s">
        <v>7</v>
      </c>
      <c r="H95" s="42" t="s">
        <v>138</v>
      </c>
      <c r="I95" s="42" t="s">
        <v>197</v>
      </c>
      <c r="J95" s="10">
        <v>41300</v>
      </c>
      <c r="K95" s="7">
        <v>-41300</v>
      </c>
      <c r="L95" s="1" t="s">
        <v>264</v>
      </c>
      <c r="M95" s="2" t="s">
        <v>265</v>
      </c>
    </row>
    <row r="96" spans="1:13">
      <c r="A96" s="21" t="str">
        <f>TEXT(TEXT(B96,"yyyymmdd"),"00000000")&amp;TEXT(COUNTIF($B$2:B96,B96),"00")</f>
        <v>2022081106</v>
      </c>
      <c r="B96" s="21">
        <f t="shared" si="1"/>
        <v>44784</v>
      </c>
      <c r="C96" s="22">
        <v>2022</v>
      </c>
      <c r="D96" s="23">
        <v>8</v>
      </c>
      <c r="E96" s="24">
        <v>11</v>
      </c>
      <c r="F96" s="42" t="s">
        <v>17</v>
      </c>
      <c r="G96" s="42" t="s">
        <v>11</v>
      </c>
      <c r="H96" s="42" t="s">
        <v>99</v>
      </c>
      <c r="I96" s="42" t="s">
        <v>184</v>
      </c>
      <c r="J96" s="10">
        <v>200000</v>
      </c>
      <c r="K96" s="7">
        <v>-200000</v>
      </c>
      <c r="L96" s="1" t="s">
        <v>185</v>
      </c>
    </row>
    <row r="97" spans="1:13">
      <c r="A97" s="21" t="str">
        <f>TEXT(TEXT(B97,"yyyymmdd"),"00000000")&amp;TEXT(COUNTIF($B$2:B97,B97),"00")</f>
        <v>2022081107</v>
      </c>
      <c r="B97" s="21">
        <f t="shared" si="1"/>
        <v>44784</v>
      </c>
      <c r="C97" s="22">
        <v>2022</v>
      </c>
      <c r="D97" s="23">
        <v>8</v>
      </c>
      <c r="E97" s="24">
        <v>11</v>
      </c>
      <c r="F97" s="42" t="s">
        <v>441</v>
      </c>
      <c r="G97" s="42" t="s">
        <v>11</v>
      </c>
      <c r="H97" s="42" t="s">
        <v>99</v>
      </c>
      <c r="I97" s="42" t="s">
        <v>184</v>
      </c>
      <c r="J97" s="10">
        <v>-200000</v>
      </c>
      <c r="K97" s="7">
        <v>200000</v>
      </c>
      <c r="L97" s="1" t="s">
        <v>185</v>
      </c>
    </row>
    <row r="98" spans="1:13">
      <c r="A98" s="21" t="str">
        <f>TEXT(TEXT(B98,"yyyymmdd"),"00000000")&amp;TEXT(COUNTIF($B$2:B98,B98),"00")</f>
        <v>2022081108</v>
      </c>
      <c r="B98" s="21">
        <f t="shared" si="1"/>
        <v>44784</v>
      </c>
      <c r="C98" s="22">
        <v>2022</v>
      </c>
      <c r="D98" s="23">
        <v>8</v>
      </c>
      <c r="E98" s="24">
        <v>11</v>
      </c>
      <c r="F98" s="42" t="s">
        <v>17</v>
      </c>
      <c r="G98" s="42" t="s">
        <v>170</v>
      </c>
      <c r="H98" s="42" t="s">
        <v>186</v>
      </c>
      <c r="I98" s="42" t="s">
        <v>125</v>
      </c>
      <c r="J98" s="10">
        <v>300</v>
      </c>
      <c r="K98" s="7">
        <v>-300</v>
      </c>
      <c r="L98" s="1" t="s">
        <v>185</v>
      </c>
      <c r="M98" s="2" t="s">
        <v>260</v>
      </c>
    </row>
    <row r="99" spans="1:13">
      <c r="A99" s="21" t="str">
        <f>TEXT(TEXT(B99,"yyyymmdd"),"00000000")&amp;TEXT(COUNTIF($B$2:B99,B99),"00")</f>
        <v>2022081109</v>
      </c>
      <c r="B99" s="21">
        <f t="shared" si="1"/>
        <v>44784</v>
      </c>
      <c r="C99" s="22">
        <v>2022</v>
      </c>
      <c r="D99" s="23">
        <v>8</v>
      </c>
      <c r="E99" s="24">
        <v>11</v>
      </c>
      <c r="F99" s="42" t="s">
        <v>17</v>
      </c>
      <c r="G99" s="42" t="s">
        <v>135</v>
      </c>
      <c r="H99" s="42" t="s">
        <v>135</v>
      </c>
      <c r="I99" s="42" t="s">
        <v>136</v>
      </c>
      <c r="J99" s="10">
        <v>-42000</v>
      </c>
      <c r="K99" s="7">
        <v>42000</v>
      </c>
      <c r="L99" s="1" t="s">
        <v>484</v>
      </c>
    </row>
    <row r="100" spans="1:13">
      <c r="A100" s="21" t="str">
        <f>TEXT(TEXT(B100,"yyyymmdd"),"00000000")&amp;TEXT(COUNTIF($B$2:B100,B100),"00")</f>
        <v>2022081110</v>
      </c>
      <c r="B100" s="21">
        <f t="shared" si="1"/>
        <v>44784</v>
      </c>
      <c r="C100" s="22">
        <v>2022</v>
      </c>
      <c r="D100" s="23">
        <v>8</v>
      </c>
      <c r="E100" s="24">
        <v>11</v>
      </c>
      <c r="F100" s="42" t="s">
        <v>17</v>
      </c>
      <c r="G100" s="42" t="s">
        <v>7</v>
      </c>
      <c r="H100" s="42" t="s">
        <v>173</v>
      </c>
      <c r="I100" s="42" t="s">
        <v>262</v>
      </c>
      <c r="J100" s="10">
        <v>7300</v>
      </c>
      <c r="K100" s="7">
        <v>-7300</v>
      </c>
      <c r="L100" s="1" t="s">
        <v>262</v>
      </c>
      <c r="M100" s="2" t="s">
        <v>263</v>
      </c>
    </row>
    <row r="101" spans="1:13">
      <c r="A101" s="21" t="str">
        <f>TEXT(TEXT(B101,"yyyymmdd"),"00000000")&amp;TEXT(COUNTIF($B$2:B101,B101),"00")</f>
        <v>2022081201</v>
      </c>
      <c r="B101" s="21">
        <f t="shared" si="1"/>
        <v>44785</v>
      </c>
      <c r="C101" s="22">
        <v>2022</v>
      </c>
      <c r="D101" s="23">
        <v>8</v>
      </c>
      <c r="E101" s="24">
        <v>12</v>
      </c>
      <c r="F101" s="42" t="s">
        <v>17</v>
      </c>
      <c r="G101" s="42" t="s">
        <v>7</v>
      </c>
      <c r="H101" s="42" t="s">
        <v>110</v>
      </c>
      <c r="I101" s="42" t="s">
        <v>122</v>
      </c>
      <c r="J101" s="10">
        <v>20000</v>
      </c>
      <c r="K101" s="7">
        <v>-20000</v>
      </c>
      <c r="L101" s="1" t="s">
        <v>272</v>
      </c>
      <c r="M101" s="2" t="s">
        <v>273</v>
      </c>
    </row>
    <row r="102" spans="1:13">
      <c r="A102" s="21" t="str">
        <f>TEXT(TEXT(B102,"yyyymmdd"),"00000000")&amp;TEXT(COUNTIF($B$2:B102,B102),"00")</f>
        <v>2022081202</v>
      </c>
      <c r="B102" s="21">
        <f t="shared" si="1"/>
        <v>44785</v>
      </c>
      <c r="C102" s="22">
        <v>2022</v>
      </c>
      <c r="D102" s="23">
        <v>8</v>
      </c>
      <c r="E102" s="24">
        <v>12</v>
      </c>
      <c r="F102" s="42" t="s">
        <v>17</v>
      </c>
      <c r="G102" s="42" t="s">
        <v>7</v>
      </c>
      <c r="H102" s="42" t="s">
        <v>116</v>
      </c>
      <c r="I102" s="42" t="s">
        <v>217</v>
      </c>
      <c r="J102" s="10">
        <v>1200</v>
      </c>
      <c r="K102" s="7">
        <v>-1200</v>
      </c>
      <c r="L102" s="1" t="s">
        <v>218</v>
      </c>
      <c r="M102" s="2" t="s">
        <v>219</v>
      </c>
    </row>
    <row r="103" spans="1:13">
      <c r="A103" s="21" t="str">
        <f>TEXT(TEXT(B103,"yyyymmdd"),"00000000")&amp;TEXT(COUNTIF($B$2:B103,B103),"00")</f>
        <v>2022081203</v>
      </c>
      <c r="B103" s="21">
        <f t="shared" si="1"/>
        <v>44785</v>
      </c>
      <c r="C103" s="22">
        <v>2022</v>
      </c>
      <c r="D103" s="23">
        <v>8</v>
      </c>
      <c r="E103" s="24">
        <v>12</v>
      </c>
      <c r="F103" s="42" t="s">
        <v>17</v>
      </c>
      <c r="G103" s="42" t="s">
        <v>7</v>
      </c>
      <c r="H103" s="42" t="s">
        <v>167</v>
      </c>
      <c r="I103" s="42" t="s">
        <v>214</v>
      </c>
      <c r="J103" s="10">
        <v>92880</v>
      </c>
      <c r="K103" s="7">
        <v>-92880</v>
      </c>
      <c r="L103" s="1" t="s">
        <v>215</v>
      </c>
      <c r="M103" s="2" t="s">
        <v>268</v>
      </c>
    </row>
    <row r="104" spans="1:13">
      <c r="A104" s="21" t="str">
        <f>TEXT(TEXT(B104,"yyyymmdd"),"00000000")&amp;TEXT(COUNTIF($B$2:B104,B104),"00")</f>
        <v>2022081204</v>
      </c>
      <c r="B104" s="21">
        <f t="shared" si="1"/>
        <v>44785</v>
      </c>
      <c r="C104" s="22">
        <v>2022</v>
      </c>
      <c r="D104" s="23">
        <v>8</v>
      </c>
      <c r="E104" s="24">
        <v>12</v>
      </c>
      <c r="F104" s="42" t="s">
        <v>17</v>
      </c>
      <c r="G104" s="42" t="s">
        <v>7</v>
      </c>
      <c r="H104" s="42" t="s">
        <v>138</v>
      </c>
      <c r="I104" s="42" t="s">
        <v>139</v>
      </c>
      <c r="J104" s="10">
        <v>31400</v>
      </c>
      <c r="K104" s="7">
        <v>-31400</v>
      </c>
      <c r="L104" s="1" t="s">
        <v>270</v>
      </c>
      <c r="M104" s="2" t="s">
        <v>271</v>
      </c>
    </row>
    <row r="105" spans="1:13">
      <c r="A105" s="21" t="str">
        <f>TEXT(TEXT(B105,"yyyymmdd"),"00000000")&amp;TEXT(COUNTIF($B$2:B105,B105),"00")</f>
        <v>2022081205</v>
      </c>
      <c r="B105" s="21">
        <f t="shared" si="1"/>
        <v>44785</v>
      </c>
      <c r="C105" s="22">
        <v>2022</v>
      </c>
      <c r="D105" s="23">
        <v>8</v>
      </c>
      <c r="E105" s="24">
        <v>12</v>
      </c>
      <c r="F105" s="42" t="s">
        <v>17</v>
      </c>
      <c r="G105" s="42" t="s">
        <v>135</v>
      </c>
      <c r="H105" s="42" t="s">
        <v>135</v>
      </c>
      <c r="I105" s="42" t="s">
        <v>136</v>
      </c>
      <c r="J105" s="10">
        <v>-37500</v>
      </c>
      <c r="K105" s="7">
        <v>37500</v>
      </c>
      <c r="L105" s="1" t="s">
        <v>484</v>
      </c>
      <c r="M105" s="2" t="s">
        <v>269</v>
      </c>
    </row>
    <row r="106" spans="1:13">
      <c r="A106" s="21" t="str">
        <f>TEXT(TEXT(B106,"yyyymmdd"),"00000000")&amp;TEXT(COUNTIF($B$2:B106,B106),"00")</f>
        <v>2022081301</v>
      </c>
      <c r="B106" s="21">
        <f t="shared" si="1"/>
        <v>44786</v>
      </c>
      <c r="C106" s="22">
        <v>2022</v>
      </c>
      <c r="D106" s="23">
        <v>8</v>
      </c>
      <c r="E106" s="24">
        <v>13</v>
      </c>
      <c r="F106" s="42" t="s">
        <v>17</v>
      </c>
      <c r="G106" s="42" t="s">
        <v>135</v>
      </c>
      <c r="H106" s="42" t="s">
        <v>135</v>
      </c>
      <c r="I106" s="42" t="s">
        <v>190</v>
      </c>
      <c r="J106" s="10">
        <v>-12377</v>
      </c>
      <c r="K106" s="7">
        <v>12377</v>
      </c>
      <c r="L106" s="1" t="s">
        <v>210</v>
      </c>
      <c r="M106" s="2" t="s">
        <v>274</v>
      </c>
    </row>
    <row r="107" spans="1:13">
      <c r="A107" s="21" t="str">
        <f>TEXT(TEXT(B107,"yyyymmdd"),"00000000")&amp;TEXT(COUNTIF($B$2:B107,B107),"00")</f>
        <v>2022081302</v>
      </c>
      <c r="B107" s="21">
        <f t="shared" si="1"/>
        <v>44786</v>
      </c>
      <c r="C107" s="22">
        <v>2022</v>
      </c>
      <c r="D107" s="23">
        <v>8</v>
      </c>
      <c r="E107" s="24">
        <v>13</v>
      </c>
      <c r="F107" s="42" t="s">
        <v>17</v>
      </c>
      <c r="G107" s="42" t="s">
        <v>7</v>
      </c>
      <c r="H107" s="42" t="s">
        <v>138</v>
      </c>
      <c r="I107" s="42" t="s">
        <v>197</v>
      </c>
      <c r="J107" s="10">
        <v>6250</v>
      </c>
      <c r="K107" s="7">
        <v>-6250</v>
      </c>
      <c r="L107" s="1" t="s">
        <v>275</v>
      </c>
      <c r="M107" s="2" t="s">
        <v>240</v>
      </c>
    </row>
    <row r="108" spans="1:13">
      <c r="A108" s="21" t="str">
        <f>TEXT(TEXT(B108,"yyyymmdd"),"00000000")&amp;TEXT(COUNTIF($B$2:B108,B108),"00")</f>
        <v>2022081601</v>
      </c>
      <c r="B108" s="21">
        <f t="shared" si="1"/>
        <v>44789</v>
      </c>
      <c r="C108" s="22">
        <v>2022</v>
      </c>
      <c r="D108" s="23">
        <v>8</v>
      </c>
      <c r="E108" s="24">
        <v>16</v>
      </c>
      <c r="F108" s="42" t="s">
        <v>17</v>
      </c>
      <c r="G108" s="42" t="s">
        <v>7</v>
      </c>
      <c r="H108" s="42" t="s">
        <v>116</v>
      </c>
      <c r="I108" s="42" t="s">
        <v>217</v>
      </c>
      <c r="J108" s="10">
        <v>2500</v>
      </c>
      <c r="K108" s="7">
        <v>-2500</v>
      </c>
      <c r="L108" s="1" t="s">
        <v>218</v>
      </c>
      <c r="M108" s="2" t="s">
        <v>219</v>
      </c>
    </row>
    <row r="109" spans="1:13">
      <c r="A109" s="21" t="str">
        <f>TEXT(TEXT(B109,"yyyymmdd"),"00000000")&amp;TEXT(COUNTIF($B$2:B109,B109),"00")</f>
        <v>2022081602</v>
      </c>
      <c r="B109" s="21">
        <f t="shared" si="1"/>
        <v>44789</v>
      </c>
      <c r="C109" s="22">
        <v>2022</v>
      </c>
      <c r="D109" s="23">
        <v>8</v>
      </c>
      <c r="E109" s="24">
        <v>16</v>
      </c>
      <c r="F109" s="42" t="s">
        <v>21</v>
      </c>
      <c r="G109" s="42" t="s">
        <v>7</v>
      </c>
      <c r="H109" s="42" t="s">
        <v>186</v>
      </c>
      <c r="I109" s="42" t="s">
        <v>276</v>
      </c>
      <c r="J109" s="10">
        <v>154</v>
      </c>
      <c r="K109" s="7">
        <v>-154</v>
      </c>
      <c r="L109" s="1" t="s">
        <v>277</v>
      </c>
      <c r="M109" s="2" t="s">
        <v>278</v>
      </c>
    </row>
    <row r="110" spans="1:13">
      <c r="A110" s="21" t="str">
        <f>TEXT(TEXT(B110,"yyyymmdd"),"00000000")&amp;TEXT(COUNTIF($B$2:B110,B110),"00")</f>
        <v>2022081801</v>
      </c>
      <c r="B110" s="21">
        <f t="shared" si="1"/>
        <v>44791</v>
      </c>
      <c r="C110" s="22">
        <v>2022</v>
      </c>
      <c r="D110" s="23">
        <v>8</v>
      </c>
      <c r="E110" s="24">
        <v>18</v>
      </c>
      <c r="F110" s="42" t="s">
        <v>17</v>
      </c>
      <c r="G110" s="42" t="s">
        <v>7</v>
      </c>
      <c r="H110" s="42" t="s">
        <v>173</v>
      </c>
      <c r="I110" s="42" t="s">
        <v>207</v>
      </c>
      <c r="J110" s="10">
        <v>2000</v>
      </c>
      <c r="K110" s="7">
        <v>-2000</v>
      </c>
      <c r="L110" s="1" t="s">
        <v>208</v>
      </c>
    </row>
    <row r="111" spans="1:13">
      <c r="A111" s="21" t="str">
        <f>TEXT(TEXT(B111,"yyyymmdd"),"00000000")&amp;TEXT(COUNTIF($B$2:B111,B111),"00")</f>
        <v>2022081802</v>
      </c>
      <c r="B111" s="21">
        <f t="shared" si="1"/>
        <v>44791</v>
      </c>
      <c r="C111" s="22">
        <v>2022</v>
      </c>
      <c r="D111" s="23">
        <v>8</v>
      </c>
      <c r="E111" s="24">
        <v>18</v>
      </c>
      <c r="F111" s="42" t="s">
        <v>17</v>
      </c>
      <c r="G111" s="42" t="s">
        <v>135</v>
      </c>
      <c r="H111" s="42" t="s">
        <v>135</v>
      </c>
      <c r="I111" s="42" t="s">
        <v>136</v>
      </c>
      <c r="J111" s="10">
        <v>-44000</v>
      </c>
      <c r="K111" s="7">
        <v>44000</v>
      </c>
      <c r="L111" s="1" t="s">
        <v>484</v>
      </c>
    </row>
    <row r="112" spans="1:13">
      <c r="A112" s="21" t="str">
        <f>TEXT(TEXT(B112,"yyyymmdd"),"00000000")&amp;TEXT(COUNTIF($B$2:B112,B112),"00")</f>
        <v>2022081803</v>
      </c>
      <c r="B112" s="21">
        <f t="shared" si="1"/>
        <v>44791</v>
      </c>
      <c r="C112" s="22">
        <v>2022</v>
      </c>
      <c r="D112" s="23">
        <v>8</v>
      </c>
      <c r="E112" s="24">
        <v>18</v>
      </c>
      <c r="F112" s="42" t="s">
        <v>17</v>
      </c>
      <c r="G112" s="42" t="s">
        <v>7</v>
      </c>
      <c r="H112" s="42" t="s">
        <v>138</v>
      </c>
      <c r="I112" s="42" t="s">
        <v>139</v>
      </c>
      <c r="J112" s="10">
        <v>38000</v>
      </c>
      <c r="K112" s="7">
        <v>-38000</v>
      </c>
      <c r="L112" s="1" t="s">
        <v>281</v>
      </c>
      <c r="M112" s="2" t="s">
        <v>282</v>
      </c>
    </row>
    <row r="113" spans="1:13">
      <c r="A113" s="21" t="str">
        <f>TEXT(TEXT(B113,"yyyymmdd"),"00000000")&amp;TEXT(COUNTIF($B$2:B113,B113),"00")</f>
        <v>2022081901</v>
      </c>
      <c r="B113" s="21">
        <f t="shared" si="1"/>
        <v>44792</v>
      </c>
      <c r="C113" s="22">
        <v>2022</v>
      </c>
      <c r="D113" s="23">
        <v>8</v>
      </c>
      <c r="E113" s="24">
        <v>19</v>
      </c>
      <c r="F113" s="42" t="s">
        <v>17</v>
      </c>
      <c r="G113" s="42" t="s">
        <v>7</v>
      </c>
      <c r="H113" s="42" t="s">
        <v>110</v>
      </c>
      <c r="I113" s="42" t="s">
        <v>120</v>
      </c>
      <c r="J113" s="10">
        <v>16000</v>
      </c>
      <c r="K113" s="7">
        <v>-16000</v>
      </c>
      <c r="L113" s="1" t="s">
        <v>283</v>
      </c>
      <c r="M113" s="2" t="s">
        <v>284</v>
      </c>
    </row>
    <row r="114" spans="1:13">
      <c r="A114" s="21" t="str">
        <f>TEXT(TEXT(B114,"yyyymmdd"),"00000000")&amp;TEXT(COUNTIF($B$2:B114,B114),"00")</f>
        <v>2022082001</v>
      </c>
      <c r="B114" s="21">
        <f t="shared" si="1"/>
        <v>44793</v>
      </c>
      <c r="C114" s="22">
        <v>2022</v>
      </c>
      <c r="D114" s="23">
        <v>8</v>
      </c>
      <c r="E114" s="24">
        <v>20</v>
      </c>
      <c r="F114" s="42" t="s">
        <v>19</v>
      </c>
      <c r="G114" s="42" t="s">
        <v>135</v>
      </c>
      <c r="H114" s="42" t="s">
        <v>135</v>
      </c>
      <c r="I114" s="42" t="s">
        <v>190</v>
      </c>
      <c r="J114" s="10">
        <v>-5</v>
      </c>
      <c r="K114" s="7">
        <v>5</v>
      </c>
      <c r="L114" s="1" t="s">
        <v>210</v>
      </c>
    </row>
    <row r="115" spans="1:13">
      <c r="A115" s="21" t="str">
        <f>TEXT(TEXT(B115,"yyyymmdd"),"00000000")&amp;TEXT(COUNTIF($B$2:B115,B115),"00")</f>
        <v>2022082101</v>
      </c>
      <c r="B115" s="21">
        <f t="shared" si="1"/>
        <v>44794</v>
      </c>
      <c r="C115" s="22">
        <v>2022</v>
      </c>
      <c r="D115" s="23">
        <v>8</v>
      </c>
      <c r="E115" s="24">
        <v>21</v>
      </c>
      <c r="F115" s="42" t="s">
        <v>17</v>
      </c>
      <c r="G115" s="42" t="s">
        <v>13</v>
      </c>
      <c r="H115" s="42" t="s">
        <v>167</v>
      </c>
      <c r="I115" s="42" t="s">
        <v>214</v>
      </c>
      <c r="J115" s="10">
        <v>24000</v>
      </c>
      <c r="K115" s="7">
        <v>-24000</v>
      </c>
      <c r="L115" s="1" t="s">
        <v>215</v>
      </c>
      <c r="M115" s="2" t="s">
        <v>267</v>
      </c>
    </row>
    <row r="116" spans="1:13">
      <c r="A116" s="21" t="str">
        <f>TEXT(TEXT(B116,"yyyymmdd"),"00000000")&amp;TEXT(COUNTIF($B$2:B116,B116),"00")</f>
        <v>2022082102</v>
      </c>
      <c r="B116" s="21">
        <f t="shared" si="1"/>
        <v>44794</v>
      </c>
      <c r="C116" s="22">
        <v>2022</v>
      </c>
      <c r="D116" s="23">
        <v>8</v>
      </c>
      <c r="E116" s="24">
        <v>21</v>
      </c>
      <c r="F116" s="42" t="s">
        <v>17</v>
      </c>
      <c r="G116" s="42" t="s">
        <v>7</v>
      </c>
      <c r="H116" s="42" t="s">
        <v>138</v>
      </c>
      <c r="I116" s="42" t="s">
        <v>159</v>
      </c>
      <c r="J116" s="10">
        <v>2200</v>
      </c>
      <c r="K116" s="7">
        <v>-2200</v>
      </c>
      <c r="L116" s="1" t="s">
        <v>285</v>
      </c>
      <c r="M116" s="2" t="s">
        <v>240</v>
      </c>
    </row>
    <row r="117" spans="1:13">
      <c r="A117" s="21" t="str">
        <f>TEXT(TEXT(B117,"yyyymmdd"),"00000000")&amp;TEXT(COUNTIF($B$2:B117,B117),"00")</f>
        <v>2022082401</v>
      </c>
      <c r="B117" s="21">
        <f t="shared" si="1"/>
        <v>44797</v>
      </c>
      <c r="C117" s="22">
        <v>2022</v>
      </c>
      <c r="D117" s="23">
        <v>8</v>
      </c>
      <c r="E117" s="24">
        <v>24</v>
      </c>
      <c r="F117" s="42" t="s">
        <v>17</v>
      </c>
      <c r="G117" s="42" t="s">
        <v>13</v>
      </c>
      <c r="H117" s="42" t="s">
        <v>113</v>
      </c>
      <c r="I117" s="42" t="s">
        <v>171</v>
      </c>
      <c r="J117" s="10">
        <v>10000</v>
      </c>
      <c r="K117" s="7">
        <v>-10000</v>
      </c>
      <c r="L117" s="1" t="s">
        <v>255</v>
      </c>
      <c r="M117" s="2" t="s">
        <v>286</v>
      </c>
    </row>
    <row r="118" spans="1:13">
      <c r="A118" s="21" t="str">
        <f>TEXT(TEXT(B118,"yyyymmdd"),"00000000")&amp;TEXT(COUNTIF($B$2:B118,B118),"00")</f>
        <v>2022082501</v>
      </c>
      <c r="B118" s="21">
        <f t="shared" si="1"/>
        <v>44798</v>
      </c>
      <c r="C118" s="22">
        <v>2022</v>
      </c>
      <c r="D118" s="23">
        <v>8</v>
      </c>
      <c r="E118" s="24">
        <v>25</v>
      </c>
      <c r="F118" s="42" t="s">
        <v>17</v>
      </c>
      <c r="G118" s="42" t="s">
        <v>135</v>
      </c>
      <c r="H118" s="42" t="s">
        <v>135</v>
      </c>
      <c r="I118" s="42" t="s">
        <v>136</v>
      </c>
      <c r="J118" s="10">
        <v>-24000</v>
      </c>
      <c r="K118" s="7">
        <v>24000</v>
      </c>
      <c r="L118" s="1" t="s">
        <v>484</v>
      </c>
    </row>
    <row r="119" spans="1:13">
      <c r="A119" s="21" t="str">
        <f>TEXT(TEXT(B119,"yyyymmdd"),"00000000")&amp;TEXT(COUNTIF($B$2:B119,B119),"00")</f>
        <v>2022082502</v>
      </c>
      <c r="B119" s="21">
        <f t="shared" si="1"/>
        <v>44798</v>
      </c>
      <c r="C119" s="22">
        <v>2022</v>
      </c>
      <c r="D119" s="23">
        <v>8</v>
      </c>
      <c r="E119" s="24">
        <v>25</v>
      </c>
      <c r="F119" s="42" t="s">
        <v>17</v>
      </c>
      <c r="G119" s="42" t="s">
        <v>135</v>
      </c>
      <c r="H119" s="42" t="s">
        <v>135</v>
      </c>
      <c r="I119" s="42" t="s">
        <v>136</v>
      </c>
      <c r="J119" s="10">
        <v>-7000</v>
      </c>
      <c r="K119" s="7">
        <v>7000</v>
      </c>
      <c r="L119" s="1" t="s">
        <v>484</v>
      </c>
    </row>
    <row r="120" spans="1:13">
      <c r="A120" s="21" t="str">
        <f>TEXT(TEXT(B120,"yyyymmdd"),"00000000")&amp;TEXT(COUNTIF($B$2:B120,B120),"00")</f>
        <v>2022082503</v>
      </c>
      <c r="B120" s="21">
        <f t="shared" si="1"/>
        <v>44798</v>
      </c>
      <c r="C120" s="22">
        <v>2022</v>
      </c>
      <c r="D120" s="23">
        <v>8</v>
      </c>
      <c r="E120" s="24">
        <v>25</v>
      </c>
      <c r="F120" s="42" t="s">
        <v>17</v>
      </c>
      <c r="G120" s="42" t="s">
        <v>7</v>
      </c>
      <c r="H120" s="42" t="s">
        <v>173</v>
      </c>
      <c r="I120" s="42" t="s">
        <v>279</v>
      </c>
      <c r="J120" s="10">
        <v>400</v>
      </c>
      <c r="K120" s="7">
        <v>-400</v>
      </c>
      <c r="L120" s="1" t="s">
        <v>280</v>
      </c>
      <c r="M120" s="2" t="s">
        <v>287</v>
      </c>
    </row>
    <row r="121" spans="1:13">
      <c r="A121" s="21" t="str">
        <f>TEXT(TEXT(B121,"yyyymmdd"),"00000000")&amp;TEXT(COUNTIF($B$2:B121,B121),"00")</f>
        <v>2022082701</v>
      </c>
      <c r="B121" s="21">
        <f t="shared" si="1"/>
        <v>44800</v>
      </c>
      <c r="C121" s="22">
        <v>2022</v>
      </c>
      <c r="D121" s="23">
        <v>8</v>
      </c>
      <c r="E121" s="24">
        <v>27</v>
      </c>
      <c r="F121" s="42" t="s">
        <v>17</v>
      </c>
      <c r="G121" s="42" t="s">
        <v>7</v>
      </c>
      <c r="H121" s="42" t="s">
        <v>138</v>
      </c>
      <c r="I121" s="42" t="s">
        <v>197</v>
      </c>
      <c r="J121" s="10">
        <v>10000</v>
      </c>
      <c r="K121" s="7">
        <v>-10000</v>
      </c>
      <c r="L121" s="1" t="s">
        <v>288</v>
      </c>
      <c r="M121" s="2" t="s">
        <v>289</v>
      </c>
    </row>
    <row r="122" spans="1:13">
      <c r="A122" s="21" t="str">
        <f>TEXT(TEXT(B122,"yyyymmdd"),"00000000")&amp;TEXT(COUNTIF($B$2:B122,B122),"00")</f>
        <v>2022082702</v>
      </c>
      <c r="B122" s="21">
        <f t="shared" si="1"/>
        <v>44800</v>
      </c>
      <c r="C122" s="22">
        <v>2022</v>
      </c>
      <c r="D122" s="23">
        <v>8</v>
      </c>
      <c r="E122" s="24">
        <v>27</v>
      </c>
      <c r="F122" s="42" t="s">
        <v>19</v>
      </c>
      <c r="G122" s="42" t="s">
        <v>11</v>
      </c>
      <c r="H122" s="42" t="s">
        <v>99</v>
      </c>
      <c r="I122" s="42" t="s">
        <v>11</v>
      </c>
      <c r="J122" s="10">
        <v>33200</v>
      </c>
      <c r="K122" s="7">
        <v>-33200</v>
      </c>
      <c r="L122" s="1" t="s">
        <v>290</v>
      </c>
      <c r="M122" s="2" t="s">
        <v>289</v>
      </c>
    </row>
    <row r="123" spans="1:13">
      <c r="A123" s="21" t="str">
        <f>TEXT(TEXT(B123,"yyyymmdd"),"00000000")&amp;TEXT(COUNTIF($B$2:B123,B123),"00")</f>
        <v>2022082801</v>
      </c>
      <c r="B123" s="21">
        <f t="shared" si="1"/>
        <v>44801</v>
      </c>
      <c r="C123" s="22">
        <v>2022</v>
      </c>
      <c r="D123" s="23">
        <v>8</v>
      </c>
      <c r="E123" s="24">
        <v>28</v>
      </c>
      <c r="F123" s="42" t="s">
        <v>18</v>
      </c>
      <c r="G123" s="42" t="s">
        <v>8</v>
      </c>
      <c r="H123" s="42" t="s">
        <v>110</v>
      </c>
      <c r="I123" s="42" t="s">
        <v>122</v>
      </c>
      <c r="J123" s="10">
        <v>6500</v>
      </c>
      <c r="K123" s="7">
        <v>-6500</v>
      </c>
      <c r="L123" s="1" t="s">
        <v>291</v>
      </c>
    </row>
    <row r="124" spans="1:13">
      <c r="A124" s="21" t="str">
        <f>TEXT(TEXT(B124,"yyyymmdd"),"00000000")&amp;TEXT(COUNTIF($B$2:B124,B124),"00")</f>
        <v>2022082901</v>
      </c>
      <c r="B124" s="21">
        <f t="shared" si="1"/>
        <v>44802</v>
      </c>
      <c r="C124" s="22">
        <v>2022</v>
      </c>
      <c r="D124" s="23">
        <v>8</v>
      </c>
      <c r="E124" s="24">
        <v>29</v>
      </c>
      <c r="F124" s="42" t="s">
        <v>498</v>
      </c>
      <c r="G124" s="42" t="s">
        <v>11</v>
      </c>
      <c r="H124" s="42" t="s">
        <v>99</v>
      </c>
      <c r="I124" s="42" t="s">
        <v>94</v>
      </c>
      <c r="J124" s="10">
        <v>1000000</v>
      </c>
      <c r="K124" s="7">
        <v>-1000000</v>
      </c>
      <c r="L124" s="1" t="s">
        <v>294</v>
      </c>
    </row>
    <row r="125" spans="1:13">
      <c r="A125" s="21" t="str">
        <f>TEXT(TEXT(B125,"yyyymmdd"),"00000000")&amp;TEXT(COUNTIF($B$2:B125,B125),"00")</f>
        <v>2022082902</v>
      </c>
      <c r="B125" s="21">
        <f t="shared" si="1"/>
        <v>44802</v>
      </c>
      <c r="C125" s="22">
        <v>2022</v>
      </c>
      <c r="D125" s="23">
        <v>8</v>
      </c>
      <c r="E125" s="24">
        <v>29</v>
      </c>
      <c r="F125" s="42" t="s">
        <v>18</v>
      </c>
      <c r="G125" s="42" t="s">
        <v>11</v>
      </c>
      <c r="H125" s="42" t="s">
        <v>99</v>
      </c>
      <c r="I125" s="42" t="s">
        <v>94</v>
      </c>
      <c r="J125" s="10">
        <v>-1000000</v>
      </c>
      <c r="K125" s="7">
        <v>1000000</v>
      </c>
      <c r="L125" s="1" t="s">
        <v>294</v>
      </c>
    </row>
    <row r="126" spans="1:13">
      <c r="A126" s="21" t="str">
        <f>TEXT(TEXT(B126,"yyyymmdd"),"00000000")&amp;TEXT(COUNTIF($B$2:B126,B126),"00")</f>
        <v>2022082903</v>
      </c>
      <c r="B126" s="21">
        <f t="shared" si="1"/>
        <v>44802</v>
      </c>
      <c r="C126" s="22">
        <v>2022</v>
      </c>
      <c r="D126" s="23">
        <v>8</v>
      </c>
      <c r="E126" s="24">
        <v>29</v>
      </c>
      <c r="F126" s="42" t="s">
        <v>18</v>
      </c>
      <c r="G126" s="42" t="s">
        <v>7</v>
      </c>
      <c r="H126" s="42" t="s">
        <v>167</v>
      </c>
      <c r="I126" s="42" t="s">
        <v>168</v>
      </c>
      <c r="J126" s="10">
        <v>9000</v>
      </c>
      <c r="K126" s="7">
        <v>-9000</v>
      </c>
      <c r="L126" s="1" t="s">
        <v>332</v>
      </c>
      <c r="M126" s="2" t="s">
        <v>296</v>
      </c>
    </row>
    <row r="127" spans="1:13">
      <c r="A127" s="21" t="str">
        <f>TEXT(TEXT(B127,"yyyymmdd"),"00000000")&amp;TEXT(COUNTIF($B$2:B127,B127),"00")</f>
        <v>2022082904</v>
      </c>
      <c r="B127" s="21">
        <f t="shared" si="1"/>
        <v>44802</v>
      </c>
      <c r="C127" s="22">
        <v>2022</v>
      </c>
      <c r="D127" s="23">
        <v>8</v>
      </c>
      <c r="E127" s="24">
        <v>29</v>
      </c>
      <c r="F127" s="42" t="s">
        <v>18</v>
      </c>
      <c r="G127" s="42" t="s">
        <v>8</v>
      </c>
      <c r="H127" s="42" t="s">
        <v>155</v>
      </c>
      <c r="I127" s="42" t="s">
        <v>221</v>
      </c>
      <c r="J127" s="10">
        <v>1694460</v>
      </c>
      <c r="K127" s="7">
        <v>-1694460</v>
      </c>
      <c r="L127" s="1" t="s">
        <v>292</v>
      </c>
      <c r="M127" s="2" t="s">
        <v>293</v>
      </c>
    </row>
    <row r="128" spans="1:13">
      <c r="A128" s="21" t="str">
        <f>TEXT(TEXT(B128,"yyyymmdd"),"00000000")&amp;TEXT(COUNTIF($B$2:B128,B128),"00")</f>
        <v>2022082905</v>
      </c>
      <c r="B128" s="21">
        <f t="shared" si="1"/>
        <v>44802</v>
      </c>
      <c r="C128" s="22">
        <v>2022</v>
      </c>
      <c r="D128" s="23">
        <v>8</v>
      </c>
      <c r="E128" s="24">
        <v>29</v>
      </c>
      <c r="F128" s="42" t="s">
        <v>18</v>
      </c>
      <c r="G128" s="42" t="s">
        <v>7</v>
      </c>
      <c r="H128" s="42" t="s">
        <v>32</v>
      </c>
      <c r="I128" s="42" t="s">
        <v>141</v>
      </c>
      <c r="J128" s="10">
        <v>3200</v>
      </c>
      <c r="K128" s="7">
        <v>-3200</v>
      </c>
      <c r="L128" s="1" t="s">
        <v>297</v>
      </c>
    </row>
    <row r="129" spans="1:13">
      <c r="A129" s="21" t="str">
        <f>TEXT(TEXT(B129,"yyyymmdd"),"00000000")&amp;TEXT(COUNTIF($B$2:B129,B129),"00")</f>
        <v>2022083001</v>
      </c>
      <c r="B129" s="21">
        <f t="shared" si="1"/>
        <v>44803</v>
      </c>
      <c r="C129" s="22">
        <v>2022</v>
      </c>
      <c r="D129" s="23">
        <v>8</v>
      </c>
      <c r="E129" s="24">
        <v>30</v>
      </c>
      <c r="F129" s="42" t="s">
        <v>18</v>
      </c>
      <c r="G129" s="42" t="s">
        <v>7</v>
      </c>
      <c r="H129" s="42" t="s">
        <v>138</v>
      </c>
      <c r="I129" s="42" t="s">
        <v>139</v>
      </c>
      <c r="J129" s="10">
        <v>50900</v>
      </c>
      <c r="K129" s="7">
        <v>-50900</v>
      </c>
      <c r="L129" s="1" t="s">
        <v>298</v>
      </c>
      <c r="M129" s="2" t="s">
        <v>299</v>
      </c>
    </row>
    <row r="130" spans="1:13">
      <c r="A130" s="21" t="str">
        <f>TEXT(TEXT(B130,"yyyymmdd"),"00000000")&amp;TEXT(COUNTIF($B$2:B130,B130),"00")</f>
        <v>2022083101</v>
      </c>
      <c r="B130" s="21">
        <f t="shared" ref="B130:B193" si="2">DATE(C130,D130,E130)</f>
        <v>44804</v>
      </c>
      <c r="C130" s="22">
        <v>2022</v>
      </c>
      <c r="D130" s="23">
        <v>8</v>
      </c>
      <c r="E130" s="24">
        <v>31</v>
      </c>
      <c r="F130" s="42" t="s">
        <v>18</v>
      </c>
      <c r="G130" s="42" t="s">
        <v>7</v>
      </c>
      <c r="H130" s="42" t="s">
        <v>155</v>
      </c>
      <c r="I130" s="42" t="s">
        <v>221</v>
      </c>
      <c r="J130" s="10">
        <v>45870</v>
      </c>
      <c r="K130" s="7">
        <v>-45870</v>
      </c>
      <c r="L130" s="1" t="s">
        <v>301</v>
      </c>
      <c r="M130" s="2" t="s">
        <v>302</v>
      </c>
    </row>
    <row r="131" spans="1:13">
      <c r="A131" s="21" t="str">
        <f>TEXT(TEXT(B131,"yyyymmdd"),"00000000")&amp;TEXT(COUNTIF($B$2:B131,B131),"00")</f>
        <v>2022083102</v>
      </c>
      <c r="B131" s="21">
        <f t="shared" si="2"/>
        <v>44804</v>
      </c>
      <c r="C131" s="22">
        <v>2022</v>
      </c>
      <c r="D131" s="23">
        <v>8</v>
      </c>
      <c r="E131" s="24">
        <v>31</v>
      </c>
      <c r="F131" s="42" t="s">
        <v>18</v>
      </c>
      <c r="G131" s="42" t="s">
        <v>13</v>
      </c>
      <c r="H131" s="42" t="s">
        <v>138</v>
      </c>
      <c r="I131" s="42" t="s">
        <v>139</v>
      </c>
      <c r="J131" s="10">
        <v>8600</v>
      </c>
      <c r="K131" s="7">
        <v>-8600</v>
      </c>
      <c r="L131" s="1" t="s">
        <v>300</v>
      </c>
      <c r="M131" s="2" t="s">
        <v>522</v>
      </c>
    </row>
    <row r="132" spans="1:13">
      <c r="A132" s="21" t="str">
        <f>TEXT(TEXT(B132,"yyyymmdd"),"00000000")&amp;TEXT(COUNTIF($B$2:B132,B132),"00")</f>
        <v>2022083103</v>
      </c>
      <c r="B132" s="21">
        <f t="shared" si="2"/>
        <v>44804</v>
      </c>
      <c r="C132" s="22">
        <v>2022</v>
      </c>
      <c r="D132" s="23">
        <v>8</v>
      </c>
      <c r="E132" s="24">
        <v>31</v>
      </c>
      <c r="F132" s="42" t="s">
        <v>18</v>
      </c>
      <c r="G132" s="42" t="s">
        <v>170</v>
      </c>
      <c r="H132" s="42" t="s">
        <v>155</v>
      </c>
      <c r="I132" s="42" t="s">
        <v>156</v>
      </c>
      <c r="J132" s="10">
        <v>1177</v>
      </c>
      <c r="K132" s="7">
        <v>-1177</v>
      </c>
      <c r="L132" s="1" t="s">
        <v>303</v>
      </c>
    </row>
    <row r="133" spans="1:13">
      <c r="A133" s="21" t="str">
        <f>TEXT(TEXT(B133,"yyyymmdd"),"00000000")&amp;TEXT(COUNTIF($B$2:B133,B133),"00")</f>
        <v>2022090101</v>
      </c>
      <c r="B133" s="21">
        <f t="shared" si="2"/>
        <v>44805</v>
      </c>
      <c r="C133" s="22">
        <v>2022</v>
      </c>
      <c r="D133" s="23">
        <v>9</v>
      </c>
      <c r="E133" s="24">
        <v>1</v>
      </c>
      <c r="F133" s="42" t="s">
        <v>18</v>
      </c>
      <c r="G133" s="42" t="s">
        <v>135</v>
      </c>
      <c r="H133" s="42" t="s">
        <v>135</v>
      </c>
      <c r="I133" s="42" t="s">
        <v>190</v>
      </c>
      <c r="J133" s="10">
        <v>-1946</v>
      </c>
      <c r="K133" s="7">
        <v>1946</v>
      </c>
      <c r="L133" s="1" t="s">
        <v>304</v>
      </c>
    </row>
    <row r="134" spans="1:13">
      <c r="A134" s="21" t="str">
        <f>TEXT(TEXT(B134,"yyyymmdd"),"00000000")&amp;TEXT(COUNTIF($B$2:B134,B134),"00")</f>
        <v>2022090102</v>
      </c>
      <c r="B134" s="21">
        <f t="shared" si="2"/>
        <v>44805</v>
      </c>
      <c r="C134" s="22">
        <v>2022</v>
      </c>
      <c r="D134" s="23">
        <v>9</v>
      </c>
      <c r="E134" s="24">
        <v>1</v>
      </c>
      <c r="F134" s="42" t="s">
        <v>21</v>
      </c>
      <c r="G134" s="42" t="s">
        <v>135</v>
      </c>
      <c r="H134" s="42" t="s">
        <v>135</v>
      </c>
      <c r="I134" s="42" t="s">
        <v>190</v>
      </c>
      <c r="J134" s="10">
        <v>-2</v>
      </c>
      <c r="K134" s="7">
        <v>2</v>
      </c>
      <c r="L134" s="1" t="s">
        <v>326</v>
      </c>
    </row>
    <row r="135" spans="1:13">
      <c r="A135" s="21" t="str">
        <f>TEXT(TEXT(B135,"yyyymmdd"),"00000000")&amp;TEXT(COUNTIF($B$2:B135,B135),"00")</f>
        <v>2022090103</v>
      </c>
      <c r="B135" s="21">
        <f t="shared" si="2"/>
        <v>44805</v>
      </c>
      <c r="C135" s="22">
        <v>2022</v>
      </c>
      <c r="D135" s="23">
        <v>9</v>
      </c>
      <c r="E135" s="24">
        <v>1</v>
      </c>
      <c r="F135" s="42" t="s">
        <v>18</v>
      </c>
      <c r="G135" s="42" t="s">
        <v>8</v>
      </c>
      <c r="H135" s="42" t="s">
        <v>116</v>
      </c>
      <c r="I135" s="42" t="s">
        <v>225</v>
      </c>
      <c r="J135" s="10">
        <v>40000</v>
      </c>
      <c r="K135" s="7">
        <v>-40000</v>
      </c>
      <c r="L135" s="1" t="s">
        <v>379</v>
      </c>
      <c r="M135" s="2" t="s">
        <v>381</v>
      </c>
    </row>
    <row r="136" spans="1:13">
      <c r="A136" s="21" t="str">
        <f>TEXT(TEXT(B136,"yyyymmdd"),"00000000")&amp;TEXT(COUNTIF($B$2:B136,B136),"00")</f>
        <v>2022090201</v>
      </c>
      <c r="B136" s="21">
        <f t="shared" si="2"/>
        <v>44806</v>
      </c>
      <c r="C136" s="22">
        <v>2022</v>
      </c>
      <c r="D136" s="23">
        <v>9</v>
      </c>
      <c r="E136" s="24">
        <v>2</v>
      </c>
      <c r="F136" s="42" t="s">
        <v>18</v>
      </c>
      <c r="G136" s="42" t="s">
        <v>14</v>
      </c>
      <c r="H136" s="42" t="s">
        <v>173</v>
      </c>
      <c r="I136" s="42" t="s">
        <v>279</v>
      </c>
      <c r="J136" s="10">
        <v>19100</v>
      </c>
      <c r="K136" s="7">
        <v>-19100</v>
      </c>
      <c r="L136" s="1" t="s">
        <v>307</v>
      </c>
      <c r="M136" s="2" t="s">
        <v>308</v>
      </c>
    </row>
    <row r="137" spans="1:13">
      <c r="A137" s="21" t="str">
        <f>TEXT(TEXT(B137,"yyyymmdd"),"00000000")&amp;TEXT(COUNTIF($B$2:B137,B137),"00")</f>
        <v>2022090301</v>
      </c>
      <c r="B137" s="21">
        <f t="shared" si="2"/>
        <v>44807</v>
      </c>
      <c r="C137" s="22">
        <v>2022</v>
      </c>
      <c r="D137" s="23">
        <v>9</v>
      </c>
      <c r="E137" s="24">
        <v>3</v>
      </c>
      <c r="F137" s="42" t="s">
        <v>18</v>
      </c>
      <c r="G137" s="42" t="s">
        <v>8</v>
      </c>
      <c r="H137" s="42" t="s">
        <v>173</v>
      </c>
      <c r="I137" s="42" t="s">
        <v>174</v>
      </c>
      <c r="J137" s="10">
        <v>1600</v>
      </c>
      <c r="K137" s="7">
        <v>-1600</v>
      </c>
      <c r="L137" s="1" t="s">
        <v>311</v>
      </c>
    </row>
    <row r="138" spans="1:13">
      <c r="A138" s="21" t="str">
        <f>TEXT(TEXT(B138,"yyyymmdd"),"00000000")&amp;TEXT(COUNTIF($B$2:B138,B138),"00")</f>
        <v>2022090302</v>
      </c>
      <c r="B138" s="21">
        <f t="shared" si="2"/>
        <v>44807</v>
      </c>
      <c r="C138" s="22">
        <v>2022</v>
      </c>
      <c r="D138" s="23">
        <v>9</v>
      </c>
      <c r="E138" s="24">
        <v>3</v>
      </c>
      <c r="F138" s="42" t="s">
        <v>18</v>
      </c>
      <c r="G138" s="42" t="s">
        <v>8</v>
      </c>
      <c r="H138" s="42" t="s">
        <v>110</v>
      </c>
      <c r="I138" s="42" t="s">
        <v>120</v>
      </c>
      <c r="J138" s="10">
        <v>6000</v>
      </c>
      <c r="K138" s="7">
        <v>-6000</v>
      </c>
      <c r="L138" s="1" t="s">
        <v>309</v>
      </c>
      <c r="M138" s="2" t="s">
        <v>310</v>
      </c>
    </row>
    <row r="139" spans="1:13">
      <c r="A139" s="21" t="str">
        <f>TEXT(TEXT(B139,"yyyymmdd"),"00000000")&amp;TEXT(COUNTIF($B$2:B139,B139),"00")</f>
        <v>2022090303</v>
      </c>
      <c r="B139" s="21">
        <f t="shared" si="2"/>
        <v>44807</v>
      </c>
      <c r="C139" s="22">
        <v>2022</v>
      </c>
      <c r="D139" s="23">
        <v>9</v>
      </c>
      <c r="E139" s="24">
        <v>3</v>
      </c>
      <c r="F139" s="42" t="s">
        <v>18</v>
      </c>
      <c r="G139" s="42" t="s">
        <v>8</v>
      </c>
      <c r="H139" s="42" t="s">
        <v>167</v>
      </c>
      <c r="I139" s="42" t="s">
        <v>129</v>
      </c>
      <c r="J139" s="10">
        <v>22015</v>
      </c>
      <c r="K139" s="7">
        <v>-22015</v>
      </c>
      <c r="L139" s="1" t="s">
        <v>312</v>
      </c>
    </row>
    <row r="140" spans="1:13">
      <c r="A140" s="21" t="str">
        <f>TEXT(TEXT(B140,"yyyymmdd"),"00000000")&amp;TEXT(COUNTIF($B$2:B140,B140),"00")</f>
        <v>2022090501</v>
      </c>
      <c r="B140" s="21">
        <f t="shared" si="2"/>
        <v>44809</v>
      </c>
      <c r="C140" s="22">
        <v>2022</v>
      </c>
      <c r="D140" s="23">
        <v>9</v>
      </c>
      <c r="E140" s="24">
        <v>5</v>
      </c>
      <c r="F140" s="42" t="s">
        <v>18</v>
      </c>
      <c r="G140" s="42" t="s">
        <v>7</v>
      </c>
      <c r="H140" s="42" t="s">
        <v>173</v>
      </c>
      <c r="I140" s="42" t="s">
        <v>207</v>
      </c>
      <c r="J140" s="10">
        <v>1160</v>
      </c>
      <c r="K140" s="7">
        <v>-1160</v>
      </c>
      <c r="L140" s="1" t="s">
        <v>313</v>
      </c>
    </row>
    <row r="141" spans="1:13">
      <c r="A141" s="21" t="str">
        <f>TEXT(TEXT(B141,"yyyymmdd"),"00000000")&amp;TEXT(COUNTIF($B$2:B141,B141),"00")</f>
        <v>2022090701</v>
      </c>
      <c r="B141" s="21">
        <f t="shared" si="2"/>
        <v>44811</v>
      </c>
      <c r="C141" s="22">
        <v>2022</v>
      </c>
      <c r="D141" s="23">
        <v>9</v>
      </c>
      <c r="E141" s="24">
        <v>7</v>
      </c>
      <c r="F141" s="42" t="s">
        <v>17</v>
      </c>
      <c r="G141" s="42" t="s">
        <v>7</v>
      </c>
      <c r="H141" s="42" t="s">
        <v>167</v>
      </c>
      <c r="I141" s="42" t="s">
        <v>168</v>
      </c>
      <c r="J141" s="10">
        <v>11000</v>
      </c>
      <c r="K141" s="7">
        <v>-11000</v>
      </c>
      <c r="L141" s="1" t="s">
        <v>332</v>
      </c>
    </row>
    <row r="142" spans="1:13">
      <c r="A142" s="21" t="str">
        <f>TEXT(TEXT(B142,"yyyymmdd"),"00000000")&amp;TEXT(COUNTIF($B$2:B142,B142),"00")</f>
        <v>2022090702</v>
      </c>
      <c r="B142" s="21">
        <f t="shared" si="2"/>
        <v>44811</v>
      </c>
      <c r="C142" s="22">
        <v>2022</v>
      </c>
      <c r="D142" s="23">
        <v>9</v>
      </c>
      <c r="E142" s="24">
        <v>7</v>
      </c>
      <c r="F142" s="42" t="s">
        <v>17</v>
      </c>
      <c r="G142" s="42" t="s">
        <v>135</v>
      </c>
      <c r="H142" s="42" t="s">
        <v>135</v>
      </c>
      <c r="I142" s="42" t="s">
        <v>152</v>
      </c>
      <c r="J142" s="10">
        <v>-6500</v>
      </c>
      <c r="K142" s="7">
        <v>6500</v>
      </c>
      <c r="L142" s="1" t="s">
        <v>305</v>
      </c>
      <c r="M142" s="2" t="s">
        <v>306</v>
      </c>
    </row>
    <row r="143" spans="1:13">
      <c r="A143" s="21" t="str">
        <f>TEXT(TEXT(B143,"yyyymmdd"),"00000000")&amp;TEXT(COUNTIF($B$2:B143,B143),"00")</f>
        <v>2022090703</v>
      </c>
      <c r="B143" s="21">
        <f t="shared" si="2"/>
        <v>44811</v>
      </c>
      <c r="C143" s="22">
        <v>2022</v>
      </c>
      <c r="D143" s="23">
        <v>9</v>
      </c>
      <c r="E143" s="24">
        <v>7</v>
      </c>
      <c r="F143" s="42" t="s">
        <v>17</v>
      </c>
      <c r="G143" s="42" t="s">
        <v>7</v>
      </c>
      <c r="H143" s="42" t="s">
        <v>110</v>
      </c>
      <c r="I143" s="42" t="s">
        <v>122</v>
      </c>
      <c r="J143" s="10">
        <v>29400</v>
      </c>
      <c r="K143" s="7">
        <v>-29400</v>
      </c>
      <c r="L143" s="1" t="s">
        <v>316</v>
      </c>
      <c r="M143" s="2" t="s">
        <v>317</v>
      </c>
    </row>
    <row r="144" spans="1:13">
      <c r="A144" s="21" t="str">
        <f>TEXT(TEXT(B144,"yyyymmdd"),"00000000")&amp;TEXT(COUNTIF($B$2:B144,B144),"00")</f>
        <v>2022090704</v>
      </c>
      <c r="B144" s="21">
        <f t="shared" si="2"/>
        <v>44811</v>
      </c>
      <c r="C144" s="22">
        <v>2022</v>
      </c>
      <c r="D144" s="23">
        <v>9</v>
      </c>
      <c r="E144" s="24">
        <v>7</v>
      </c>
      <c r="F144" s="42" t="s">
        <v>17</v>
      </c>
      <c r="G144" s="42" t="s">
        <v>135</v>
      </c>
      <c r="H144" s="42" t="s">
        <v>135</v>
      </c>
      <c r="I144" s="42" t="s">
        <v>143</v>
      </c>
      <c r="J144" s="10">
        <v>-10000</v>
      </c>
      <c r="K144" s="7">
        <v>10000</v>
      </c>
      <c r="L144" s="1" t="s">
        <v>314</v>
      </c>
    </row>
    <row r="145" spans="1:13">
      <c r="A145" s="21" t="str">
        <f>TEXT(TEXT(B145,"yyyymmdd"),"00000000")&amp;TEXT(COUNTIF($B$2:B145,B145),"00")</f>
        <v>2022090705</v>
      </c>
      <c r="B145" s="21">
        <f t="shared" si="2"/>
        <v>44811</v>
      </c>
      <c r="C145" s="22">
        <v>2022</v>
      </c>
      <c r="D145" s="23">
        <v>9</v>
      </c>
      <c r="E145" s="24">
        <v>7</v>
      </c>
      <c r="F145" s="42" t="s">
        <v>17</v>
      </c>
      <c r="G145" s="42" t="s">
        <v>7</v>
      </c>
      <c r="H145" s="42" t="s">
        <v>173</v>
      </c>
      <c r="I145" s="42" t="s">
        <v>262</v>
      </c>
      <c r="J145" s="10">
        <v>7200</v>
      </c>
      <c r="K145" s="7">
        <v>-7200</v>
      </c>
      <c r="L145" s="1" t="s">
        <v>55</v>
      </c>
      <c r="M145" s="2" t="s">
        <v>315</v>
      </c>
    </row>
    <row r="146" spans="1:13">
      <c r="A146" s="21" t="str">
        <f>TEXT(TEXT(B146,"yyyymmdd"),"00000000")&amp;TEXT(COUNTIF($B$2:B146,B146),"00")</f>
        <v>2022090801</v>
      </c>
      <c r="B146" s="21">
        <f t="shared" si="2"/>
        <v>44812</v>
      </c>
      <c r="C146" s="22">
        <v>2022</v>
      </c>
      <c r="D146" s="23">
        <v>9</v>
      </c>
      <c r="E146" s="24">
        <v>8</v>
      </c>
      <c r="F146" s="42" t="s">
        <v>17</v>
      </c>
      <c r="G146" s="42" t="s">
        <v>7</v>
      </c>
      <c r="H146" s="42" t="s">
        <v>116</v>
      </c>
      <c r="I146" s="42" t="s">
        <v>217</v>
      </c>
      <c r="J146" s="10">
        <v>4900</v>
      </c>
      <c r="K146" s="7">
        <v>-4900</v>
      </c>
      <c r="L146" s="1" t="s">
        <v>325</v>
      </c>
    </row>
    <row r="147" spans="1:13">
      <c r="A147" s="21" t="str">
        <f>TEXT(TEXT(B147,"yyyymmdd"),"00000000")&amp;TEXT(COUNTIF($B$2:B147,B147),"00")</f>
        <v>2022090802</v>
      </c>
      <c r="B147" s="21">
        <f t="shared" si="2"/>
        <v>44812</v>
      </c>
      <c r="C147" s="22">
        <v>2022</v>
      </c>
      <c r="D147" s="23">
        <v>9</v>
      </c>
      <c r="E147" s="24">
        <v>8</v>
      </c>
      <c r="F147" s="42" t="s">
        <v>17</v>
      </c>
      <c r="G147" s="42" t="s">
        <v>151</v>
      </c>
      <c r="H147" s="42" t="s">
        <v>151</v>
      </c>
      <c r="I147" s="42" t="s">
        <v>177</v>
      </c>
      <c r="J147" s="10">
        <v>-700400</v>
      </c>
      <c r="K147" s="7">
        <v>700400</v>
      </c>
      <c r="L147" s="1" t="s">
        <v>320</v>
      </c>
    </row>
    <row r="148" spans="1:13">
      <c r="A148" s="21" t="str">
        <f>TEXT(TEXT(B148,"yyyymmdd"),"00000000")&amp;TEXT(COUNTIF($B$2:B148,B148),"00")</f>
        <v>2022090803</v>
      </c>
      <c r="B148" s="21">
        <f t="shared" si="2"/>
        <v>44812</v>
      </c>
      <c r="C148" s="22">
        <v>2022</v>
      </c>
      <c r="D148" s="23">
        <v>9</v>
      </c>
      <c r="E148" s="24">
        <v>8</v>
      </c>
      <c r="F148" s="42" t="s">
        <v>17</v>
      </c>
      <c r="G148" s="42" t="s">
        <v>7</v>
      </c>
      <c r="H148" s="42" t="s">
        <v>138</v>
      </c>
      <c r="I148" s="42" t="s">
        <v>139</v>
      </c>
      <c r="J148" s="10">
        <v>16000</v>
      </c>
      <c r="K148" s="7">
        <v>-16000</v>
      </c>
      <c r="L148" s="1" t="s">
        <v>518</v>
      </c>
      <c r="M148" s="2" t="s">
        <v>519</v>
      </c>
    </row>
    <row r="149" spans="1:13">
      <c r="A149" s="21" t="str">
        <f>TEXT(TEXT(B149,"yyyymmdd"),"00000000")&amp;TEXT(COUNTIF($B$2:B149,B149),"00")</f>
        <v>2022090804</v>
      </c>
      <c r="B149" s="21">
        <f t="shared" si="2"/>
        <v>44812</v>
      </c>
      <c r="C149" s="22">
        <v>2022</v>
      </c>
      <c r="D149" s="23">
        <v>9</v>
      </c>
      <c r="E149" s="24">
        <v>8</v>
      </c>
      <c r="F149" s="42" t="s">
        <v>17</v>
      </c>
      <c r="G149" s="42" t="s">
        <v>13</v>
      </c>
      <c r="H149" s="42" t="s">
        <v>138</v>
      </c>
      <c r="I149" s="42" t="s">
        <v>139</v>
      </c>
      <c r="J149" s="10">
        <v>8000</v>
      </c>
      <c r="K149" s="7">
        <v>-8000</v>
      </c>
      <c r="L149" s="1" t="s">
        <v>318</v>
      </c>
      <c r="M149" s="2" t="s">
        <v>319</v>
      </c>
    </row>
    <row r="150" spans="1:13">
      <c r="A150" s="21" t="str">
        <f>TEXT(TEXT(B150,"yyyymmdd"),"00000000")&amp;TEXT(COUNTIF($B$2:B150,B150),"00")</f>
        <v>2022090805</v>
      </c>
      <c r="B150" s="21">
        <f t="shared" si="2"/>
        <v>44812</v>
      </c>
      <c r="C150" s="22">
        <v>2022</v>
      </c>
      <c r="D150" s="23">
        <v>9</v>
      </c>
      <c r="E150" s="24">
        <v>8</v>
      </c>
      <c r="F150" s="42" t="s">
        <v>17</v>
      </c>
      <c r="G150" s="42" t="s">
        <v>7</v>
      </c>
      <c r="H150" s="42" t="s">
        <v>110</v>
      </c>
      <c r="I150" s="42" t="s">
        <v>120</v>
      </c>
      <c r="J150" s="10">
        <v>8800</v>
      </c>
      <c r="K150" s="7">
        <v>-8800</v>
      </c>
      <c r="L150" s="1" t="s">
        <v>323</v>
      </c>
      <c r="M150" s="2" t="s">
        <v>324</v>
      </c>
    </row>
    <row r="151" spans="1:13">
      <c r="A151" s="21" t="str">
        <f>TEXT(TEXT(B151,"yyyymmdd"),"00000000")&amp;TEXT(COUNTIF($B$2:B151,B151),"00")</f>
        <v>2022090806</v>
      </c>
      <c r="B151" s="21">
        <f t="shared" si="2"/>
        <v>44812</v>
      </c>
      <c r="C151" s="22">
        <v>2022</v>
      </c>
      <c r="D151" s="23">
        <v>9</v>
      </c>
      <c r="E151" s="24">
        <v>8</v>
      </c>
      <c r="F151" s="42" t="s">
        <v>17</v>
      </c>
      <c r="G151" s="42" t="s">
        <v>7</v>
      </c>
      <c r="H151" s="42" t="s">
        <v>116</v>
      </c>
      <c r="I151" s="42" t="s">
        <v>225</v>
      </c>
      <c r="J151" s="10">
        <v>22500</v>
      </c>
      <c r="K151" s="7">
        <v>-22500</v>
      </c>
      <c r="L151" s="1" t="s">
        <v>321</v>
      </c>
      <c r="M151" s="2" t="s">
        <v>322</v>
      </c>
    </row>
    <row r="152" spans="1:13">
      <c r="A152" s="21" t="str">
        <f>TEXT(TEXT(B152,"yyyymmdd"),"00000000")&amp;TEXT(COUNTIF($B$2:B152,B152),"00")</f>
        <v>2022091101</v>
      </c>
      <c r="B152" s="21">
        <f t="shared" si="2"/>
        <v>44815</v>
      </c>
      <c r="C152" s="22">
        <v>2022</v>
      </c>
      <c r="D152" s="23">
        <v>9</v>
      </c>
      <c r="E152" s="24">
        <v>11</v>
      </c>
      <c r="F152" s="42" t="s">
        <v>17</v>
      </c>
      <c r="G152" s="42" t="s">
        <v>7</v>
      </c>
      <c r="H152" s="42" t="s">
        <v>119</v>
      </c>
      <c r="I152" s="42" t="s">
        <v>180</v>
      </c>
      <c r="J152" s="10">
        <v>200000</v>
      </c>
      <c r="K152" s="7">
        <v>-200000</v>
      </c>
      <c r="L152" s="1" t="s">
        <v>328</v>
      </c>
      <c r="M152" s="2" t="s">
        <v>329</v>
      </c>
    </row>
    <row r="153" spans="1:13">
      <c r="A153" s="21" t="str">
        <f>TEXT(TEXT(B153,"yyyymmdd"),"00000000")&amp;TEXT(COUNTIF($B$2:B153,B153),"00")</f>
        <v>2022091301</v>
      </c>
      <c r="B153" s="21">
        <f t="shared" si="2"/>
        <v>44817</v>
      </c>
      <c r="C153" s="22">
        <v>2022</v>
      </c>
      <c r="D153" s="23">
        <v>9</v>
      </c>
      <c r="E153" s="24">
        <v>13</v>
      </c>
      <c r="F153" s="42" t="s">
        <v>17</v>
      </c>
      <c r="G153" s="42" t="s">
        <v>7</v>
      </c>
      <c r="H153" s="42" t="s">
        <v>173</v>
      </c>
      <c r="I153" s="42" t="s">
        <v>207</v>
      </c>
      <c r="J153" s="10">
        <v>400</v>
      </c>
      <c r="K153" s="7">
        <v>-400</v>
      </c>
      <c r="L153" s="1" t="s">
        <v>313</v>
      </c>
    </row>
    <row r="154" spans="1:13">
      <c r="A154" s="21" t="str">
        <f>TEXT(TEXT(B154,"yyyymmdd"),"00000000")&amp;TEXT(COUNTIF($B$2:B154,B154),"00")</f>
        <v>2022091302</v>
      </c>
      <c r="B154" s="21">
        <f t="shared" si="2"/>
        <v>44817</v>
      </c>
      <c r="C154" s="22">
        <v>2022</v>
      </c>
      <c r="D154" s="23">
        <v>9</v>
      </c>
      <c r="E154" s="24">
        <v>13</v>
      </c>
      <c r="F154" s="42" t="s">
        <v>17</v>
      </c>
      <c r="G154" s="42" t="s">
        <v>11</v>
      </c>
      <c r="H154" s="42" t="s">
        <v>99</v>
      </c>
      <c r="I154" s="42" t="s">
        <v>184</v>
      </c>
      <c r="J154" s="10">
        <v>200000</v>
      </c>
      <c r="K154" s="7">
        <v>-200000</v>
      </c>
      <c r="L154" s="1" t="s">
        <v>189</v>
      </c>
    </row>
    <row r="155" spans="1:13">
      <c r="A155" s="21" t="str">
        <f>TEXT(TEXT(B155,"yyyymmdd"),"00000000")&amp;TEXT(COUNTIF($B$2:B155,B155),"00")</f>
        <v>2022091303</v>
      </c>
      <c r="B155" s="21">
        <f t="shared" si="2"/>
        <v>44817</v>
      </c>
      <c r="C155" s="22">
        <v>2022</v>
      </c>
      <c r="D155" s="23">
        <v>9</v>
      </c>
      <c r="E155" s="24">
        <v>13</v>
      </c>
      <c r="F155" s="42" t="s">
        <v>440</v>
      </c>
      <c r="G155" s="42" t="s">
        <v>11</v>
      </c>
      <c r="H155" s="42" t="s">
        <v>99</v>
      </c>
      <c r="I155" s="42" t="s">
        <v>184</v>
      </c>
      <c r="J155" s="10">
        <v>-200000</v>
      </c>
      <c r="K155" s="7">
        <v>200000</v>
      </c>
      <c r="L155" s="1" t="s">
        <v>189</v>
      </c>
    </row>
    <row r="156" spans="1:13">
      <c r="A156" s="21" t="str">
        <f>TEXT(TEXT(B156,"yyyymmdd"),"00000000")&amp;TEXT(COUNTIF($B$2:B156,B156),"00")</f>
        <v>2022091304</v>
      </c>
      <c r="B156" s="21">
        <f t="shared" si="2"/>
        <v>44817</v>
      </c>
      <c r="C156" s="22">
        <v>2022</v>
      </c>
      <c r="D156" s="23">
        <v>9</v>
      </c>
      <c r="E156" s="24">
        <v>13</v>
      </c>
      <c r="F156" s="42" t="s">
        <v>17</v>
      </c>
      <c r="G156" s="42" t="s">
        <v>135</v>
      </c>
      <c r="H156" s="42" t="s">
        <v>135</v>
      </c>
      <c r="I156" s="42" t="s">
        <v>152</v>
      </c>
      <c r="J156" s="10">
        <v>-81000</v>
      </c>
      <c r="K156" s="7">
        <v>81000</v>
      </c>
      <c r="L156" s="1" t="s">
        <v>305</v>
      </c>
      <c r="M156" s="2" t="s">
        <v>330</v>
      </c>
    </row>
    <row r="157" spans="1:13">
      <c r="A157" s="21" t="str">
        <f>TEXT(TEXT(B157,"yyyymmdd"),"00000000")&amp;TEXT(COUNTIF($B$2:B157,B157),"00")</f>
        <v>2022091305</v>
      </c>
      <c r="B157" s="21">
        <f t="shared" si="2"/>
        <v>44817</v>
      </c>
      <c r="C157" s="22">
        <v>2022</v>
      </c>
      <c r="D157" s="23">
        <v>9</v>
      </c>
      <c r="E157" s="24">
        <v>13</v>
      </c>
      <c r="F157" s="42" t="s">
        <v>17</v>
      </c>
      <c r="G157" s="42" t="s">
        <v>13</v>
      </c>
      <c r="H157" s="42" t="s">
        <v>113</v>
      </c>
      <c r="I157" s="42" t="s">
        <v>171</v>
      </c>
      <c r="J157" s="10">
        <v>15000</v>
      </c>
      <c r="K157" s="7">
        <v>-15000</v>
      </c>
      <c r="L157" s="1" t="s">
        <v>331</v>
      </c>
    </row>
    <row r="158" spans="1:13">
      <c r="A158" s="21" t="str">
        <f>TEXT(TEXT(B158,"yyyymmdd"),"00000000")&amp;TEXT(COUNTIF($B$2:B158,B158),"00")</f>
        <v>2022091306</v>
      </c>
      <c r="B158" s="21">
        <f t="shared" si="2"/>
        <v>44817</v>
      </c>
      <c r="C158" s="22">
        <v>2022</v>
      </c>
      <c r="D158" s="23">
        <v>9</v>
      </c>
      <c r="E158" s="24">
        <v>13</v>
      </c>
      <c r="F158" s="42" t="s">
        <v>17</v>
      </c>
      <c r="G158" s="42" t="s">
        <v>11</v>
      </c>
      <c r="H158" s="42" t="s">
        <v>99</v>
      </c>
      <c r="I158" s="42" t="s">
        <v>184</v>
      </c>
      <c r="J158" s="10">
        <v>200000</v>
      </c>
      <c r="K158" s="7">
        <v>-200000</v>
      </c>
      <c r="L158" s="1" t="s">
        <v>185</v>
      </c>
    </row>
    <row r="159" spans="1:13">
      <c r="A159" s="21" t="str">
        <f>TEXT(TEXT(B159,"yyyymmdd"),"00000000")&amp;TEXT(COUNTIF($B$2:B159,B159),"00")</f>
        <v>2022091307</v>
      </c>
      <c r="B159" s="21">
        <f t="shared" si="2"/>
        <v>44817</v>
      </c>
      <c r="C159" s="22">
        <v>2022</v>
      </c>
      <c r="D159" s="23">
        <v>9</v>
      </c>
      <c r="E159" s="24">
        <v>13</v>
      </c>
      <c r="F159" s="42" t="s">
        <v>441</v>
      </c>
      <c r="G159" s="42" t="s">
        <v>11</v>
      </c>
      <c r="H159" s="42" t="s">
        <v>99</v>
      </c>
      <c r="I159" s="42" t="s">
        <v>184</v>
      </c>
      <c r="J159" s="10">
        <v>-200000</v>
      </c>
      <c r="K159" s="7">
        <v>200000</v>
      </c>
      <c r="L159" s="1" t="s">
        <v>185</v>
      </c>
    </row>
    <row r="160" spans="1:13">
      <c r="A160" s="21" t="str">
        <f>TEXT(TEXT(B160,"yyyymmdd"),"00000000")&amp;TEXT(COUNTIF($B$2:B160,B160),"00")</f>
        <v>2022091308</v>
      </c>
      <c r="B160" s="21">
        <f t="shared" si="2"/>
        <v>44817</v>
      </c>
      <c r="C160" s="22">
        <v>2022</v>
      </c>
      <c r="D160" s="23">
        <v>9</v>
      </c>
      <c r="E160" s="24">
        <v>13</v>
      </c>
      <c r="F160" s="42" t="s">
        <v>17</v>
      </c>
      <c r="G160" s="42" t="s">
        <v>170</v>
      </c>
      <c r="H160" s="42" t="s">
        <v>186</v>
      </c>
      <c r="I160" s="42" t="s">
        <v>125</v>
      </c>
      <c r="J160" s="10">
        <v>300</v>
      </c>
      <c r="K160" s="7">
        <v>-300</v>
      </c>
      <c r="L160" s="1" t="s">
        <v>185</v>
      </c>
      <c r="M160" s="2" t="s">
        <v>260</v>
      </c>
    </row>
    <row r="161" spans="1:13">
      <c r="A161" s="21" t="str">
        <f>TEXT(TEXT(B161,"yyyymmdd"),"00000000")&amp;TEXT(COUNTIF($B$2:B161,B161),"00")</f>
        <v>2022091401</v>
      </c>
      <c r="B161" s="21">
        <f t="shared" si="2"/>
        <v>44818</v>
      </c>
      <c r="C161" s="22">
        <v>2022</v>
      </c>
      <c r="D161" s="23">
        <v>9</v>
      </c>
      <c r="E161" s="24">
        <v>14</v>
      </c>
      <c r="F161" s="42" t="s">
        <v>17</v>
      </c>
      <c r="G161" s="42" t="s">
        <v>7</v>
      </c>
      <c r="H161" s="42" t="s">
        <v>167</v>
      </c>
      <c r="I161" s="42" t="s">
        <v>168</v>
      </c>
      <c r="J161" s="10">
        <v>5500</v>
      </c>
      <c r="K161" s="7">
        <v>-5500</v>
      </c>
      <c r="L161" s="1" t="s">
        <v>332</v>
      </c>
      <c r="M161" s="2" t="s">
        <v>333</v>
      </c>
    </row>
    <row r="162" spans="1:13">
      <c r="A162" s="21" t="str">
        <f>TEXT(TEXT(B162,"yyyymmdd"),"00000000")&amp;TEXT(COUNTIF($B$2:B162,B162),"00")</f>
        <v>2022091402</v>
      </c>
      <c r="B162" s="21">
        <f t="shared" si="2"/>
        <v>44818</v>
      </c>
      <c r="C162" s="22">
        <v>2022</v>
      </c>
      <c r="D162" s="23">
        <v>9</v>
      </c>
      <c r="E162" s="24">
        <v>14</v>
      </c>
      <c r="F162" s="42" t="s">
        <v>17</v>
      </c>
      <c r="G162" s="42" t="s">
        <v>7</v>
      </c>
      <c r="H162" s="42" t="s">
        <v>173</v>
      </c>
      <c r="I162" s="42" t="s">
        <v>174</v>
      </c>
      <c r="J162" s="10">
        <v>3410</v>
      </c>
      <c r="K162" s="7">
        <v>-3410</v>
      </c>
      <c r="L162" s="1" t="s">
        <v>353</v>
      </c>
    </row>
    <row r="163" spans="1:13">
      <c r="A163" s="21" t="str">
        <f>TEXT(TEXT(B163,"yyyymmdd"),"00000000")&amp;TEXT(COUNTIF($B$2:B163,B163),"00")</f>
        <v>2022091403</v>
      </c>
      <c r="B163" s="21">
        <f t="shared" si="2"/>
        <v>44818</v>
      </c>
      <c r="C163" s="22">
        <v>2022</v>
      </c>
      <c r="D163" s="23">
        <v>9</v>
      </c>
      <c r="E163" s="24">
        <v>14</v>
      </c>
      <c r="F163" s="42" t="s">
        <v>17</v>
      </c>
      <c r="G163" s="42" t="s">
        <v>135</v>
      </c>
      <c r="H163" s="42" t="s">
        <v>135</v>
      </c>
      <c r="I163" s="42" t="s">
        <v>190</v>
      </c>
      <c r="J163" s="10">
        <v>2500</v>
      </c>
      <c r="K163" s="7">
        <v>-2500</v>
      </c>
      <c r="L163" s="1" t="s">
        <v>304</v>
      </c>
    </row>
    <row r="164" spans="1:13">
      <c r="A164" s="21" t="str">
        <f>TEXT(TEXT(B164,"yyyymmdd"),"00000000")&amp;TEXT(COUNTIF($B$2:B164,B164),"00")</f>
        <v>2022091404</v>
      </c>
      <c r="B164" s="21">
        <f t="shared" si="2"/>
        <v>44818</v>
      </c>
      <c r="C164" s="22">
        <v>2022</v>
      </c>
      <c r="D164" s="23">
        <v>9</v>
      </c>
      <c r="E164" s="24">
        <v>14</v>
      </c>
      <c r="F164" s="42" t="s">
        <v>17</v>
      </c>
      <c r="G164" s="42" t="s">
        <v>7</v>
      </c>
      <c r="H164" s="42" t="s">
        <v>116</v>
      </c>
      <c r="I164" s="42" t="s">
        <v>217</v>
      </c>
      <c r="J164" s="10">
        <v>9900</v>
      </c>
      <c r="K164" s="7">
        <v>-9900</v>
      </c>
      <c r="L164" s="1" t="s">
        <v>325</v>
      </c>
      <c r="M164" s="2" t="s">
        <v>338</v>
      </c>
    </row>
    <row r="165" spans="1:13">
      <c r="A165" s="21" t="str">
        <f>TEXT(TEXT(B165,"yyyymmdd"),"00000000")&amp;TEXT(COUNTIF($B$2:B165,B165),"00")</f>
        <v>2022091405</v>
      </c>
      <c r="B165" s="21">
        <f t="shared" si="2"/>
        <v>44818</v>
      </c>
      <c r="C165" s="22">
        <v>2022</v>
      </c>
      <c r="D165" s="23">
        <v>9</v>
      </c>
      <c r="E165" s="24">
        <v>14</v>
      </c>
      <c r="F165" s="42" t="s">
        <v>17</v>
      </c>
      <c r="G165" s="42" t="s">
        <v>7</v>
      </c>
      <c r="H165" s="42" t="s">
        <v>111</v>
      </c>
      <c r="I165" s="42" t="s">
        <v>334</v>
      </c>
      <c r="J165" s="10">
        <v>25800</v>
      </c>
      <c r="K165" s="7">
        <v>-25800</v>
      </c>
      <c r="L165" s="1" t="s">
        <v>335</v>
      </c>
      <c r="M165" s="2" t="s">
        <v>336</v>
      </c>
    </row>
    <row r="166" spans="1:13">
      <c r="A166" s="21" t="str">
        <f>TEXT(TEXT(B166,"yyyymmdd"),"00000000")&amp;TEXT(COUNTIF($B$2:B166,B166),"00")</f>
        <v>2022091406</v>
      </c>
      <c r="B166" s="21">
        <f t="shared" si="2"/>
        <v>44818</v>
      </c>
      <c r="C166" s="22">
        <v>2022</v>
      </c>
      <c r="D166" s="23">
        <v>9</v>
      </c>
      <c r="E166" s="24">
        <v>14</v>
      </c>
      <c r="F166" s="42" t="s">
        <v>17</v>
      </c>
      <c r="G166" s="42" t="s">
        <v>13</v>
      </c>
      <c r="H166" s="42" t="s">
        <v>138</v>
      </c>
      <c r="I166" s="42" t="s">
        <v>159</v>
      </c>
      <c r="J166" s="10">
        <v>2800</v>
      </c>
      <c r="K166" s="7">
        <v>-2800</v>
      </c>
      <c r="L166" s="1" t="s">
        <v>337</v>
      </c>
    </row>
    <row r="167" spans="1:13">
      <c r="A167" s="21" t="str">
        <f>TEXT(TEXT(B167,"yyyymmdd"),"00000000")&amp;TEXT(COUNTIF($B$2:B167,B167),"00")</f>
        <v>2022091501</v>
      </c>
      <c r="B167" s="21">
        <f t="shared" si="2"/>
        <v>44819</v>
      </c>
      <c r="C167" s="22">
        <v>2022</v>
      </c>
      <c r="D167" s="23">
        <v>9</v>
      </c>
      <c r="E167" s="24">
        <v>15</v>
      </c>
      <c r="F167" s="42" t="s">
        <v>17</v>
      </c>
      <c r="G167" s="42" t="s">
        <v>7</v>
      </c>
      <c r="H167" s="42" t="s">
        <v>116</v>
      </c>
      <c r="I167" s="42" t="s">
        <v>339</v>
      </c>
      <c r="J167" s="10">
        <v>11800</v>
      </c>
      <c r="K167" s="7">
        <v>-11800</v>
      </c>
      <c r="L167" s="1" t="s">
        <v>340</v>
      </c>
      <c r="M167" s="2" t="s">
        <v>341</v>
      </c>
    </row>
    <row r="168" spans="1:13">
      <c r="A168" s="21" t="str">
        <f>TEXT(TEXT(B168,"yyyymmdd"),"00000000")&amp;TEXT(COUNTIF($B$2:B168,B168),"00")</f>
        <v>2022091502</v>
      </c>
      <c r="B168" s="21">
        <f t="shared" si="2"/>
        <v>44819</v>
      </c>
      <c r="C168" s="22">
        <v>2022</v>
      </c>
      <c r="D168" s="23">
        <v>9</v>
      </c>
      <c r="E168" s="24">
        <v>15</v>
      </c>
      <c r="F168" s="42" t="s">
        <v>17</v>
      </c>
      <c r="G168" s="42" t="s">
        <v>135</v>
      </c>
      <c r="H168" s="42" t="s">
        <v>135</v>
      </c>
      <c r="I168" s="42" t="s">
        <v>136</v>
      </c>
      <c r="J168" s="10">
        <v>-7000</v>
      </c>
      <c r="K168" s="7">
        <v>7000</v>
      </c>
      <c r="L168" s="1" t="s">
        <v>484</v>
      </c>
    </row>
    <row r="169" spans="1:13">
      <c r="A169" s="21" t="str">
        <f>TEXT(TEXT(B169,"yyyymmdd"),"00000000")&amp;TEXT(COUNTIF($B$2:B169,B169),"00")</f>
        <v>2022091601</v>
      </c>
      <c r="B169" s="21">
        <f t="shared" si="2"/>
        <v>44820</v>
      </c>
      <c r="C169" s="22">
        <v>2022</v>
      </c>
      <c r="D169" s="23">
        <v>9</v>
      </c>
      <c r="E169" s="24">
        <v>16</v>
      </c>
      <c r="F169" s="42" t="s">
        <v>17</v>
      </c>
      <c r="G169" s="42" t="s">
        <v>13</v>
      </c>
      <c r="H169" s="42" t="s">
        <v>112</v>
      </c>
      <c r="I169" s="42" t="s">
        <v>342</v>
      </c>
      <c r="J169" s="10">
        <v>37500</v>
      </c>
      <c r="K169" s="7">
        <v>-37500</v>
      </c>
      <c r="L169" s="1" t="s">
        <v>343</v>
      </c>
    </row>
    <row r="170" spans="1:13">
      <c r="A170" s="21" t="str">
        <f>TEXT(TEXT(B170,"yyyymmdd"),"00000000")&amp;TEXT(COUNTIF($B$2:B170,B170),"00")</f>
        <v>2022091701</v>
      </c>
      <c r="B170" s="21">
        <f t="shared" si="2"/>
        <v>44821</v>
      </c>
      <c r="C170" s="22">
        <v>2022</v>
      </c>
      <c r="D170" s="23">
        <v>9</v>
      </c>
      <c r="E170" s="24">
        <v>17</v>
      </c>
      <c r="F170" s="42" t="s">
        <v>19</v>
      </c>
      <c r="G170" s="42" t="s">
        <v>135</v>
      </c>
      <c r="H170" s="42" t="s">
        <v>135</v>
      </c>
      <c r="I170" s="42" t="s">
        <v>190</v>
      </c>
      <c r="J170" s="10">
        <v>-1</v>
      </c>
      <c r="K170" s="7">
        <v>1</v>
      </c>
      <c r="L170" s="1" t="s">
        <v>326</v>
      </c>
    </row>
    <row r="171" spans="1:13">
      <c r="A171" s="21" t="str">
        <f>TEXT(TEXT(B171,"yyyymmdd"),"00000000")&amp;TEXT(COUNTIF($B$2:B171,B171),"00")</f>
        <v>2022091702</v>
      </c>
      <c r="B171" s="21">
        <f t="shared" si="2"/>
        <v>44821</v>
      </c>
      <c r="C171" s="22">
        <v>2022</v>
      </c>
      <c r="D171" s="23">
        <v>9</v>
      </c>
      <c r="E171" s="24">
        <v>17</v>
      </c>
      <c r="F171" s="42" t="s">
        <v>17</v>
      </c>
      <c r="G171" s="42" t="s">
        <v>7</v>
      </c>
      <c r="H171" s="42" t="s">
        <v>167</v>
      </c>
      <c r="I171" s="42" t="s">
        <v>214</v>
      </c>
      <c r="J171" s="10">
        <v>8050</v>
      </c>
      <c r="K171" s="7">
        <v>-8050</v>
      </c>
      <c r="L171" s="1" t="s">
        <v>357</v>
      </c>
      <c r="M171" s="2" t="s">
        <v>358</v>
      </c>
    </row>
    <row r="172" spans="1:13">
      <c r="A172" s="21" t="str">
        <f>TEXT(TEXT(B172,"yyyymmdd"),"00000000")&amp;TEXT(COUNTIF($B$2:B172,B172),"00")</f>
        <v>2022091703</v>
      </c>
      <c r="B172" s="21">
        <f t="shared" si="2"/>
        <v>44821</v>
      </c>
      <c r="C172" s="22">
        <v>2022</v>
      </c>
      <c r="D172" s="23">
        <v>9</v>
      </c>
      <c r="E172" s="24">
        <v>17</v>
      </c>
      <c r="F172" s="42" t="s">
        <v>17</v>
      </c>
      <c r="G172" s="42" t="s">
        <v>7</v>
      </c>
      <c r="H172" s="42" t="s">
        <v>173</v>
      </c>
      <c r="I172" s="42" t="s">
        <v>174</v>
      </c>
      <c r="J172" s="10">
        <v>1200</v>
      </c>
      <c r="K172" s="7">
        <v>-1200</v>
      </c>
      <c r="L172" s="1" t="s">
        <v>345</v>
      </c>
    </row>
    <row r="173" spans="1:13">
      <c r="A173" s="21" t="str">
        <f>TEXT(TEXT(B173,"yyyymmdd"),"00000000")&amp;TEXT(COUNTIF($B$2:B173,B173),"00")</f>
        <v>2022091704</v>
      </c>
      <c r="B173" s="21">
        <f t="shared" si="2"/>
        <v>44821</v>
      </c>
      <c r="C173" s="22">
        <v>2022</v>
      </c>
      <c r="D173" s="23">
        <v>9</v>
      </c>
      <c r="E173" s="24">
        <v>17</v>
      </c>
      <c r="F173" s="42" t="s">
        <v>17</v>
      </c>
      <c r="G173" s="42" t="s">
        <v>7</v>
      </c>
      <c r="H173" s="42" t="s">
        <v>116</v>
      </c>
      <c r="I173" s="42" t="s">
        <v>212</v>
      </c>
      <c r="J173" s="10">
        <v>34000</v>
      </c>
      <c r="K173" s="7">
        <v>-34000</v>
      </c>
      <c r="L173" s="1" t="s">
        <v>346</v>
      </c>
      <c r="M173" s="2" t="s">
        <v>347</v>
      </c>
    </row>
    <row r="174" spans="1:13">
      <c r="A174" s="21" t="str">
        <f>TEXT(TEXT(B174,"yyyymmdd"),"00000000")&amp;TEXT(COUNTIF($B$2:B174,B174),"00")</f>
        <v>2022091705</v>
      </c>
      <c r="B174" s="21">
        <f t="shared" si="2"/>
        <v>44821</v>
      </c>
      <c r="C174" s="22">
        <v>2022</v>
      </c>
      <c r="D174" s="23">
        <v>9</v>
      </c>
      <c r="E174" s="24">
        <v>17</v>
      </c>
      <c r="F174" s="42" t="s">
        <v>17</v>
      </c>
      <c r="G174" s="42" t="s">
        <v>13</v>
      </c>
      <c r="H174" s="42" t="s">
        <v>173</v>
      </c>
      <c r="I174" s="42" t="s">
        <v>207</v>
      </c>
      <c r="J174" s="10">
        <v>5000</v>
      </c>
      <c r="K174" s="7">
        <v>-5000</v>
      </c>
      <c r="L174" s="1" t="s">
        <v>344</v>
      </c>
    </row>
    <row r="175" spans="1:13">
      <c r="A175" s="21" t="str">
        <f>TEXT(TEXT(B175,"yyyymmdd"),"00000000")&amp;TEXT(COUNTIF($B$2:B175,B175),"00")</f>
        <v>2022091801</v>
      </c>
      <c r="B175" s="21">
        <f t="shared" si="2"/>
        <v>44822</v>
      </c>
      <c r="C175" s="22">
        <v>2022</v>
      </c>
      <c r="D175" s="23">
        <v>9</v>
      </c>
      <c r="E175" s="24">
        <v>18</v>
      </c>
      <c r="F175" s="42" t="s">
        <v>17</v>
      </c>
      <c r="G175" s="42" t="s">
        <v>7</v>
      </c>
      <c r="H175" s="42" t="s">
        <v>155</v>
      </c>
      <c r="I175" s="42" t="s">
        <v>221</v>
      </c>
      <c r="J175" s="10">
        <v>17830</v>
      </c>
      <c r="K175" s="7">
        <v>-17830</v>
      </c>
      <c r="L175" s="1" t="s">
        <v>348</v>
      </c>
      <c r="M175" s="2" t="s">
        <v>349</v>
      </c>
    </row>
    <row r="176" spans="1:13">
      <c r="A176" s="21" t="str">
        <f>TEXT(TEXT(B176,"yyyymmdd"),"00000000")&amp;TEXT(COUNTIF($B$2:B176,B176),"00")</f>
        <v>2022091802</v>
      </c>
      <c r="B176" s="21">
        <f t="shared" si="2"/>
        <v>44822</v>
      </c>
      <c r="C176" s="22">
        <v>2022</v>
      </c>
      <c r="D176" s="23">
        <v>9</v>
      </c>
      <c r="E176" s="24">
        <v>18</v>
      </c>
      <c r="F176" s="42" t="s">
        <v>17</v>
      </c>
      <c r="G176" s="42" t="s">
        <v>7</v>
      </c>
      <c r="H176" s="42" t="s">
        <v>116</v>
      </c>
      <c r="I176" s="42" t="s">
        <v>217</v>
      </c>
      <c r="J176" s="10">
        <v>1650</v>
      </c>
      <c r="K176" s="7">
        <v>-1650</v>
      </c>
      <c r="L176" s="1" t="s">
        <v>1034</v>
      </c>
    </row>
    <row r="177" spans="1:13">
      <c r="A177" s="21" t="str">
        <f>TEXT(TEXT(B177,"yyyymmdd"),"00000000")&amp;TEXT(COUNTIF($B$2:B177,B177),"00")</f>
        <v>2022091901</v>
      </c>
      <c r="B177" s="21">
        <f t="shared" si="2"/>
        <v>44823</v>
      </c>
      <c r="C177" s="22">
        <v>2022</v>
      </c>
      <c r="D177" s="23">
        <v>9</v>
      </c>
      <c r="E177" s="24">
        <v>19</v>
      </c>
      <c r="F177" s="42" t="s">
        <v>17</v>
      </c>
      <c r="G177" s="42" t="s">
        <v>7</v>
      </c>
      <c r="H177" s="42" t="s">
        <v>173</v>
      </c>
      <c r="I177" s="42" t="s">
        <v>174</v>
      </c>
      <c r="J177" s="10">
        <v>2385</v>
      </c>
      <c r="K177" s="7">
        <v>-2385</v>
      </c>
      <c r="L177" s="1" t="s">
        <v>353</v>
      </c>
    </row>
    <row r="178" spans="1:13">
      <c r="A178" s="21" t="str">
        <f>TEXT(TEXT(B178,"yyyymmdd"),"00000000")&amp;TEXT(COUNTIF($B$2:B178,B178),"00")</f>
        <v>2022091902</v>
      </c>
      <c r="B178" s="21">
        <f t="shared" si="2"/>
        <v>44823</v>
      </c>
      <c r="C178" s="22">
        <v>2022</v>
      </c>
      <c r="D178" s="23">
        <v>9</v>
      </c>
      <c r="E178" s="24">
        <v>19</v>
      </c>
      <c r="F178" s="42" t="s">
        <v>17</v>
      </c>
      <c r="G178" s="42" t="s">
        <v>135</v>
      </c>
      <c r="H178" s="42" t="s">
        <v>135</v>
      </c>
      <c r="I178" s="42" t="s">
        <v>143</v>
      </c>
      <c r="J178" s="10">
        <v>-150000</v>
      </c>
      <c r="K178" s="7">
        <v>150000</v>
      </c>
      <c r="L178" s="1" t="s">
        <v>355</v>
      </c>
      <c r="M178" s="2" t="s">
        <v>356</v>
      </c>
    </row>
    <row r="179" spans="1:13">
      <c r="A179" s="21" t="str">
        <f>TEXT(TEXT(B179,"yyyymmdd"),"00000000")&amp;TEXT(COUNTIF($B$2:B179,B179),"00")</f>
        <v>2022091903</v>
      </c>
      <c r="B179" s="21">
        <f t="shared" si="2"/>
        <v>44823</v>
      </c>
      <c r="C179" s="22">
        <v>2022</v>
      </c>
      <c r="D179" s="23">
        <v>9</v>
      </c>
      <c r="E179" s="24">
        <v>19</v>
      </c>
      <c r="F179" s="42" t="s">
        <v>17</v>
      </c>
      <c r="G179" s="42" t="s">
        <v>7</v>
      </c>
      <c r="H179" s="42" t="s">
        <v>110</v>
      </c>
      <c r="I179" s="42" t="s">
        <v>120</v>
      </c>
      <c r="J179" s="10">
        <v>13400</v>
      </c>
      <c r="K179" s="7">
        <v>-13400</v>
      </c>
      <c r="L179" s="1" t="s">
        <v>354</v>
      </c>
    </row>
    <row r="180" spans="1:13">
      <c r="A180" s="21" t="str">
        <f>TEXT(TEXT(B180,"yyyymmdd"),"00000000")&amp;TEXT(COUNTIF($B$2:B180,B180),"00")</f>
        <v>2022091904</v>
      </c>
      <c r="B180" s="21">
        <f t="shared" si="2"/>
        <v>44823</v>
      </c>
      <c r="C180" s="22">
        <v>2022</v>
      </c>
      <c r="D180" s="23">
        <v>9</v>
      </c>
      <c r="E180" s="24">
        <v>19</v>
      </c>
      <c r="F180" s="42" t="s">
        <v>17</v>
      </c>
      <c r="G180" s="42" t="s">
        <v>7</v>
      </c>
      <c r="H180" s="42" t="s">
        <v>167</v>
      </c>
      <c r="I180" s="42" t="s">
        <v>351</v>
      </c>
      <c r="J180" s="10">
        <v>10000</v>
      </c>
      <c r="K180" s="7">
        <v>-10000</v>
      </c>
      <c r="L180" s="1" t="s">
        <v>352</v>
      </c>
    </row>
    <row r="181" spans="1:13">
      <c r="A181" s="21" t="str">
        <f>TEXT(TEXT(B181,"yyyymmdd"),"00000000")&amp;TEXT(COUNTIF($B$2:B181,B181),"00")</f>
        <v>2022092001</v>
      </c>
      <c r="B181" s="21">
        <f t="shared" si="2"/>
        <v>44824</v>
      </c>
      <c r="C181" s="22">
        <v>2022</v>
      </c>
      <c r="D181" s="23">
        <v>9</v>
      </c>
      <c r="E181" s="24">
        <v>20</v>
      </c>
      <c r="F181" s="42" t="s">
        <v>17</v>
      </c>
      <c r="G181" s="42" t="s">
        <v>7</v>
      </c>
      <c r="H181" s="42" t="s">
        <v>173</v>
      </c>
      <c r="I181" s="42" t="s">
        <v>207</v>
      </c>
      <c r="J181" s="10">
        <v>14450</v>
      </c>
      <c r="K181" s="7">
        <v>-14450</v>
      </c>
      <c r="L181" s="1" t="s">
        <v>313</v>
      </c>
    </row>
    <row r="182" spans="1:13">
      <c r="A182" s="21" t="str">
        <f>TEXT(TEXT(B182,"yyyymmdd"),"00000000")&amp;TEXT(COUNTIF($B$2:B182,B182),"00")</f>
        <v>2022092002</v>
      </c>
      <c r="B182" s="21">
        <f t="shared" si="2"/>
        <v>44824</v>
      </c>
      <c r="C182" s="22">
        <v>2022</v>
      </c>
      <c r="D182" s="23">
        <v>9</v>
      </c>
      <c r="E182" s="24">
        <v>20</v>
      </c>
      <c r="F182" s="42" t="s">
        <v>17</v>
      </c>
      <c r="G182" s="42" t="s">
        <v>7</v>
      </c>
      <c r="H182" s="42" t="s">
        <v>110</v>
      </c>
      <c r="I182" s="42" t="s">
        <v>120</v>
      </c>
      <c r="J182" s="10">
        <v>2800</v>
      </c>
      <c r="K182" s="7">
        <v>-2800</v>
      </c>
      <c r="L182" s="1" t="s">
        <v>359</v>
      </c>
      <c r="M182" s="2" t="s">
        <v>360</v>
      </c>
    </row>
    <row r="183" spans="1:13">
      <c r="A183" s="21" t="str">
        <f>TEXT(TEXT(B183,"yyyymmdd"),"00000000")&amp;TEXT(COUNTIF($B$2:B183,B183),"00")</f>
        <v>2022092101</v>
      </c>
      <c r="B183" s="21">
        <f t="shared" si="2"/>
        <v>44825</v>
      </c>
      <c r="C183" s="22">
        <v>2022</v>
      </c>
      <c r="D183" s="23">
        <v>9</v>
      </c>
      <c r="E183" s="24">
        <v>21</v>
      </c>
      <c r="F183" s="42" t="s">
        <v>17</v>
      </c>
      <c r="G183" s="42" t="s">
        <v>7</v>
      </c>
      <c r="H183" s="42" t="s">
        <v>32</v>
      </c>
      <c r="I183" s="42" t="s">
        <v>141</v>
      </c>
      <c r="J183" s="10">
        <v>2000</v>
      </c>
      <c r="K183" s="7">
        <v>-2000</v>
      </c>
      <c r="L183" s="1" t="s">
        <v>363</v>
      </c>
    </row>
    <row r="184" spans="1:13">
      <c r="A184" s="21" t="str">
        <f>TEXT(TEXT(B184,"yyyymmdd"),"00000000")&amp;TEXT(COUNTIF($B$2:B184,B184),"00")</f>
        <v>2022092102</v>
      </c>
      <c r="B184" s="21">
        <f t="shared" si="2"/>
        <v>44825</v>
      </c>
      <c r="C184" s="22">
        <v>2022</v>
      </c>
      <c r="D184" s="23">
        <v>9</v>
      </c>
      <c r="E184" s="24">
        <v>21</v>
      </c>
      <c r="F184" s="42" t="s">
        <v>17</v>
      </c>
      <c r="G184" s="42" t="s">
        <v>13</v>
      </c>
      <c r="H184" s="42" t="s">
        <v>138</v>
      </c>
      <c r="I184" s="42" t="s">
        <v>139</v>
      </c>
      <c r="J184" s="10">
        <v>16500</v>
      </c>
      <c r="K184" s="7">
        <v>-16500</v>
      </c>
      <c r="L184" s="1" t="s">
        <v>361</v>
      </c>
      <c r="M184" s="2" t="s">
        <v>362</v>
      </c>
    </row>
    <row r="185" spans="1:13">
      <c r="A185" s="21" t="str">
        <f>TEXT(TEXT(B185,"yyyymmdd"),"00000000")&amp;TEXT(COUNTIF($B$2:B185,B185),"00")</f>
        <v>2022092201</v>
      </c>
      <c r="B185" s="21">
        <f t="shared" si="2"/>
        <v>44826</v>
      </c>
      <c r="C185" s="22">
        <v>2022</v>
      </c>
      <c r="D185" s="23">
        <v>9</v>
      </c>
      <c r="E185" s="24">
        <v>22</v>
      </c>
      <c r="F185" s="42" t="s">
        <v>17</v>
      </c>
      <c r="G185" s="42" t="s">
        <v>7</v>
      </c>
      <c r="H185" s="42" t="s">
        <v>32</v>
      </c>
      <c r="I185" s="42" t="s">
        <v>141</v>
      </c>
      <c r="J185" s="10">
        <v>4100</v>
      </c>
      <c r="K185" s="7">
        <v>-4100</v>
      </c>
      <c r="L185" s="1" t="s">
        <v>364</v>
      </c>
    </row>
    <row r="186" spans="1:13">
      <c r="A186" s="21" t="str">
        <f>TEXT(TEXT(B186,"yyyymmdd"),"00000000")&amp;TEXT(COUNTIF($B$2:B186,B186),"00")</f>
        <v>2022092202</v>
      </c>
      <c r="B186" s="21">
        <f t="shared" si="2"/>
        <v>44826</v>
      </c>
      <c r="C186" s="22">
        <v>2022</v>
      </c>
      <c r="D186" s="23">
        <v>9</v>
      </c>
      <c r="E186" s="24">
        <v>22</v>
      </c>
      <c r="F186" s="42" t="s">
        <v>17</v>
      </c>
      <c r="G186" s="42" t="s">
        <v>7</v>
      </c>
      <c r="H186" s="42" t="s">
        <v>138</v>
      </c>
      <c r="I186" s="42" t="s">
        <v>197</v>
      </c>
      <c r="J186" s="10">
        <v>10280</v>
      </c>
      <c r="K186" s="7">
        <v>-10280</v>
      </c>
      <c r="L186" s="1" t="s">
        <v>365</v>
      </c>
      <c r="M186" s="2" t="s">
        <v>366</v>
      </c>
    </row>
    <row r="187" spans="1:13">
      <c r="A187" s="21" t="str">
        <f>TEXT(TEXT(B187,"yyyymmdd"),"00000000")&amp;TEXT(COUNTIF($B$2:B187,B187),"00")</f>
        <v>2022092301</v>
      </c>
      <c r="B187" s="21">
        <f t="shared" si="2"/>
        <v>44827</v>
      </c>
      <c r="C187" s="22">
        <v>2022</v>
      </c>
      <c r="D187" s="23">
        <v>9</v>
      </c>
      <c r="E187" s="24">
        <v>23</v>
      </c>
      <c r="F187" s="42" t="s">
        <v>17</v>
      </c>
      <c r="G187" s="42" t="s">
        <v>7</v>
      </c>
      <c r="H187" s="42" t="s">
        <v>167</v>
      </c>
      <c r="I187" s="42" t="s">
        <v>168</v>
      </c>
      <c r="J187" s="10">
        <v>2900</v>
      </c>
      <c r="K187" s="7">
        <v>-2900</v>
      </c>
      <c r="L187" s="1" t="s">
        <v>368</v>
      </c>
      <c r="M187" s="2" t="s">
        <v>369</v>
      </c>
    </row>
    <row r="188" spans="1:13">
      <c r="A188" s="21" t="str">
        <f>TEXT(TEXT(B188,"yyyymmdd"),"00000000")&amp;TEXT(COUNTIF($B$2:B188,B188),"00")</f>
        <v>2022092302</v>
      </c>
      <c r="B188" s="21">
        <f t="shared" si="2"/>
        <v>44827</v>
      </c>
      <c r="C188" s="22">
        <v>2022</v>
      </c>
      <c r="D188" s="23">
        <v>9</v>
      </c>
      <c r="E188" s="24">
        <v>23</v>
      </c>
      <c r="F188" s="42" t="s">
        <v>17</v>
      </c>
      <c r="G188" s="42" t="s">
        <v>13</v>
      </c>
      <c r="H188" s="42" t="s">
        <v>138</v>
      </c>
      <c r="I188" s="42" t="s">
        <v>139</v>
      </c>
      <c r="J188" s="10">
        <v>12900</v>
      </c>
      <c r="K188" s="7">
        <v>-12900</v>
      </c>
      <c r="L188" s="1" t="s">
        <v>367</v>
      </c>
    </row>
    <row r="189" spans="1:13">
      <c r="A189" s="21" t="str">
        <f>TEXT(TEXT(B189,"yyyymmdd"),"00000000")&amp;TEXT(COUNTIF($B$2:B189,B189),"00")</f>
        <v>2022092401</v>
      </c>
      <c r="B189" s="21">
        <f t="shared" si="2"/>
        <v>44828</v>
      </c>
      <c r="C189" s="22">
        <v>2022</v>
      </c>
      <c r="D189" s="23">
        <v>9</v>
      </c>
      <c r="E189" s="24">
        <v>24</v>
      </c>
      <c r="F189" s="42" t="s">
        <v>17</v>
      </c>
      <c r="G189" s="42" t="s">
        <v>7</v>
      </c>
      <c r="H189" s="42" t="s">
        <v>110</v>
      </c>
      <c r="I189" s="42" t="s">
        <v>124</v>
      </c>
      <c r="J189" s="10">
        <v>3000</v>
      </c>
      <c r="K189" s="7">
        <v>-3000</v>
      </c>
      <c r="L189" s="1" t="s">
        <v>371</v>
      </c>
      <c r="M189" s="2" t="s">
        <v>372</v>
      </c>
    </row>
    <row r="190" spans="1:13">
      <c r="A190" s="21" t="str">
        <f>TEXT(TEXT(B190,"yyyymmdd"),"00000000")&amp;TEXT(COUNTIF($B$2:B190,B190),"00")</f>
        <v>2022092402</v>
      </c>
      <c r="B190" s="21">
        <f t="shared" si="2"/>
        <v>44828</v>
      </c>
      <c r="C190" s="22">
        <v>2022</v>
      </c>
      <c r="D190" s="23">
        <v>9</v>
      </c>
      <c r="E190" s="24">
        <v>24</v>
      </c>
      <c r="F190" s="42" t="s">
        <v>17</v>
      </c>
      <c r="G190" s="42" t="s">
        <v>7</v>
      </c>
      <c r="H190" s="42" t="s">
        <v>138</v>
      </c>
      <c r="I190" s="42" t="s">
        <v>197</v>
      </c>
      <c r="J190" s="10">
        <v>12200</v>
      </c>
      <c r="K190" s="7">
        <v>-12200</v>
      </c>
      <c r="L190" s="1" t="s">
        <v>370</v>
      </c>
    </row>
    <row r="191" spans="1:13">
      <c r="A191" s="21" t="str">
        <f>TEXT(TEXT(B191,"yyyymmdd"),"00000000")&amp;TEXT(COUNTIF($B$2:B191,B191),"00")</f>
        <v>2022092501</v>
      </c>
      <c r="B191" s="21">
        <f t="shared" si="2"/>
        <v>44829</v>
      </c>
      <c r="C191" s="22">
        <v>2022</v>
      </c>
      <c r="D191" s="23">
        <v>9</v>
      </c>
      <c r="E191" s="24">
        <v>25</v>
      </c>
      <c r="F191" s="42" t="s">
        <v>17</v>
      </c>
      <c r="G191" s="42" t="s">
        <v>7</v>
      </c>
      <c r="H191" s="42" t="s">
        <v>138</v>
      </c>
      <c r="I191" s="42" t="s">
        <v>159</v>
      </c>
      <c r="J191" s="10">
        <v>7000</v>
      </c>
      <c r="K191" s="7">
        <v>-7000</v>
      </c>
      <c r="L191" s="1" t="s">
        <v>337</v>
      </c>
      <c r="M191" s="2" t="s">
        <v>289</v>
      </c>
    </row>
    <row r="192" spans="1:13">
      <c r="A192" s="21" t="str">
        <f>TEXT(TEXT(B192,"yyyymmdd"),"00000000")&amp;TEXT(COUNTIF($B$2:B192,B192),"00")</f>
        <v>2022092601</v>
      </c>
      <c r="B192" s="21">
        <f t="shared" si="2"/>
        <v>44830</v>
      </c>
      <c r="C192" s="22">
        <v>2022</v>
      </c>
      <c r="D192" s="23">
        <v>9</v>
      </c>
      <c r="E192" s="24">
        <v>26</v>
      </c>
      <c r="F192" s="42" t="s">
        <v>17</v>
      </c>
      <c r="G192" s="42" t="s">
        <v>7</v>
      </c>
      <c r="H192" s="42" t="s">
        <v>138</v>
      </c>
      <c r="I192" s="42" t="s">
        <v>139</v>
      </c>
      <c r="J192" s="10">
        <v>14000</v>
      </c>
      <c r="K192" s="7">
        <v>-14000</v>
      </c>
      <c r="L192" s="1" t="s">
        <v>375</v>
      </c>
      <c r="M192" s="2" t="s">
        <v>376</v>
      </c>
    </row>
    <row r="193" spans="1:13">
      <c r="A193" s="21" t="str">
        <f>TEXT(TEXT(B193,"yyyymmdd"),"00000000")&amp;TEXT(COUNTIF($B$2:B193,B193),"00")</f>
        <v>2022092602</v>
      </c>
      <c r="B193" s="21">
        <f t="shared" si="2"/>
        <v>44830</v>
      </c>
      <c r="C193" s="22">
        <v>2022</v>
      </c>
      <c r="D193" s="23">
        <v>9</v>
      </c>
      <c r="E193" s="24">
        <v>26</v>
      </c>
      <c r="F193" s="42" t="s">
        <v>17</v>
      </c>
      <c r="G193" s="42" t="s">
        <v>7</v>
      </c>
      <c r="H193" s="42" t="s">
        <v>116</v>
      </c>
      <c r="I193" s="42" t="s">
        <v>225</v>
      </c>
      <c r="J193" s="10">
        <v>14000</v>
      </c>
      <c r="K193" s="7">
        <v>-14000</v>
      </c>
      <c r="L193" s="1" t="s">
        <v>377</v>
      </c>
      <c r="M193" s="2" t="s">
        <v>376</v>
      </c>
    </row>
    <row r="194" spans="1:13">
      <c r="A194" s="21" t="str">
        <f>TEXT(TEXT(B194,"yyyymmdd"),"00000000")&amp;TEXT(COUNTIF($B$2:B194,B194),"00")</f>
        <v>2022092701</v>
      </c>
      <c r="B194" s="21">
        <f t="shared" ref="B194:B257" si="3">DATE(C194,D194,E194)</f>
        <v>44831</v>
      </c>
      <c r="C194" s="22">
        <v>2022</v>
      </c>
      <c r="D194" s="23">
        <v>9</v>
      </c>
      <c r="E194" s="24">
        <v>27</v>
      </c>
      <c r="F194" s="42" t="s">
        <v>498</v>
      </c>
      <c r="G194" s="42" t="s">
        <v>11</v>
      </c>
      <c r="H194" s="42" t="s">
        <v>99</v>
      </c>
      <c r="I194" s="42" t="s">
        <v>94</v>
      </c>
      <c r="J194" s="10">
        <v>1400000</v>
      </c>
      <c r="K194" s="7">
        <v>-1400000</v>
      </c>
      <c r="L194" s="1" t="s">
        <v>294</v>
      </c>
    </row>
    <row r="195" spans="1:13">
      <c r="A195" s="21" t="str">
        <f>TEXT(TEXT(B195,"yyyymmdd"),"00000000")&amp;TEXT(COUNTIF($B$2:B195,B195),"00")</f>
        <v>2022092702</v>
      </c>
      <c r="B195" s="21">
        <f t="shared" si="3"/>
        <v>44831</v>
      </c>
      <c r="C195" s="22">
        <v>2022</v>
      </c>
      <c r="D195" s="23">
        <v>9</v>
      </c>
      <c r="E195" s="24">
        <v>27</v>
      </c>
      <c r="F195" s="42" t="s">
        <v>17</v>
      </c>
      <c r="G195" s="42" t="s">
        <v>11</v>
      </c>
      <c r="H195" s="42" t="s">
        <v>99</v>
      </c>
      <c r="I195" s="42" t="s">
        <v>94</v>
      </c>
      <c r="J195" s="10">
        <v>-1400000</v>
      </c>
      <c r="K195" s="7">
        <v>1400000</v>
      </c>
      <c r="L195" s="1" t="s">
        <v>294</v>
      </c>
      <c r="M195" s="2" t="s">
        <v>442</v>
      </c>
    </row>
    <row r="196" spans="1:13">
      <c r="A196" s="21" t="str">
        <f>TEXT(TEXT(B196,"yyyymmdd"),"00000000")&amp;TEXT(COUNTIF($B$2:B196,B196),"00")</f>
        <v>2022092703</v>
      </c>
      <c r="B196" s="21">
        <f t="shared" si="3"/>
        <v>44831</v>
      </c>
      <c r="C196" s="22">
        <v>2022</v>
      </c>
      <c r="D196" s="23">
        <v>9</v>
      </c>
      <c r="E196" s="24">
        <v>27</v>
      </c>
      <c r="F196" s="42" t="s">
        <v>17</v>
      </c>
      <c r="G196" s="42" t="s">
        <v>7</v>
      </c>
      <c r="H196" s="42" t="s">
        <v>155</v>
      </c>
      <c r="I196" s="42" t="s">
        <v>221</v>
      </c>
      <c r="J196" s="10">
        <v>28940</v>
      </c>
      <c r="K196" s="7">
        <v>-28940</v>
      </c>
      <c r="L196" s="1" t="s">
        <v>348</v>
      </c>
      <c r="M196" s="2" t="s">
        <v>382</v>
      </c>
    </row>
    <row r="197" spans="1:13">
      <c r="A197" s="21" t="str">
        <f>TEXT(TEXT(B197,"yyyymmdd"),"00000000")&amp;TEXT(COUNTIF($B$2:B197,B197),"00")</f>
        <v>2022092704</v>
      </c>
      <c r="B197" s="21">
        <f t="shared" si="3"/>
        <v>44831</v>
      </c>
      <c r="C197" s="22">
        <v>2022</v>
      </c>
      <c r="D197" s="23">
        <v>9</v>
      </c>
      <c r="E197" s="24">
        <v>27</v>
      </c>
      <c r="F197" s="42" t="s">
        <v>17</v>
      </c>
      <c r="G197" s="42" t="s">
        <v>7</v>
      </c>
      <c r="H197" s="42" t="s">
        <v>110</v>
      </c>
      <c r="I197" s="42" t="s">
        <v>374</v>
      </c>
      <c r="J197" s="10">
        <v>27400</v>
      </c>
      <c r="K197" s="7">
        <v>-27400</v>
      </c>
      <c r="L197" s="1" t="s">
        <v>373</v>
      </c>
    </row>
    <row r="198" spans="1:13">
      <c r="A198" s="21" t="str">
        <f>TEXT(TEXT(B198,"yyyymmdd"),"00000000")&amp;TEXT(COUNTIF($B$2:B198,B198),"00")</f>
        <v>2022092705</v>
      </c>
      <c r="B198" s="21">
        <f t="shared" si="3"/>
        <v>44831</v>
      </c>
      <c r="C198" s="22">
        <v>2022</v>
      </c>
      <c r="D198" s="23">
        <v>9</v>
      </c>
      <c r="E198" s="24">
        <v>27</v>
      </c>
      <c r="F198" s="42" t="s">
        <v>17</v>
      </c>
      <c r="G198" s="42" t="s">
        <v>7</v>
      </c>
      <c r="H198" s="42" t="s">
        <v>167</v>
      </c>
      <c r="I198" s="42" t="s">
        <v>545</v>
      </c>
      <c r="J198" s="10">
        <v>1320000</v>
      </c>
      <c r="K198" s="7">
        <v>-1320000</v>
      </c>
      <c r="L198" s="1" t="s">
        <v>379</v>
      </c>
      <c r="M198" s="2" t="s">
        <v>378</v>
      </c>
    </row>
    <row r="199" spans="1:13">
      <c r="A199" s="21" t="str">
        <f>TEXT(TEXT(B199,"yyyymmdd"),"00000000")&amp;TEXT(COUNTIF($B$2:B199,B199),"00")</f>
        <v>2022092706</v>
      </c>
      <c r="B199" s="21">
        <f t="shared" si="3"/>
        <v>44831</v>
      </c>
      <c r="C199" s="22">
        <v>2022</v>
      </c>
      <c r="D199" s="23">
        <v>9</v>
      </c>
      <c r="E199" s="24">
        <v>27</v>
      </c>
      <c r="F199" s="42" t="s">
        <v>17</v>
      </c>
      <c r="G199" s="42" t="s">
        <v>7</v>
      </c>
      <c r="H199" s="42" t="s">
        <v>112</v>
      </c>
      <c r="I199" s="42" t="s">
        <v>342</v>
      </c>
      <c r="J199" s="10">
        <v>10000</v>
      </c>
      <c r="K199" s="7">
        <v>-10000</v>
      </c>
      <c r="L199" s="1" t="s">
        <v>379</v>
      </c>
      <c r="M199" s="2" t="s">
        <v>380</v>
      </c>
    </row>
    <row r="200" spans="1:13">
      <c r="A200" s="21" t="str">
        <f>TEXT(TEXT(B200,"yyyymmdd"),"00000000")&amp;TEXT(COUNTIF($B$2:B200,B200),"00")</f>
        <v>2022092801</v>
      </c>
      <c r="B200" s="21">
        <f t="shared" si="3"/>
        <v>44832</v>
      </c>
      <c r="C200" s="22">
        <v>2022</v>
      </c>
      <c r="D200" s="23">
        <v>9</v>
      </c>
      <c r="E200" s="24">
        <v>28</v>
      </c>
      <c r="F200" s="42" t="s">
        <v>17</v>
      </c>
      <c r="G200" s="42" t="s">
        <v>7</v>
      </c>
      <c r="H200" s="42" t="s">
        <v>116</v>
      </c>
      <c r="I200" s="42" t="s">
        <v>217</v>
      </c>
      <c r="J200" s="10">
        <v>900</v>
      </c>
      <c r="K200" s="7">
        <v>-900</v>
      </c>
      <c r="L200" s="1" t="s">
        <v>325</v>
      </c>
      <c r="M200" s="2" t="s">
        <v>383</v>
      </c>
    </row>
    <row r="201" spans="1:13">
      <c r="A201" s="21" t="str">
        <f>TEXT(TEXT(B201,"yyyymmdd"),"00000000")&amp;TEXT(COUNTIF($B$2:B201,B201),"00")</f>
        <v>2022092802</v>
      </c>
      <c r="B201" s="21">
        <f t="shared" si="3"/>
        <v>44832</v>
      </c>
      <c r="C201" s="22">
        <v>2022</v>
      </c>
      <c r="D201" s="23">
        <v>9</v>
      </c>
      <c r="E201" s="24">
        <v>28</v>
      </c>
      <c r="F201" s="42" t="s">
        <v>15</v>
      </c>
      <c r="G201" s="42" t="s">
        <v>135</v>
      </c>
      <c r="H201" s="42" t="s">
        <v>135</v>
      </c>
      <c r="I201" s="42" t="s">
        <v>143</v>
      </c>
      <c r="J201" s="10">
        <v>-1</v>
      </c>
      <c r="K201" s="7">
        <v>1</v>
      </c>
      <c r="L201" s="1" t="s">
        <v>384</v>
      </c>
      <c r="M201" s="2" t="s">
        <v>385</v>
      </c>
    </row>
    <row r="202" spans="1:13">
      <c r="A202" s="21" t="str">
        <f>TEXT(TEXT(B202,"yyyymmdd"),"00000000")&amp;TEXT(COUNTIF($B$2:B202,B202),"00")</f>
        <v>2022093001</v>
      </c>
      <c r="B202" s="21">
        <f t="shared" si="3"/>
        <v>44834</v>
      </c>
      <c r="C202" s="22">
        <v>2022</v>
      </c>
      <c r="D202" s="23">
        <v>9</v>
      </c>
      <c r="E202" s="24">
        <v>30</v>
      </c>
      <c r="F202" s="42" t="s">
        <v>17</v>
      </c>
      <c r="G202" s="42" t="s">
        <v>7</v>
      </c>
      <c r="H202" s="42" t="s">
        <v>116</v>
      </c>
      <c r="I202" s="42" t="s">
        <v>217</v>
      </c>
      <c r="J202" s="10">
        <v>21000</v>
      </c>
      <c r="K202" s="7">
        <v>-21000</v>
      </c>
      <c r="L202" s="1" t="s">
        <v>325</v>
      </c>
      <c r="M202" s="2" t="s">
        <v>386</v>
      </c>
    </row>
    <row r="203" spans="1:13">
      <c r="A203" s="21" t="str">
        <f>TEXT(TEXT(B203,"yyyymmdd"),"00000000")&amp;TEXT(COUNTIF($B$2:B203,B203),"00")</f>
        <v>2022093002</v>
      </c>
      <c r="B203" s="21">
        <f t="shared" si="3"/>
        <v>44834</v>
      </c>
      <c r="C203" s="22">
        <v>2022</v>
      </c>
      <c r="D203" s="23">
        <v>9</v>
      </c>
      <c r="E203" s="24">
        <v>30</v>
      </c>
      <c r="F203" s="42" t="s">
        <v>17</v>
      </c>
      <c r="G203" s="42" t="s">
        <v>170</v>
      </c>
      <c r="H203" s="42" t="s">
        <v>155</v>
      </c>
      <c r="I203" s="42" t="s">
        <v>156</v>
      </c>
      <c r="J203" s="10">
        <v>1184</v>
      </c>
      <c r="K203" s="7">
        <v>-1184</v>
      </c>
      <c r="L203" s="1" t="s">
        <v>387</v>
      </c>
    </row>
    <row r="204" spans="1:13">
      <c r="A204" s="21" t="str">
        <f>TEXT(TEXT(B204,"yyyymmdd"),"00000000")&amp;TEXT(COUNTIF($B$2:B204,B204),"00")</f>
        <v>2022100201</v>
      </c>
      <c r="B204" s="21">
        <f t="shared" si="3"/>
        <v>44836</v>
      </c>
      <c r="C204" s="22">
        <v>2022</v>
      </c>
      <c r="D204" s="23">
        <v>10</v>
      </c>
      <c r="E204" s="24">
        <v>2</v>
      </c>
      <c r="F204" s="42" t="s">
        <v>17</v>
      </c>
      <c r="G204" s="42" t="s">
        <v>13</v>
      </c>
      <c r="H204" s="42" t="s">
        <v>138</v>
      </c>
      <c r="I204" s="42" t="s">
        <v>159</v>
      </c>
      <c r="J204" s="10">
        <v>10000</v>
      </c>
      <c r="K204" s="7">
        <v>-10000</v>
      </c>
      <c r="L204" s="1" t="s">
        <v>388</v>
      </c>
      <c r="M204" s="2" t="s">
        <v>389</v>
      </c>
    </row>
    <row r="205" spans="1:13">
      <c r="A205" s="21" t="str">
        <f>TEXT(TEXT(B205,"yyyymmdd"),"00000000")&amp;TEXT(COUNTIF($B$2:B205,B205),"00")</f>
        <v>2022100401</v>
      </c>
      <c r="B205" s="21">
        <f t="shared" si="3"/>
        <v>44838</v>
      </c>
      <c r="C205" s="22">
        <v>2022</v>
      </c>
      <c r="D205" s="23">
        <v>10</v>
      </c>
      <c r="E205" s="24">
        <v>4</v>
      </c>
      <c r="F205" s="42" t="s">
        <v>21</v>
      </c>
      <c r="G205" s="42" t="s">
        <v>135</v>
      </c>
      <c r="H205" s="42" t="s">
        <v>135</v>
      </c>
      <c r="I205" s="42" t="s">
        <v>190</v>
      </c>
      <c r="J205" s="10">
        <v>-2</v>
      </c>
      <c r="K205" s="7">
        <v>2</v>
      </c>
      <c r="L205" s="1" t="s">
        <v>326</v>
      </c>
    </row>
    <row r="206" spans="1:13">
      <c r="A206" s="21" t="str">
        <f>TEXT(TEXT(B206,"yyyymmdd"),"00000000")&amp;TEXT(COUNTIF($B$2:B206,B206),"00")</f>
        <v>2022100402</v>
      </c>
      <c r="B206" s="21">
        <f t="shared" si="3"/>
        <v>44838</v>
      </c>
      <c r="C206" s="22">
        <v>2022</v>
      </c>
      <c r="D206" s="23">
        <v>10</v>
      </c>
      <c r="E206" s="24">
        <v>4</v>
      </c>
      <c r="F206" s="42" t="s">
        <v>17</v>
      </c>
      <c r="G206" s="42" t="s">
        <v>7</v>
      </c>
      <c r="H206" s="42" t="s">
        <v>138</v>
      </c>
      <c r="I206" s="42" t="s">
        <v>139</v>
      </c>
      <c r="J206" s="10">
        <v>12400</v>
      </c>
      <c r="K206" s="7">
        <v>-12400</v>
      </c>
      <c r="L206" s="1" t="s">
        <v>518</v>
      </c>
      <c r="M206" s="2" t="s">
        <v>520</v>
      </c>
    </row>
    <row r="207" spans="1:13">
      <c r="A207" s="21" t="str">
        <f>TEXT(TEXT(B207,"yyyymmdd"),"00000000")&amp;TEXT(COUNTIF($B$2:B207,B207),"00")</f>
        <v>2022100403</v>
      </c>
      <c r="B207" s="21">
        <f t="shared" si="3"/>
        <v>44838</v>
      </c>
      <c r="C207" s="22">
        <v>2022</v>
      </c>
      <c r="D207" s="23">
        <v>10</v>
      </c>
      <c r="E207" s="24">
        <v>4</v>
      </c>
      <c r="F207" s="42" t="s">
        <v>17</v>
      </c>
      <c r="G207" s="42" t="s">
        <v>7</v>
      </c>
      <c r="H207" s="42" t="s">
        <v>110</v>
      </c>
      <c r="I207" s="42" t="s">
        <v>120</v>
      </c>
      <c r="J207" s="10">
        <v>5000</v>
      </c>
      <c r="K207" s="7">
        <v>-5000</v>
      </c>
      <c r="L207" s="1" t="s">
        <v>359</v>
      </c>
    </row>
    <row r="208" spans="1:13">
      <c r="A208" s="21" t="str">
        <f>TEXT(TEXT(B208,"yyyymmdd"),"00000000")&amp;TEXT(COUNTIF($B$2:B208,B208),"00")</f>
        <v>2022100404</v>
      </c>
      <c r="B208" s="21">
        <f t="shared" si="3"/>
        <v>44838</v>
      </c>
      <c r="C208" s="22">
        <v>2022</v>
      </c>
      <c r="D208" s="23">
        <v>10</v>
      </c>
      <c r="E208" s="24">
        <v>4</v>
      </c>
      <c r="F208" s="42" t="s">
        <v>17</v>
      </c>
      <c r="G208" s="42" t="s">
        <v>7</v>
      </c>
      <c r="H208" s="42" t="s">
        <v>116</v>
      </c>
      <c r="I208" s="42" t="s">
        <v>225</v>
      </c>
      <c r="J208" s="10">
        <v>8000</v>
      </c>
      <c r="K208" s="7">
        <v>-8000</v>
      </c>
      <c r="L208" s="1" t="s">
        <v>390</v>
      </c>
    </row>
    <row r="209" spans="1:13">
      <c r="A209" s="21" t="str">
        <f>TEXT(TEXT(B209,"yyyymmdd"),"00000000")&amp;TEXT(COUNTIF($B$2:B209,B209),"00")</f>
        <v>2022100405</v>
      </c>
      <c r="B209" s="21">
        <f t="shared" si="3"/>
        <v>44838</v>
      </c>
      <c r="C209" s="22">
        <v>2022</v>
      </c>
      <c r="D209" s="23">
        <v>10</v>
      </c>
      <c r="E209" s="24">
        <v>4</v>
      </c>
      <c r="F209" s="42" t="s">
        <v>17</v>
      </c>
      <c r="G209" s="42" t="s">
        <v>135</v>
      </c>
      <c r="H209" s="42" t="s">
        <v>135</v>
      </c>
      <c r="I209" s="42" t="s">
        <v>136</v>
      </c>
      <c r="J209" s="10">
        <v>-50000</v>
      </c>
      <c r="K209" s="7">
        <v>50000</v>
      </c>
      <c r="L209" s="1" t="s">
        <v>484</v>
      </c>
    </row>
    <row r="210" spans="1:13">
      <c r="A210" s="21" t="str">
        <f>TEXT(TEXT(B210,"yyyymmdd"),"00000000")&amp;TEXT(COUNTIF($B$2:B210,B210),"00")</f>
        <v>2022100501</v>
      </c>
      <c r="B210" s="21">
        <f t="shared" si="3"/>
        <v>44839</v>
      </c>
      <c r="C210" s="22">
        <v>2022</v>
      </c>
      <c r="D210" s="23">
        <v>10</v>
      </c>
      <c r="E210" s="24">
        <v>5</v>
      </c>
      <c r="F210" s="42" t="s">
        <v>17</v>
      </c>
      <c r="G210" s="42" t="s">
        <v>13</v>
      </c>
      <c r="H210" s="42" t="s">
        <v>113</v>
      </c>
      <c r="I210" s="42" t="s">
        <v>171</v>
      </c>
      <c r="J210" s="10">
        <v>15000</v>
      </c>
      <c r="K210" s="7">
        <v>-15000</v>
      </c>
      <c r="L210" s="1" t="s">
        <v>331</v>
      </c>
    </row>
    <row r="211" spans="1:13">
      <c r="A211" s="21" t="str">
        <f>TEXT(TEXT(B211,"yyyymmdd"),"00000000")&amp;TEXT(COUNTIF($B$2:B211,B211),"00")</f>
        <v>2022100502</v>
      </c>
      <c r="B211" s="21">
        <f t="shared" si="3"/>
        <v>44839</v>
      </c>
      <c r="C211" s="22">
        <v>2022</v>
      </c>
      <c r="D211" s="23">
        <v>10</v>
      </c>
      <c r="E211" s="24">
        <v>5</v>
      </c>
      <c r="F211" s="42" t="s">
        <v>17</v>
      </c>
      <c r="G211" s="42" t="s">
        <v>135</v>
      </c>
      <c r="H211" s="42" t="s">
        <v>135</v>
      </c>
      <c r="I211" s="42" t="s">
        <v>136</v>
      </c>
      <c r="J211" s="10">
        <v>-8330</v>
      </c>
      <c r="K211" s="7">
        <v>8330</v>
      </c>
      <c r="L211" s="1" t="s">
        <v>484</v>
      </c>
    </row>
    <row r="212" spans="1:13">
      <c r="A212" s="21" t="str">
        <f>TEXT(TEXT(B212,"yyyymmdd"),"00000000")&amp;TEXT(COUNTIF($B$2:B212,B212),"00")</f>
        <v>2022100503</v>
      </c>
      <c r="B212" s="21">
        <f t="shared" si="3"/>
        <v>44839</v>
      </c>
      <c r="C212" s="22">
        <v>2022</v>
      </c>
      <c r="D212" s="23">
        <v>10</v>
      </c>
      <c r="E212" s="24">
        <v>5</v>
      </c>
      <c r="F212" s="42" t="s">
        <v>17</v>
      </c>
      <c r="G212" s="42" t="s">
        <v>8</v>
      </c>
      <c r="H212" s="42" t="s">
        <v>173</v>
      </c>
      <c r="I212" s="42" t="s">
        <v>262</v>
      </c>
      <c r="J212" s="10">
        <v>4400</v>
      </c>
      <c r="K212" s="7">
        <v>-4400</v>
      </c>
      <c r="L212" s="1" t="s">
        <v>55</v>
      </c>
      <c r="M212" s="2" t="s">
        <v>391</v>
      </c>
    </row>
    <row r="213" spans="1:13">
      <c r="A213" s="21" t="str">
        <f>TEXT(TEXT(B213,"yyyymmdd"),"00000000")&amp;TEXT(COUNTIF($B$2:B213,B213),"00")</f>
        <v>2022100601</v>
      </c>
      <c r="B213" s="21">
        <f t="shared" si="3"/>
        <v>44840</v>
      </c>
      <c r="C213" s="22">
        <v>2022</v>
      </c>
      <c r="D213" s="23">
        <v>10</v>
      </c>
      <c r="E213" s="24">
        <v>6</v>
      </c>
      <c r="F213" s="42" t="s">
        <v>17</v>
      </c>
      <c r="G213" s="42" t="s">
        <v>7</v>
      </c>
      <c r="H213" s="42" t="s">
        <v>173</v>
      </c>
      <c r="I213" s="42" t="s">
        <v>207</v>
      </c>
      <c r="J213" s="10">
        <v>8550</v>
      </c>
      <c r="K213" s="7">
        <v>-8550</v>
      </c>
      <c r="L213" s="1" t="s">
        <v>313</v>
      </c>
    </row>
    <row r="214" spans="1:13">
      <c r="A214" s="21" t="str">
        <f>TEXT(TEXT(B214,"yyyymmdd"),"00000000")&amp;TEXT(COUNTIF($B$2:B214,B214),"00")</f>
        <v>2022100701</v>
      </c>
      <c r="B214" s="21">
        <f t="shared" si="3"/>
        <v>44841</v>
      </c>
      <c r="C214" s="22">
        <v>2022</v>
      </c>
      <c r="D214" s="23">
        <v>10</v>
      </c>
      <c r="E214" s="24">
        <v>7</v>
      </c>
      <c r="F214" s="42" t="s">
        <v>17</v>
      </c>
      <c r="G214" s="42" t="s">
        <v>7</v>
      </c>
      <c r="H214" s="42" t="s">
        <v>138</v>
      </c>
      <c r="I214" s="42" t="s">
        <v>139</v>
      </c>
      <c r="J214" s="10">
        <v>12000</v>
      </c>
      <c r="K214" s="7">
        <v>-12000</v>
      </c>
      <c r="L214" s="1" t="s">
        <v>392</v>
      </c>
      <c r="M214" s="2" t="s">
        <v>393</v>
      </c>
    </row>
    <row r="215" spans="1:13">
      <c r="A215" s="21" t="str">
        <f>TEXT(TEXT(B215,"yyyymmdd"),"00000000")&amp;TEXT(COUNTIF($B$2:B215,B215),"00")</f>
        <v>2022100702</v>
      </c>
      <c r="B215" s="21">
        <f t="shared" si="3"/>
        <v>44841</v>
      </c>
      <c r="C215" s="22">
        <v>2022</v>
      </c>
      <c r="D215" s="23">
        <v>10</v>
      </c>
      <c r="E215" s="24">
        <v>7</v>
      </c>
      <c r="F215" s="42" t="s">
        <v>17</v>
      </c>
      <c r="G215" s="42" t="s">
        <v>151</v>
      </c>
      <c r="H215" s="42" t="s">
        <v>151</v>
      </c>
      <c r="I215" s="42" t="s">
        <v>177</v>
      </c>
      <c r="J215" s="10">
        <v>-700400</v>
      </c>
      <c r="K215" s="7">
        <v>700400</v>
      </c>
      <c r="L215" s="1" t="s">
        <v>320</v>
      </c>
    </row>
    <row r="216" spans="1:13">
      <c r="A216" s="21" t="str">
        <f>TEXT(TEXT(B216,"yyyymmdd"),"00000000")&amp;TEXT(COUNTIF($B$2:B216,B216),"00")</f>
        <v>2022100901</v>
      </c>
      <c r="B216" s="21">
        <f t="shared" si="3"/>
        <v>44843</v>
      </c>
      <c r="C216" s="22">
        <v>2022</v>
      </c>
      <c r="D216" s="23">
        <v>10</v>
      </c>
      <c r="E216" s="24">
        <v>9</v>
      </c>
      <c r="F216" s="42" t="s">
        <v>17</v>
      </c>
      <c r="G216" s="42" t="s">
        <v>7</v>
      </c>
      <c r="H216" s="42" t="s">
        <v>138</v>
      </c>
      <c r="I216" s="42" t="s">
        <v>159</v>
      </c>
      <c r="J216" s="10">
        <v>4600</v>
      </c>
      <c r="K216" s="7">
        <v>-4600</v>
      </c>
      <c r="L216" s="1" t="s">
        <v>337</v>
      </c>
      <c r="M216" s="2" t="s">
        <v>289</v>
      </c>
    </row>
    <row r="217" spans="1:13">
      <c r="A217" s="21" t="str">
        <f>TEXT(TEXT(B217,"yyyymmdd"),"00000000")&amp;TEXT(COUNTIF($B$2:B217,B217),"00")</f>
        <v>2022101101</v>
      </c>
      <c r="B217" s="21">
        <f t="shared" si="3"/>
        <v>44845</v>
      </c>
      <c r="C217" s="22">
        <v>2022</v>
      </c>
      <c r="D217" s="23">
        <v>10</v>
      </c>
      <c r="E217" s="24">
        <v>11</v>
      </c>
      <c r="F217" s="42" t="s">
        <v>17</v>
      </c>
      <c r="G217" s="42" t="s">
        <v>7</v>
      </c>
      <c r="H217" s="42" t="s">
        <v>173</v>
      </c>
      <c r="I217" s="42" t="s">
        <v>207</v>
      </c>
      <c r="J217" s="10">
        <v>400</v>
      </c>
      <c r="K217" s="7">
        <v>-400</v>
      </c>
      <c r="L217" s="1" t="s">
        <v>313</v>
      </c>
    </row>
    <row r="218" spans="1:13">
      <c r="A218" s="21" t="str">
        <f>TEXT(TEXT(B218,"yyyymmdd"),"00000000")&amp;TEXT(COUNTIF($B$2:B218,B218),"00")</f>
        <v>2022101102</v>
      </c>
      <c r="B218" s="21">
        <f t="shared" si="3"/>
        <v>44845</v>
      </c>
      <c r="C218" s="22">
        <v>2022</v>
      </c>
      <c r="D218" s="23">
        <v>10</v>
      </c>
      <c r="E218" s="24">
        <v>11</v>
      </c>
      <c r="F218" s="42" t="s">
        <v>17</v>
      </c>
      <c r="G218" s="42" t="s">
        <v>11</v>
      </c>
      <c r="H218" s="42" t="s">
        <v>99</v>
      </c>
      <c r="I218" s="42" t="s">
        <v>184</v>
      </c>
      <c r="J218" s="10">
        <v>200000</v>
      </c>
      <c r="K218" s="7">
        <v>-200000</v>
      </c>
      <c r="L218" s="1" t="s">
        <v>189</v>
      </c>
    </row>
    <row r="219" spans="1:13">
      <c r="A219" s="21" t="str">
        <f>TEXT(TEXT(B219,"yyyymmdd"),"00000000")&amp;TEXT(COUNTIF($B$2:B219,B219),"00")</f>
        <v>2022101103</v>
      </c>
      <c r="B219" s="21">
        <f t="shared" si="3"/>
        <v>44845</v>
      </c>
      <c r="C219" s="22">
        <v>2022</v>
      </c>
      <c r="D219" s="23">
        <v>10</v>
      </c>
      <c r="E219" s="24">
        <v>11</v>
      </c>
      <c r="F219" s="42" t="s">
        <v>440</v>
      </c>
      <c r="G219" s="42" t="s">
        <v>11</v>
      </c>
      <c r="H219" s="42" t="s">
        <v>99</v>
      </c>
      <c r="I219" s="42" t="s">
        <v>184</v>
      </c>
      <c r="J219" s="10">
        <v>-200000</v>
      </c>
      <c r="K219" s="7">
        <v>200000</v>
      </c>
      <c r="L219" s="1" t="s">
        <v>189</v>
      </c>
    </row>
    <row r="220" spans="1:13">
      <c r="A220" s="21" t="str">
        <f>TEXT(TEXT(B220,"yyyymmdd"),"00000000")&amp;TEXT(COUNTIF($B$2:B220,B220),"00")</f>
        <v>2022101104</v>
      </c>
      <c r="B220" s="21">
        <f t="shared" si="3"/>
        <v>44845</v>
      </c>
      <c r="C220" s="22">
        <v>2022</v>
      </c>
      <c r="D220" s="23">
        <v>10</v>
      </c>
      <c r="E220" s="24">
        <v>11</v>
      </c>
      <c r="F220" s="42" t="s">
        <v>17</v>
      </c>
      <c r="G220" s="42" t="s">
        <v>135</v>
      </c>
      <c r="H220" s="42" t="s">
        <v>135</v>
      </c>
      <c r="I220" s="42" t="s">
        <v>152</v>
      </c>
      <c r="J220" s="10">
        <v>-13500</v>
      </c>
      <c r="K220" s="7">
        <v>13500</v>
      </c>
      <c r="L220" s="1" t="s">
        <v>305</v>
      </c>
      <c r="M220" s="25"/>
    </row>
    <row r="221" spans="1:13">
      <c r="A221" s="21" t="str">
        <f>TEXT(TEXT(B221,"yyyymmdd"),"00000000")&amp;TEXT(COUNTIF($B$2:B221,B221),"00")</f>
        <v>2022101105</v>
      </c>
      <c r="B221" s="21">
        <f t="shared" si="3"/>
        <v>44845</v>
      </c>
      <c r="C221" s="22">
        <v>2022</v>
      </c>
      <c r="D221" s="23">
        <v>10</v>
      </c>
      <c r="E221" s="24">
        <v>11</v>
      </c>
      <c r="F221" s="42" t="s">
        <v>17</v>
      </c>
      <c r="G221" s="42" t="s">
        <v>7</v>
      </c>
      <c r="H221" s="42" t="s">
        <v>110</v>
      </c>
      <c r="I221" s="42" t="s">
        <v>374</v>
      </c>
      <c r="J221" s="10">
        <v>37400</v>
      </c>
      <c r="K221" s="7">
        <v>-37400</v>
      </c>
      <c r="L221" s="1" t="s">
        <v>373</v>
      </c>
    </row>
    <row r="222" spans="1:13">
      <c r="A222" s="21" t="str">
        <f>TEXT(TEXT(B222,"yyyymmdd"),"00000000")&amp;TEXT(COUNTIF($B$2:B222,B222),"00")</f>
        <v>2022101106</v>
      </c>
      <c r="B222" s="21">
        <f t="shared" si="3"/>
        <v>44845</v>
      </c>
      <c r="C222" s="22">
        <v>2022</v>
      </c>
      <c r="D222" s="23">
        <v>10</v>
      </c>
      <c r="E222" s="24">
        <v>11</v>
      </c>
      <c r="F222" s="42" t="s">
        <v>17</v>
      </c>
      <c r="G222" s="42" t="s">
        <v>11</v>
      </c>
      <c r="H222" s="42" t="s">
        <v>99</v>
      </c>
      <c r="I222" s="42" t="s">
        <v>184</v>
      </c>
      <c r="J222" s="10">
        <v>200000</v>
      </c>
      <c r="K222" s="7">
        <v>-200000</v>
      </c>
      <c r="L222" s="1" t="s">
        <v>185</v>
      </c>
    </row>
    <row r="223" spans="1:13">
      <c r="A223" s="21" t="str">
        <f>TEXT(TEXT(B223,"yyyymmdd"),"00000000")&amp;TEXT(COUNTIF($B$2:B223,B223),"00")</f>
        <v>2022101107</v>
      </c>
      <c r="B223" s="21">
        <f t="shared" si="3"/>
        <v>44845</v>
      </c>
      <c r="C223" s="22">
        <v>2022</v>
      </c>
      <c r="D223" s="23">
        <v>10</v>
      </c>
      <c r="E223" s="24">
        <v>11</v>
      </c>
      <c r="F223" s="42" t="s">
        <v>441</v>
      </c>
      <c r="G223" s="42" t="s">
        <v>11</v>
      </c>
      <c r="H223" s="42" t="s">
        <v>100</v>
      </c>
      <c r="I223" s="42" t="s">
        <v>184</v>
      </c>
      <c r="J223" s="10">
        <v>-200000</v>
      </c>
      <c r="K223" s="7">
        <v>200000</v>
      </c>
      <c r="L223" s="1" t="s">
        <v>185</v>
      </c>
    </row>
    <row r="224" spans="1:13">
      <c r="A224" s="21" t="str">
        <f>TEXT(TEXT(B224,"yyyymmdd"),"00000000")&amp;TEXT(COUNTIF($B$2:B224,B224),"00")</f>
        <v>2022101108</v>
      </c>
      <c r="B224" s="21">
        <f t="shared" si="3"/>
        <v>44845</v>
      </c>
      <c r="C224" s="22">
        <v>2022</v>
      </c>
      <c r="D224" s="23">
        <v>10</v>
      </c>
      <c r="E224" s="24">
        <v>11</v>
      </c>
      <c r="F224" s="42" t="s">
        <v>17</v>
      </c>
      <c r="G224" s="42" t="s">
        <v>170</v>
      </c>
      <c r="H224" s="42" t="s">
        <v>186</v>
      </c>
      <c r="I224" s="42" t="s">
        <v>125</v>
      </c>
      <c r="J224" s="10">
        <v>300</v>
      </c>
      <c r="K224" s="7">
        <v>-300</v>
      </c>
      <c r="L224" s="1" t="s">
        <v>185</v>
      </c>
      <c r="M224" s="2" t="s">
        <v>260</v>
      </c>
    </row>
    <row r="225" spans="1:13">
      <c r="A225" s="21" t="str">
        <f>TEXT(TEXT(B225,"yyyymmdd"),"00000000")&amp;TEXT(COUNTIF($B$2:B225,B225),"00")</f>
        <v>2022101201</v>
      </c>
      <c r="B225" s="21">
        <f t="shared" si="3"/>
        <v>44846</v>
      </c>
      <c r="C225" s="22">
        <v>2022</v>
      </c>
      <c r="D225" s="23">
        <v>10</v>
      </c>
      <c r="E225" s="24">
        <v>12</v>
      </c>
      <c r="F225" s="42" t="s">
        <v>15</v>
      </c>
      <c r="G225" s="42" t="s">
        <v>135</v>
      </c>
      <c r="H225" s="42" t="s">
        <v>135</v>
      </c>
      <c r="I225" s="42" t="s">
        <v>143</v>
      </c>
      <c r="J225" s="10">
        <v>-10000</v>
      </c>
      <c r="K225" s="7">
        <v>10000</v>
      </c>
      <c r="L225" s="1" t="s">
        <v>314</v>
      </c>
    </row>
    <row r="226" spans="1:13">
      <c r="A226" s="21" t="str">
        <f>TEXT(TEXT(B226,"yyyymmdd"),"00000000")&amp;TEXT(COUNTIF($B$2:B226,B226),"00")</f>
        <v>2022101202</v>
      </c>
      <c r="B226" s="21">
        <f t="shared" si="3"/>
        <v>44846</v>
      </c>
      <c r="C226" s="22">
        <v>2022</v>
      </c>
      <c r="D226" s="23">
        <v>10</v>
      </c>
      <c r="E226" s="24">
        <v>12</v>
      </c>
      <c r="F226" s="42" t="s">
        <v>17</v>
      </c>
      <c r="G226" s="42" t="s">
        <v>135</v>
      </c>
      <c r="H226" s="42" t="s">
        <v>135</v>
      </c>
      <c r="I226" s="42" t="s">
        <v>190</v>
      </c>
      <c r="J226" s="10">
        <v>-19170</v>
      </c>
      <c r="K226" s="7">
        <v>19170</v>
      </c>
      <c r="L226" s="1" t="s">
        <v>484</v>
      </c>
      <c r="M226" s="2" t="s">
        <v>394</v>
      </c>
    </row>
    <row r="227" spans="1:13">
      <c r="A227" s="21" t="str">
        <f>TEXT(TEXT(B227,"yyyymmdd"),"00000000")&amp;TEXT(COUNTIF($B$2:B227,B227),"00")</f>
        <v>2022101501</v>
      </c>
      <c r="B227" s="21">
        <f t="shared" si="3"/>
        <v>44849</v>
      </c>
      <c r="C227" s="22">
        <v>2022</v>
      </c>
      <c r="D227" s="23">
        <v>10</v>
      </c>
      <c r="E227" s="24">
        <v>15</v>
      </c>
      <c r="F227" s="42" t="s">
        <v>19</v>
      </c>
      <c r="G227" s="42" t="s">
        <v>135</v>
      </c>
      <c r="H227" s="42" t="s">
        <v>135</v>
      </c>
      <c r="I227" s="42" t="s">
        <v>190</v>
      </c>
      <c r="J227" s="10">
        <v>-1</v>
      </c>
      <c r="K227" s="7">
        <v>1</v>
      </c>
      <c r="L227" s="1" t="s">
        <v>326</v>
      </c>
    </row>
    <row r="228" spans="1:13">
      <c r="A228" s="21" t="str">
        <f>TEXT(TEXT(B228,"yyyymmdd"),"00000000")&amp;TEXT(COUNTIF($B$2:B228,B228),"00")</f>
        <v>2022101502</v>
      </c>
      <c r="B228" s="21">
        <f t="shared" si="3"/>
        <v>44849</v>
      </c>
      <c r="C228" s="22">
        <v>2022</v>
      </c>
      <c r="D228" s="23">
        <v>10</v>
      </c>
      <c r="E228" s="24">
        <v>15</v>
      </c>
      <c r="F228" s="42" t="s">
        <v>17</v>
      </c>
      <c r="G228" s="42" t="s">
        <v>7</v>
      </c>
      <c r="H228" s="42" t="s">
        <v>119</v>
      </c>
      <c r="I228" s="42" t="s">
        <v>180</v>
      </c>
      <c r="J228" s="10">
        <v>100330</v>
      </c>
      <c r="K228" s="7">
        <v>-100330</v>
      </c>
      <c r="L228" s="1" t="s">
        <v>395</v>
      </c>
      <c r="M228" s="2" t="s">
        <v>396</v>
      </c>
    </row>
    <row r="229" spans="1:13">
      <c r="A229" s="21" t="str">
        <f>TEXT(TEXT(B229,"yyyymmdd"),"00000000")&amp;TEXT(COUNTIF($B$2:B229,B229),"00")</f>
        <v>2022101601</v>
      </c>
      <c r="B229" s="21">
        <f t="shared" si="3"/>
        <v>44850</v>
      </c>
      <c r="C229" s="22">
        <v>2022</v>
      </c>
      <c r="D229" s="23">
        <v>10</v>
      </c>
      <c r="E229" s="24">
        <v>16</v>
      </c>
      <c r="F229" s="42" t="s">
        <v>17</v>
      </c>
      <c r="G229" s="42" t="s">
        <v>7</v>
      </c>
      <c r="H229" s="42" t="s">
        <v>110</v>
      </c>
      <c r="I229" s="42" t="s">
        <v>120</v>
      </c>
      <c r="J229" s="10">
        <v>5000</v>
      </c>
      <c r="K229" s="7">
        <v>-5000</v>
      </c>
      <c r="L229" s="1" t="s">
        <v>510</v>
      </c>
      <c r="M229" s="2" t="s">
        <v>511</v>
      </c>
    </row>
    <row r="230" spans="1:13">
      <c r="A230" s="21" t="str">
        <f>TEXT(TEXT(B230,"yyyymmdd"),"00000000")&amp;TEXT(COUNTIF($B$2:B230,B230),"00")</f>
        <v>2022101602</v>
      </c>
      <c r="B230" s="21">
        <f t="shared" si="3"/>
        <v>44850</v>
      </c>
      <c r="C230" s="22">
        <v>2022</v>
      </c>
      <c r="D230" s="23">
        <v>10</v>
      </c>
      <c r="E230" s="24">
        <v>16</v>
      </c>
      <c r="F230" s="42" t="s">
        <v>17</v>
      </c>
      <c r="G230" s="42" t="s">
        <v>7</v>
      </c>
      <c r="H230" s="42" t="s">
        <v>116</v>
      </c>
      <c r="I230" s="42" t="s">
        <v>217</v>
      </c>
      <c r="J230" s="10">
        <v>1500</v>
      </c>
      <c r="K230" s="7">
        <v>-1500</v>
      </c>
      <c r="L230" s="1" t="s">
        <v>325</v>
      </c>
      <c r="M230" s="2" t="s">
        <v>383</v>
      </c>
    </row>
    <row r="231" spans="1:13">
      <c r="A231" s="21" t="str">
        <f>TEXT(TEXT(B231,"yyyymmdd"),"00000000")&amp;TEXT(COUNTIF($B$2:B231,B231),"00")</f>
        <v>2022101603</v>
      </c>
      <c r="B231" s="21">
        <f t="shared" si="3"/>
        <v>44850</v>
      </c>
      <c r="C231" s="22">
        <v>2022</v>
      </c>
      <c r="D231" s="23">
        <v>10</v>
      </c>
      <c r="E231" s="24">
        <v>16</v>
      </c>
      <c r="F231" s="42" t="s">
        <v>17</v>
      </c>
      <c r="G231" s="42" t="s">
        <v>7</v>
      </c>
      <c r="H231" s="42" t="s">
        <v>116</v>
      </c>
      <c r="I231" s="42" t="s">
        <v>225</v>
      </c>
      <c r="J231" s="10">
        <v>12000</v>
      </c>
      <c r="K231" s="7">
        <v>-12000</v>
      </c>
      <c r="L231" s="1" t="s">
        <v>422</v>
      </c>
      <c r="M231" s="2" t="s">
        <v>512</v>
      </c>
    </row>
    <row r="232" spans="1:13">
      <c r="A232" s="21" t="str">
        <f>TEXT(TEXT(B232,"yyyymmdd"),"00000000")&amp;TEXT(COUNTIF($B$2:B232,B232),"00")</f>
        <v>2022101604</v>
      </c>
      <c r="B232" s="21">
        <f t="shared" si="3"/>
        <v>44850</v>
      </c>
      <c r="C232" s="22">
        <v>2022</v>
      </c>
      <c r="D232" s="23">
        <v>10</v>
      </c>
      <c r="E232" s="24">
        <v>16</v>
      </c>
      <c r="F232" s="42" t="s">
        <v>17</v>
      </c>
      <c r="G232" s="42" t="s">
        <v>7</v>
      </c>
      <c r="H232" s="42" t="s">
        <v>138</v>
      </c>
      <c r="I232" s="42" t="s">
        <v>139</v>
      </c>
      <c r="J232" s="10">
        <v>19450</v>
      </c>
      <c r="K232" s="7">
        <v>-19450</v>
      </c>
      <c r="L232" s="1" t="s">
        <v>397</v>
      </c>
      <c r="M232" s="26" t="s">
        <v>398</v>
      </c>
    </row>
    <row r="233" spans="1:13">
      <c r="A233" s="21" t="str">
        <f>TEXT(TEXT(B233,"yyyymmdd"),"00000000")&amp;TEXT(COUNTIF($B$2:B233,B233),"00")</f>
        <v>2022101901</v>
      </c>
      <c r="B233" s="21">
        <f t="shared" si="3"/>
        <v>44853</v>
      </c>
      <c r="C233" s="22">
        <v>2022</v>
      </c>
      <c r="D233" s="23">
        <v>10</v>
      </c>
      <c r="E233" s="24">
        <v>19</v>
      </c>
      <c r="F233" s="42" t="s">
        <v>17</v>
      </c>
      <c r="G233" s="42" t="s">
        <v>7</v>
      </c>
      <c r="H233" s="42" t="s">
        <v>173</v>
      </c>
      <c r="I233" s="42" t="s">
        <v>207</v>
      </c>
      <c r="J233" s="10">
        <v>6120</v>
      </c>
      <c r="K233" s="7">
        <v>-6120</v>
      </c>
      <c r="L233" s="1" t="s">
        <v>313</v>
      </c>
    </row>
    <row r="234" spans="1:13">
      <c r="A234" s="21" t="str">
        <f>TEXT(TEXT(B234,"yyyymmdd"),"00000000")&amp;TEXT(COUNTIF($B$2:B234,B234),"00")</f>
        <v>2022101902</v>
      </c>
      <c r="B234" s="21">
        <f t="shared" si="3"/>
        <v>44853</v>
      </c>
      <c r="C234" s="22">
        <v>2022</v>
      </c>
      <c r="D234" s="23">
        <v>10</v>
      </c>
      <c r="E234" s="24">
        <v>19</v>
      </c>
      <c r="F234" s="42" t="s">
        <v>17</v>
      </c>
      <c r="G234" s="42" t="s">
        <v>135</v>
      </c>
      <c r="H234" s="42" t="s">
        <v>135</v>
      </c>
      <c r="I234" s="42" t="s">
        <v>143</v>
      </c>
      <c r="J234" s="10">
        <v>-1</v>
      </c>
      <c r="K234" s="7">
        <v>1</v>
      </c>
      <c r="L234" s="1" t="s">
        <v>399</v>
      </c>
    </row>
    <row r="235" spans="1:13">
      <c r="A235" s="21" t="str">
        <f>TEXT(TEXT(B235,"yyyymmdd"),"00000000")&amp;TEXT(COUNTIF($B$2:B235,B235),"00")</f>
        <v>2022101903</v>
      </c>
      <c r="B235" s="21">
        <f t="shared" si="3"/>
        <v>44853</v>
      </c>
      <c r="C235" s="22">
        <v>2022</v>
      </c>
      <c r="D235" s="23">
        <v>10</v>
      </c>
      <c r="E235" s="24">
        <v>19</v>
      </c>
      <c r="F235" s="42" t="s">
        <v>15</v>
      </c>
      <c r="G235" s="42" t="s">
        <v>135</v>
      </c>
      <c r="H235" s="42" t="s">
        <v>135</v>
      </c>
      <c r="I235" s="42" t="s">
        <v>143</v>
      </c>
      <c r="J235" s="10">
        <v>-3</v>
      </c>
      <c r="K235" s="7">
        <v>3</v>
      </c>
      <c r="L235" s="1" t="s">
        <v>399</v>
      </c>
    </row>
    <row r="236" spans="1:13">
      <c r="A236" s="21" t="str">
        <f>TEXT(TEXT(B236,"yyyymmdd"),"00000000")&amp;TEXT(COUNTIF($B$2:B236,B236),"00")</f>
        <v>2022101904</v>
      </c>
      <c r="B236" s="21">
        <f t="shared" si="3"/>
        <v>44853</v>
      </c>
      <c r="C236" s="22">
        <v>2022</v>
      </c>
      <c r="D236" s="23">
        <v>10</v>
      </c>
      <c r="E236" s="24">
        <v>19</v>
      </c>
      <c r="F236" s="42" t="s">
        <v>17</v>
      </c>
      <c r="G236" s="42" t="s">
        <v>7</v>
      </c>
      <c r="H236" s="42" t="s">
        <v>116</v>
      </c>
      <c r="I236" s="42" t="s">
        <v>404</v>
      </c>
      <c r="J236" s="10">
        <v>53800</v>
      </c>
      <c r="K236" s="7">
        <v>-53800</v>
      </c>
      <c r="L236" s="1" t="s">
        <v>400</v>
      </c>
      <c r="M236" s="2" t="s">
        <v>401</v>
      </c>
    </row>
    <row r="237" spans="1:13">
      <c r="A237" s="21" t="str">
        <f>TEXT(TEXT(B237,"yyyymmdd"),"00000000")&amp;TEXT(COUNTIF($B$2:B237,B237),"00")</f>
        <v>2022101905</v>
      </c>
      <c r="B237" s="21">
        <f t="shared" si="3"/>
        <v>44853</v>
      </c>
      <c r="C237" s="22">
        <v>2022</v>
      </c>
      <c r="D237" s="23">
        <v>10</v>
      </c>
      <c r="E237" s="24">
        <v>19</v>
      </c>
      <c r="F237" s="42" t="s">
        <v>17</v>
      </c>
      <c r="G237" s="42" t="s">
        <v>13</v>
      </c>
      <c r="H237" s="42" t="s">
        <v>138</v>
      </c>
      <c r="I237" s="42" t="s">
        <v>139</v>
      </c>
      <c r="J237" s="10">
        <v>10900</v>
      </c>
      <c r="K237" s="7">
        <v>-10900</v>
      </c>
      <c r="L237" s="1" t="s">
        <v>367</v>
      </c>
    </row>
    <row r="238" spans="1:13">
      <c r="A238" s="21" t="str">
        <f>TEXT(TEXT(B238,"yyyymmdd"),"00000000")&amp;TEXT(COUNTIF($B$2:B238,B238),"00")</f>
        <v>2022102101</v>
      </c>
      <c r="B238" s="21">
        <f t="shared" si="3"/>
        <v>44855</v>
      </c>
      <c r="C238" s="22">
        <v>2022</v>
      </c>
      <c r="D238" s="23">
        <v>10</v>
      </c>
      <c r="E238" s="24">
        <v>21</v>
      </c>
      <c r="F238" s="42" t="s">
        <v>17</v>
      </c>
      <c r="G238" s="42" t="s">
        <v>7</v>
      </c>
      <c r="H238" s="42" t="s">
        <v>116</v>
      </c>
      <c r="I238" s="42" t="s">
        <v>217</v>
      </c>
      <c r="J238" s="10">
        <v>4900</v>
      </c>
      <c r="K238" s="7">
        <v>-4900</v>
      </c>
      <c r="L238" s="1" t="s">
        <v>325</v>
      </c>
      <c r="M238" s="2" t="s">
        <v>386</v>
      </c>
    </row>
    <row r="239" spans="1:13">
      <c r="A239" s="21" t="str">
        <f>TEXT(TEXT(B239,"yyyymmdd"),"00000000")&amp;TEXT(COUNTIF($B$2:B239,B239),"00")</f>
        <v>2022102102</v>
      </c>
      <c r="B239" s="21">
        <f t="shared" si="3"/>
        <v>44855</v>
      </c>
      <c r="C239" s="22">
        <v>2022</v>
      </c>
      <c r="D239" s="23">
        <v>10</v>
      </c>
      <c r="E239" s="24">
        <v>21</v>
      </c>
      <c r="F239" s="42" t="s">
        <v>17</v>
      </c>
      <c r="G239" s="42" t="s">
        <v>7</v>
      </c>
      <c r="H239" s="42" t="s">
        <v>119</v>
      </c>
      <c r="I239" s="42" t="s">
        <v>180</v>
      </c>
      <c r="J239" s="10">
        <v>10200</v>
      </c>
      <c r="K239" s="7">
        <v>-10200</v>
      </c>
      <c r="L239" s="1" t="s">
        <v>402</v>
      </c>
      <c r="M239" s="2" t="s">
        <v>403</v>
      </c>
    </row>
    <row r="240" spans="1:13">
      <c r="A240" s="21" t="str">
        <f>TEXT(TEXT(B240,"yyyymmdd"),"00000000")&amp;TEXT(COUNTIF($B$2:B240,B240),"00")</f>
        <v>2022102401</v>
      </c>
      <c r="B240" s="21">
        <f t="shared" si="3"/>
        <v>44858</v>
      </c>
      <c r="C240" s="22">
        <v>2022</v>
      </c>
      <c r="D240" s="23">
        <v>10</v>
      </c>
      <c r="E240" s="24">
        <v>24</v>
      </c>
      <c r="F240" s="42" t="s">
        <v>17</v>
      </c>
      <c r="G240" s="42" t="s">
        <v>7</v>
      </c>
      <c r="H240" s="42" t="s">
        <v>110</v>
      </c>
      <c r="I240" s="42" t="s">
        <v>374</v>
      </c>
      <c r="J240" s="10">
        <v>25600</v>
      </c>
      <c r="K240" s="7">
        <v>-25600</v>
      </c>
      <c r="L240" s="1" t="s">
        <v>373</v>
      </c>
    </row>
    <row r="241" spans="1:13">
      <c r="A241" s="21" t="str">
        <f>TEXT(TEXT(B241,"yyyymmdd"),"00000000")&amp;TEXT(COUNTIF($B$2:B241,B241),"00")</f>
        <v>2022102801</v>
      </c>
      <c r="B241" s="21">
        <f t="shared" si="3"/>
        <v>44862</v>
      </c>
      <c r="C241" s="22">
        <v>2022</v>
      </c>
      <c r="D241" s="23">
        <v>10</v>
      </c>
      <c r="E241" s="24">
        <v>28</v>
      </c>
      <c r="F241" s="42" t="s">
        <v>17</v>
      </c>
      <c r="G241" s="42" t="s">
        <v>7</v>
      </c>
      <c r="H241" s="42" t="s">
        <v>110</v>
      </c>
      <c r="I241" s="42" t="s">
        <v>120</v>
      </c>
      <c r="J241" s="10">
        <v>8400</v>
      </c>
      <c r="K241" s="7">
        <v>-8400</v>
      </c>
      <c r="L241" s="1" t="s">
        <v>422</v>
      </c>
      <c r="M241" s="2" t="s">
        <v>513</v>
      </c>
    </row>
    <row r="242" spans="1:13">
      <c r="A242" s="21" t="str">
        <f>TEXT(TEXT(B242,"yyyymmdd"),"00000000")&amp;TEXT(COUNTIF($B$2:B242,B242),"00")</f>
        <v>2022102802</v>
      </c>
      <c r="B242" s="21">
        <f t="shared" si="3"/>
        <v>44862</v>
      </c>
      <c r="C242" s="22">
        <v>2022</v>
      </c>
      <c r="D242" s="23">
        <v>10</v>
      </c>
      <c r="E242" s="24">
        <v>28</v>
      </c>
      <c r="F242" s="42" t="s">
        <v>17</v>
      </c>
      <c r="G242" s="42" t="s">
        <v>7</v>
      </c>
      <c r="H242" s="42" t="s">
        <v>138</v>
      </c>
      <c r="I242" s="42" t="s">
        <v>139</v>
      </c>
      <c r="J242" s="10">
        <v>69800</v>
      </c>
      <c r="K242" s="7">
        <v>-69800</v>
      </c>
      <c r="L242" s="1" t="s">
        <v>405</v>
      </c>
      <c r="M242" s="2" t="s">
        <v>406</v>
      </c>
    </row>
    <row r="243" spans="1:13">
      <c r="A243" s="21" t="str">
        <f>TEXT(TEXT(B243,"yyyymmdd"),"00000000")&amp;TEXT(COUNTIF($B$2:B243,B243),"00")</f>
        <v>2022102901</v>
      </c>
      <c r="B243" s="21">
        <f t="shared" si="3"/>
        <v>44863</v>
      </c>
      <c r="C243" s="22">
        <v>2022</v>
      </c>
      <c r="D243" s="23">
        <v>10</v>
      </c>
      <c r="E243" s="24">
        <v>29</v>
      </c>
      <c r="F243" s="42" t="s">
        <v>17</v>
      </c>
      <c r="G243" s="42" t="s">
        <v>135</v>
      </c>
      <c r="H243" s="42" t="s">
        <v>135</v>
      </c>
      <c r="I243" s="42" t="s">
        <v>152</v>
      </c>
      <c r="J243" s="10">
        <v>-2990</v>
      </c>
      <c r="K243" s="7">
        <v>2990</v>
      </c>
      <c r="L243" s="1" t="s">
        <v>305</v>
      </c>
      <c r="M243" s="2" t="s">
        <v>407</v>
      </c>
    </row>
    <row r="244" spans="1:13">
      <c r="A244" s="21" t="str">
        <f>TEXT(TEXT(B244,"yyyymmdd"),"00000000")&amp;TEXT(COUNTIF($B$2:B244,B244),"00")</f>
        <v>2022103101</v>
      </c>
      <c r="B244" s="21">
        <f t="shared" si="3"/>
        <v>44865</v>
      </c>
      <c r="C244" s="22">
        <v>2022</v>
      </c>
      <c r="D244" s="23">
        <v>10</v>
      </c>
      <c r="E244" s="24">
        <v>31</v>
      </c>
      <c r="F244" s="42" t="s">
        <v>17</v>
      </c>
      <c r="G244" s="42" t="s">
        <v>170</v>
      </c>
      <c r="H244" s="42" t="s">
        <v>155</v>
      </c>
      <c r="I244" s="42" t="s">
        <v>156</v>
      </c>
      <c r="J244" s="10">
        <v>1109</v>
      </c>
      <c r="K244" s="7">
        <v>-1109</v>
      </c>
      <c r="L244" s="1" t="s">
        <v>387</v>
      </c>
    </row>
    <row r="245" spans="1:13">
      <c r="A245" s="21" t="str">
        <f>TEXT(TEXT(B245,"yyyymmdd"),"00000000")&amp;TEXT(COUNTIF($B$2:B245,B245),"00")</f>
        <v>2022110201</v>
      </c>
      <c r="B245" s="21">
        <f t="shared" si="3"/>
        <v>44867</v>
      </c>
      <c r="C245" s="22">
        <v>2022</v>
      </c>
      <c r="D245" s="23">
        <v>11</v>
      </c>
      <c r="E245" s="24">
        <v>2</v>
      </c>
      <c r="F245" s="42" t="s">
        <v>17</v>
      </c>
      <c r="G245" s="42" t="s">
        <v>135</v>
      </c>
      <c r="H245" s="42" t="s">
        <v>135</v>
      </c>
      <c r="I245" s="42" t="s">
        <v>143</v>
      </c>
      <c r="J245" s="10">
        <v>-13500</v>
      </c>
      <c r="K245" s="7">
        <v>13500</v>
      </c>
      <c r="L245" s="1" t="s">
        <v>408</v>
      </c>
      <c r="M245" s="2" t="s">
        <v>409</v>
      </c>
    </row>
    <row r="246" spans="1:13">
      <c r="A246" s="21" t="str">
        <f>TEXT(TEXT(B246,"yyyymmdd"),"00000000")&amp;TEXT(COUNTIF($B$2:B246,B246),"00")</f>
        <v>2022110301</v>
      </c>
      <c r="B246" s="21">
        <f t="shared" si="3"/>
        <v>44868</v>
      </c>
      <c r="C246" s="22">
        <v>2022</v>
      </c>
      <c r="D246" s="23">
        <v>11</v>
      </c>
      <c r="E246" s="24">
        <v>3</v>
      </c>
      <c r="F246" s="42" t="s">
        <v>17</v>
      </c>
      <c r="G246" s="42" t="s">
        <v>7</v>
      </c>
      <c r="H246" s="42" t="s">
        <v>173</v>
      </c>
      <c r="I246" s="42" t="s">
        <v>207</v>
      </c>
      <c r="J246" s="10">
        <v>9560</v>
      </c>
      <c r="K246" s="7">
        <v>-9560</v>
      </c>
      <c r="L246" s="1" t="s">
        <v>313</v>
      </c>
    </row>
    <row r="247" spans="1:13">
      <c r="A247" s="21" t="str">
        <f>TEXT(TEXT(B247,"yyyymmdd"),"00000000")&amp;TEXT(COUNTIF($B$2:B247,B247),"00")</f>
        <v>2022110302</v>
      </c>
      <c r="B247" s="21">
        <f t="shared" si="3"/>
        <v>44868</v>
      </c>
      <c r="C247" s="22">
        <v>2022</v>
      </c>
      <c r="D247" s="23">
        <v>11</v>
      </c>
      <c r="E247" s="24">
        <v>3</v>
      </c>
      <c r="F247" s="42" t="s">
        <v>17</v>
      </c>
      <c r="G247" s="42" t="s">
        <v>7</v>
      </c>
      <c r="H247" s="42" t="s">
        <v>138</v>
      </c>
      <c r="I247" s="42" t="s">
        <v>159</v>
      </c>
      <c r="J247" s="10">
        <v>5600</v>
      </c>
      <c r="K247" s="7">
        <v>-5600</v>
      </c>
      <c r="L247" s="1" t="s">
        <v>410</v>
      </c>
      <c r="M247" s="2" t="s">
        <v>411</v>
      </c>
    </row>
    <row r="248" spans="1:13">
      <c r="A248" s="21" t="str">
        <f>TEXT(TEXT(B248,"yyyymmdd"),"00000000")&amp;TEXT(COUNTIF($B$2:B248,B248),"00")</f>
        <v>2022110303</v>
      </c>
      <c r="B248" s="21">
        <f t="shared" si="3"/>
        <v>44868</v>
      </c>
      <c r="C248" s="22">
        <v>2022</v>
      </c>
      <c r="D248" s="23">
        <v>11</v>
      </c>
      <c r="E248" s="24">
        <v>3</v>
      </c>
      <c r="F248" s="42" t="s">
        <v>17</v>
      </c>
      <c r="G248" s="42" t="s">
        <v>13</v>
      </c>
      <c r="H248" s="42" t="s">
        <v>138</v>
      </c>
      <c r="I248" s="42" t="s">
        <v>139</v>
      </c>
      <c r="J248" s="10">
        <v>10900</v>
      </c>
      <c r="K248" s="7">
        <v>-10900</v>
      </c>
      <c r="L248" s="1" t="s">
        <v>367</v>
      </c>
    </row>
    <row r="249" spans="1:13">
      <c r="A249" s="21" t="str">
        <f>TEXT(TEXT(B249,"yyyymmdd"),"00000000")&amp;TEXT(COUNTIF($B$2:B249,B249),"00")</f>
        <v>2022110304</v>
      </c>
      <c r="B249" s="21">
        <f t="shared" si="3"/>
        <v>44868</v>
      </c>
      <c r="C249" s="22">
        <v>2022</v>
      </c>
      <c r="D249" s="23">
        <v>11</v>
      </c>
      <c r="E249" s="24">
        <v>3</v>
      </c>
      <c r="F249" s="42" t="s">
        <v>17</v>
      </c>
      <c r="G249" s="42" t="s">
        <v>13</v>
      </c>
      <c r="H249" s="42" t="s">
        <v>173</v>
      </c>
      <c r="I249" s="42" t="s">
        <v>279</v>
      </c>
      <c r="J249" s="10">
        <v>19100</v>
      </c>
      <c r="K249" s="7">
        <v>-19100</v>
      </c>
      <c r="L249" s="1" t="s">
        <v>307</v>
      </c>
      <c r="M249" s="2" t="s">
        <v>418</v>
      </c>
    </row>
    <row r="250" spans="1:13">
      <c r="A250" s="21" t="str">
        <f>TEXT(TEXT(B250,"yyyymmdd"),"00000000")&amp;TEXT(COUNTIF($B$2:B250,B250),"00")</f>
        <v>2022110501</v>
      </c>
      <c r="B250" s="21">
        <f t="shared" si="3"/>
        <v>44870</v>
      </c>
      <c r="C250" s="22">
        <v>2022</v>
      </c>
      <c r="D250" s="23">
        <v>11</v>
      </c>
      <c r="E250" s="24">
        <v>5</v>
      </c>
      <c r="F250" s="42" t="s">
        <v>17</v>
      </c>
      <c r="G250" s="42" t="s">
        <v>7</v>
      </c>
      <c r="H250" s="42" t="s">
        <v>138</v>
      </c>
      <c r="I250" s="42" t="s">
        <v>197</v>
      </c>
      <c r="J250" s="10">
        <v>7000</v>
      </c>
      <c r="K250" s="7">
        <v>-7000</v>
      </c>
      <c r="L250" s="1" t="s">
        <v>413</v>
      </c>
      <c r="M250" s="2" t="s">
        <v>414</v>
      </c>
    </row>
    <row r="251" spans="1:13">
      <c r="A251" s="21" t="str">
        <f>TEXT(TEXT(B251,"yyyymmdd"),"00000000")&amp;TEXT(COUNTIF($B$2:B251,B251),"00")</f>
        <v>2022110502</v>
      </c>
      <c r="B251" s="21">
        <f t="shared" si="3"/>
        <v>44870</v>
      </c>
      <c r="C251" s="22">
        <v>2022</v>
      </c>
      <c r="D251" s="23">
        <v>11</v>
      </c>
      <c r="E251" s="24">
        <v>5</v>
      </c>
      <c r="F251" s="42" t="s">
        <v>17</v>
      </c>
      <c r="G251" s="42" t="s">
        <v>7</v>
      </c>
      <c r="H251" s="42" t="s">
        <v>138</v>
      </c>
      <c r="I251" s="42" t="s">
        <v>159</v>
      </c>
      <c r="J251" s="10">
        <v>3450</v>
      </c>
      <c r="K251" s="7">
        <v>-3450</v>
      </c>
      <c r="L251" s="1" t="s">
        <v>337</v>
      </c>
      <c r="M251" s="2" t="s">
        <v>412</v>
      </c>
    </row>
    <row r="252" spans="1:13">
      <c r="A252" s="21" t="str">
        <f>TEXT(TEXT(B252,"yyyymmdd"),"00000000")&amp;TEXT(COUNTIF($B$2:B252,B252),"00")</f>
        <v>2022110601</v>
      </c>
      <c r="B252" s="21">
        <f t="shared" si="3"/>
        <v>44871</v>
      </c>
      <c r="C252" s="22">
        <v>2022</v>
      </c>
      <c r="D252" s="23">
        <v>11</v>
      </c>
      <c r="E252" s="24">
        <v>6</v>
      </c>
      <c r="F252" s="42" t="s">
        <v>17</v>
      </c>
      <c r="G252" s="42" t="s">
        <v>135</v>
      </c>
      <c r="H252" s="42" t="s">
        <v>135</v>
      </c>
      <c r="I252" s="42" t="s">
        <v>152</v>
      </c>
      <c r="J252" s="10">
        <v>-50000</v>
      </c>
      <c r="K252" s="7">
        <v>50000</v>
      </c>
      <c r="L252" s="1" t="s">
        <v>305</v>
      </c>
      <c r="M252" s="2" t="s">
        <v>415</v>
      </c>
    </row>
    <row r="253" spans="1:13">
      <c r="A253" s="21" t="str">
        <f>TEXT(TEXT(B253,"yyyymmdd"),"00000000")&amp;TEXT(COUNTIF($B$2:B253,B253),"00")</f>
        <v>2022110701</v>
      </c>
      <c r="B253" s="21">
        <f t="shared" si="3"/>
        <v>44872</v>
      </c>
      <c r="C253" s="22">
        <v>2022</v>
      </c>
      <c r="D253" s="23">
        <v>11</v>
      </c>
      <c r="E253" s="24">
        <v>7</v>
      </c>
      <c r="F253" s="42" t="s">
        <v>17</v>
      </c>
      <c r="G253" s="42" t="s">
        <v>135</v>
      </c>
      <c r="H253" s="42" t="s">
        <v>135</v>
      </c>
      <c r="I253" s="42" t="s">
        <v>143</v>
      </c>
      <c r="J253" s="10">
        <v>-26432</v>
      </c>
      <c r="K253" s="7">
        <v>26432</v>
      </c>
      <c r="L253" s="1" t="s">
        <v>416</v>
      </c>
      <c r="M253" s="2" t="s">
        <v>417</v>
      </c>
    </row>
    <row r="254" spans="1:13">
      <c r="A254" s="21" t="str">
        <f>TEXT(TEXT(B254,"yyyymmdd"),"00000000")&amp;TEXT(COUNTIF($B$2:B254,B254),"00")</f>
        <v>2022110702</v>
      </c>
      <c r="B254" s="21">
        <f t="shared" si="3"/>
        <v>44872</v>
      </c>
      <c r="C254" s="22">
        <v>2022</v>
      </c>
      <c r="D254" s="23">
        <v>11</v>
      </c>
      <c r="E254" s="24">
        <v>7</v>
      </c>
      <c r="F254" s="42" t="s">
        <v>17</v>
      </c>
      <c r="G254" s="42" t="s">
        <v>13</v>
      </c>
      <c r="H254" s="42" t="s">
        <v>113</v>
      </c>
      <c r="I254" s="42" t="s">
        <v>171</v>
      </c>
      <c r="J254" s="10">
        <v>15000</v>
      </c>
      <c r="K254" s="7">
        <v>-15000</v>
      </c>
      <c r="L254" s="1" t="s">
        <v>331</v>
      </c>
    </row>
    <row r="255" spans="1:13">
      <c r="A255" s="21" t="str">
        <f>TEXT(TEXT(B255,"yyyymmdd"),"00000000")&amp;TEXT(COUNTIF($B$2:B255,B255),"00")</f>
        <v>2022110703</v>
      </c>
      <c r="B255" s="21">
        <f t="shared" si="3"/>
        <v>44872</v>
      </c>
      <c r="C255" s="22">
        <v>2022</v>
      </c>
      <c r="D255" s="23">
        <v>11</v>
      </c>
      <c r="E255" s="24">
        <v>7</v>
      </c>
      <c r="F255" s="42" t="s">
        <v>17</v>
      </c>
      <c r="G255" s="42" t="s">
        <v>7</v>
      </c>
      <c r="H255" s="42" t="s">
        <v>110</v>
      </c>
      <c r="I255" s="42" t="s">
        <v>374</v>
      </c>
      <c r="J255" s="10">
        <v>21000</v>
      </c>
      <c r="K255" s="7">
        <v>-21000</v>
      </c>
      <c r="L255" s="1" t="s">
        <v>373</v>
      </c>
    </row>
    <row r="256" spans="1:13">
      <c r="A256" s="21" t="str">
        <f>TEXT(TEXT(B256,"yyyymmdd"),"00000000")&amp;TEXT(COUNTIF($B$2:B256,B256),"00")</f>
        <v>2022110704</v>
      </c>
      <c r="B256" s="21">
        <f t="shared" si="3"/>
        <v>44872</v>
      </c>
      <c r="C256" s="22">
        <v>2022</v>
      </c>
      <c r="D256" s="23">
        <v>11</v>
      </c>
      <c r="E256" s="24">
        <v>7</v>
      </c>
      <c r="F256" s="42" t="s">
        <v>15</v>
      </c>
      <c r="G256" s="42" t="s">
        <v>135</v>
      </c>
      <c r="H256" s="42" t="s">
        <v>135</v>
      </c>
      <c r="I256" s="42" t="s">
        <v>143</v>
      </c>
      <c r="J256" s="10">
        <v>-10000</v>
      </c>
      <c r="K256" s="7">
        <v>10000</v>
      </c>
      <c r="L256" s="1" t="s">
        <v>314</v>
      </c>
    </row>
    <row r="257" spans="1:13">
      <c r="A257" s="21" t="str">
        <f>TEXT(TEXT(B257,"yyyymmdd"),"00000000")&amp;TEXT(COUNTIF($B$2:B257,B257),"00")</f>
        <v>2022110901</v>
      </c>
      <c r="B257" s="21">
        <f t="shared" si="3"/>
        <v>44874</v>
      </c>
      <c r="C257" s="22">
        <v>2022</v>
      </c>
      <c r="D257" s="23">
        <v>11</v>
      </c>
      <c r="E257" s="24">
        <v>9</v>
      </c>
      <c r="F257" s="42" t="s">
        <v>17</v>
      </c>
      <c r="G257" s="42" t="s">
        <v>11</v>
      </c>
      <c r="H257" s="42" t="s">
        <v>99</v>
      </c>
      <c r="I257" s="42" t="s">
        <v>94</v>
      </c>
      <c r="J257" s="10">
        <v>-300000</v>
      </c>
      <c r="K257" s="7">
        <v>300000</v>
      </c>
      <c r="L257" s="1" t="s">
        <v>95</v>
      </c>
    </row>
    <row r="258" spans="1:13">
      <c r="A258" s="21" t="str">
        <f>TEXT(TEXT(B258,"yyyymmdd"),"00000000")&amp;TEXT(COUNTIF($B$2:B258,B258),"00")</f>
        <v>2022110902</v>
      </c>
      <c r="B258" s="21">
        <f t="shared" ref="B258:B321" si="4">DATE(C258,D258,E258)</f>
        <v>44874</v>
      </c>
      <c r="C258" s="22">
        <v>2022</v>
      </c>
      <c r="D258" s="23">
        <v>11</v>
      </c>
      <c r="E258" s="24">
        <v>9</v>
      </c>
      <c r="F258" s="42" t="s">
        <v>21</v>
      </c>
      <c r="G258" s="42" t="s">
        <v>11</v>
      </c>
      <c r="H258" s="42" t="s">
        <v>99</v>
      </c>
      <c r="I258" s="42" t="s">
        <v>94</v>
      </c>
      <c r="J258" s="10">
        <v>300000</v>
      </c>
      <c r="K258" s="7">
        <v>-300000</v>
      </c>
      <c r="L258" s="1" t="s">
        <v>95</v>
      </c>
    </row>
    <row r="259" spans="1:13">
      <c r="A259" s="21" t="str">
        <f>TEXT(TEXT(B259,"yyyymmdd"),"00000000")&amp;TEXT(COUNTIF($B$2:B259,B259),"00")</f>
        <v>2022110903</v>
      </c>
      <c r="B259" s="21">
        <f t="shared" si="4"/>
        <v>44874</v>
      </c>
      <c r="C259" s="22">
        <v>2022</v>
      </c>
      <c r="D259" s="23">
        <v>11</v>
      </c>
      <c r="E259" s="24">
        <v>9</v>
      </c>
      <c r="F259" s="42" t="s">
        <v>17</v>
      </c>
      <c r="G259" s="42" t="s">
        <v>7</v>
      </c>
      <c r="H259" s="42" t="s">
        <v>111</v>
      </c>
      <c r="I259" s="42" t="s">
        <v>334</v>
      </c>
      <c r="J259" s="10">
        <v>43950</v>
      </c>
      <c r="K259" s="7">
        <v>-43950</v>
      </c>
      <c r="L259" s="1" t="s">
        <v>437</v>
      </c>
      <c r="M259" s="2" t="s">
        <v>438</v>
      </c>
    </row>
    <row r="260" spans="1:13">
      <c r="A260" s="21" t="str">
        <f>TEXT(TEXT(B260,"yyyymmdd"),"00000000")&amp;TEXT(COUNTIF($B$2:B260,B260),"00")</f>
        <v>2022111001</v>
      </c>
      <c r="B260" s="21">
        <f t="shared" si="4"/>
        <v>44875</v>
      </c>
      <c r="C260" s="22">
        <v>2022</v>
      </c>
      <c r="D260" s="23">
        <v>11</v>
      </c>
      <c r="E260" s="24">
        <v>10</v>
      </c>
      <c r="F260" s="42" t="s">
        <v>17</v>
      </c>
      <c r="G260" s="42" t="s">
        <v>7</v>
      </c>
      <c r="H260" s="42" t="s">
        <v>167</v>
      </c>
      <c r="I260" s="42" t="s">
        <v>168</v>
      </c>
      <c r="J260" s="10">
        <v>11050</v>
      </c>
      <c r="K260" s="7">
        <v>-11050</v>
      </c>
      <c r="L260" s="1" t="s">
        <v>332</v>
      </c>
    </row>
    <row r="261" spans="1:13">
      <c r="A261" s="21" t="str">
        <f>TEXT(TEXT(B261,"yyyymmdd"),"00000000")&amp;TEXT(COUNTIF($B$2:B261,B261),"00")</f>
        <v>2022111002</v>
      </c>
      <c r="B261" s="21">
        <f t="shared" si="4"/>
        <v>44875</v>
      </c>
      <c r="C261" s="22">
        <v>2022</v>
      </c>
      <c r="D261" s="23">
        <v>11</v>
      </c>
      <c r="E261" s="24">
        <v>10</v>
      </c>
      <c r="F261" s="42" t="s">
        <v>17</v>
      </c>
      <c r="G261" s="42" t="s">
        <v>135</v>
      </c>
      <c r="H261" s="42" t="s">
        <v>135</v>
      </c>
      <c r="I261" s="42" t="s">
        <v>190</v>
      </c>
      <c r="J261" s="10">
        <v>-23358</v>
      </c>
      <c r="K261" s="7">
        <v>23358</v>
      </c>
      <c r="L261" s="1" t="s">
        <v>416</v>
      </c>
      <c r="M261" s="2" t="s">
        <v>417</v>
      </c>
    </row>
    <row r="262" spans="1:13">
      <c r="A262" s="21" t="str">
        <f>TEXT(TEXT(B262,"yyyymmdd"),"00000000")&amp;TEXT(COUNTIF($B$2:B262,B262),"00")</f>
        <v>2022111003</v>
      </c>
      <c r="B262" s="21">
        <f t="shared" si="4"/>
        <v>44875</v>
      </c>
      <c r="C262" s="22">
        <v>2022</v>
      </c>
      <c r="D262" s="23">
        <v>11</v>
      </c>
      <c r="E262" s="24">
        <v>10</v>
      </c>
      <c r="F262" s="42" t="s">
        <v>17</v>
      </c>
      <c r="G262" s="42" t="s">
        <v>151</v>
      </c>
      <c r="H262" s="42" t="s">
        <v>151</v>
      </c>
      <c r="I262" s="42" t="s">
        <v>177</v>
      </c>
      <c r="J262" s="10">
        <v>-400680</v>
      </c>
      <c r="K262" s="7">
        <v>400680</v>
      </c>
      <c r="L262" s="1" t="s">
        <v>320</v>
      </c>
      <c r="M262" s="2" t="s">
        <v>439</v>
      </c>
    </row>
    <row r="263" spans="1:13">
      <c r="A263" s="21" t="str">
        <f>TEXT(TEXT(B263,"yyyymmdd"),"00000000")&amp;TEXT(COUNTIF($B$2:B263,B263),"00")</f>
        <v>2022111004</v>
      </c>
      <c r="B263" s="21">
        <f t="shared" si="4"/>
        <v>44875</v>
      </c>
      <c r="C263" s="22">
        <v>2022</v>
      </c>
      <c r="D263" s="23">
        <v>11</v>
      </c>
      <c r="E263" s="24">
        <v>10</v>
      </c>
      <c r="F263" s="42" t="s">
        <v>17</v>
      </c>
      <c r="G263" s="42" t="s">
        <v>7</v>
      </c>
      <c r="H263" s="42" t="s">
        <v>138</v>
      </c>
      <c r="I263" s="42" t="s">
        <v>139</v>
      </c>
      <c r="J263" s="10">
        <v>13000</v>
      </c>
      <c r="K263" s="7">
        <v>-13000</v>
      </c>
      <c r="L263" s="1" t="s">
        <v>419</v>
      </c>
      <c r="M263" s="2" t="s">
        <v>420</v>
      </c>
    </row>
    <row r="264" spans="1:13">
      <c r="A264" s="21" t="str">
        <f>TEXT(TEXT(B264,"yyyymmdd"),"00000000")&amp;TEXT(COUNTIF($B$2:B264,B264),"00")</f>
        <v>2022111101</v>
      </c>
      <c r="B264" s="21">
        <f t="shared" si="4"/>
        <v>44876</v>
      </c>
      <c r="C264" s="22">
        <v>2022</v>
      </c>
      <c r="D264" s="23">
        <v>11</v>
      </c>
      <c r="E264" s="24">
        <v>11</v>
      </c>
      <c r="F264" s="42" t="s">
        <v>17</v>
      </c>
      <c r="G264" s="42" t="s">
        <v>11</v>
      </c>
      <c r="H264" s="42" t="s">
        <v>99</v>
      </c>
      <c r="I264" s="42" t="s">
        <v>184</v>
      </c>
      <c r="J264" s="10">
        <v>200000</v>
      </c>
      <c r="K264" s="7">
        <v>-200000</v>
      </c>
      <c r="L264" s="1" t="s">
        <v>189</v>
      </c>
    </row>
    <row r="265" spans="1:13">
      <c r="A265" s="21" t="str">
        <f>TEXT(TEXT(B265,"yyyymmdd"),"00000000")&amp;TEXT(COUNTIF($B$2:B265,B265),"00")</f>
        <v>2022111102</v>
      </c>
      <c r="B265" s="21">
        <f t="shared" si="4"/>
        <v>44876</v>
      </c>
      <c r="C265" s="22">
        <v>2022</v>
      </c>
      <c r="D265" s="23">
        <v>11</v>
      </c>
      <c r="E265" s="24">
        <v>11</v>
      </c>
      <c r="F265" s="42" t="s">
        <v>440</v>
      </c>
      <c r="G265" s="42" t="s">
        <v>11</v>
      </c>
      <c r="H265" s="42" t="s">
        <v>99</v>
      </c>
      <c r="I265" s="42" t="s">
        <v>184</v>
      </c>
      <c r="J265" s="10">
        <v>-200000</v>
      </c>
      <c r="K265" s="7">
        <v>200000</v>
      </c>
      <c r="L265" s="1" t="s">
        <v>189</v>
      </c>
    </row>
    <row r="266" spans="1:13">
      <c r="A266" s="21" t="str">
        <f>TEXT(TEXT(B266,"yyyymmdd"),"00000000")&amp;TEXT(COUNTIF($B$2:B266,B266),"00")</f>
        <v>2022111103</v>
      </c>
      <c r="B266" s="21">
        <f t="shared" si="4"/>
        <v>44876</v>
      </c>
      <c r="C266" s="22">
        <v>2022</v>
      </c>
      <c r="D266" s="23">
        <v>11</v>
      </c>
      <c r="E266" s="24">
        <v>11</v>
      </c>
      <c r="F266" s="42" t="s">
        <v>17</v>
      </c>
      <c r="G266" s="42" t="s">
        <v>11</v>
      </c>
      <c r="H266" s="42" t="s">
        <v>99</v>
      </c>
      <c r="I266" s="42" t="s">
        <v>184</v>
      </c>
      <c r="J266" s="10">
        <v>200000</v>
      </c>
      <c r="K266" s="7">
        <v>-200000</v>
      </c>
      <c r="L266" s="1" t="s">
        <v>185</v>
      </c>
    </row>
    <row r="267" spans="1:13">
      <c r="A267" s="21" t="str">
        <f>TEXT(TEXT(B267,"yyyymmdd"),"00000000")&amp;TEXT(COUNTIF($B$2:B267,B267),"00")</f>
        <v>2022111104</v>
      </c>
      <c r="B267" s="21">
        <f t="shared" si="4"/>
        <v>44876</v>
      </c>
      <c r="C267" s="22">
        <v>2022</v>
      </c>
      <c r="D267" s="23">
        <v>11</v>
      </c>
      <c r="E267" s="24">
        <v>11</v>
      </c>
      <c r="F267" s="42" t="s">
        <v>441</v>
      </c>
      <c r="G267" s="42" t="s">
        <v>11</v>
      </c>
      <c r="H267" s="42" t="s">
        <v>99</v>
      </c>
      <c r="I267" s="42" t="s">
        <v>184</v>
      </c>
      <c r="J267" s="10">
        <v>-200000</v>
      </c>
      <c r="K267" s="7">
        <v>200000</v>
      </c>
      <c r="L267" s="1" t="s">
        <v>185</v>
      </c>
    </row>
    <row r="268" spans="1:13">
      <c r="A268" s="21" t="str">
        <f>TEXT(TEXT(B268,"yyyymmdd"),"00000000")&amp;TEXT(COUNTIF($B$2:B268,B268),"00")</f>
        <v>2022111105</v>
      </c>
      <c r="B268" s="21">
        <f t="shared" si="4"/>
        <v>44876</v>
      </c>
      <c r="C268" s="22">
        <v>2022</v>
      </c>
      <c r="D268" s="23">
        <v>11</v>
      </c>
      <c r="E268" s="24">
        <v>11</v>
      </c>
      <c r="F268" s="42" t="s">
        <v>17</v>
      </c>
      <c r="G268" s="42" t="s">
        <v>170</v>
      </c>
      <c r="H268" s="42" t="s">
        <v>186</v>
      </c>
      <c r="I268" s="42" t="s">
        <v>125</v>
      </c>
      <c r="J268" s="10">
        <v>300</v>
      </c>
      <c r="K268" s="7">
        <v>-300</v>
      </c>
      <c r="L268" s="1" t="s">
        <v>185</v>
      </c>
      <c r="M268" s="2" t="s">
        <v>260</v>
      </c>
    </row>
    <row r="269" spans="1:13">
      <c r="A269" s="21" t="str">
        <f>TEXT(TEXT(B269,"yyyymmdd"),"00000000")&amp;TEXT(COUNTIF($B$2:B269,B269),"00")</f>
        <v>2022111201</v>
      </c>
      <c r="B269" s="21">
        <f t="shared" si="4"/>
        <v>44877</v>
      </c>
      <c r="C269" s="22">
        <v>2022</v>
      </c>
      <c r="D269" s="23">
        <v>11</v>
      </c>
      <c r="E269" s="24">
        <v>12</v>
      </c>
      <c r="F269" s="42" t="s">
        <v>17</v>
      </c>
      <c r="G269" s="42" t="s">
        <v>135</v>
      </c>
      <c r="H269" s="42" t="s">
        <v>135</v>
      </c>
      <c r="I269" s="42" t="s">
        <v>190</v>
      </c>
      <c r="J269" s="10">
        <v>-2207</v>
      </c>
      <c r="K269" s="7">
        <v>2207</v>
      </c>
      <c r="L269" s="1" t="s">
        <v>326</v>
      </c>
    </row>
    <row r="270" spans="1:13">
      <c r="A270" s="21" t="str">
        <f>TEXT(TEXT(B270,"yyyymmdd"),"00000000")&amp;TEXT(COUNTIF($B$2:B270,B270),"00")</f>
        <v>2022111202</v>
      </c>
      <c r="B270" s="21">
        <f t="shared" si="4"/>
        <v>44877</v>
      </c>
      <c r="C270" s="22">
        <v>2022</v>
      </c>
      <c r="D270" s="23">
        <v>11</v>
      </c>
      <c r="E270" s="24">
        <v>12</v>
      </c>
      <c r="F270" s="42" t="s">
        <v>17</v>
      </c>
      <c r="G270" s="42" t="s">
        <v>135</v>
      </c>
      <c r="H270" s="42" t="s">
        <v>135</v>
      </c>
      <c r="I270" s="42" t="s">
        <v>152</v>
      </c>
      <c r="J270" s="10">
        <v>-10000</v>
      </c>
      <c r="K270" s="7">
        <v>10000</v>
      </c>
      <c r="L270" s="1" t="s">
        <v>426</v>
      </c>
    </row>
    <row r="271" spans="1:13">
      <c r="A271" s="21" t="str">
        <f>TEXT(TEXT(B271,"yyyymmdd"),"00000000")&amp;TEXT(COUNTIF($B$2:B271,B271),"00")</f>
        <v>2022111203</v>
      </c>
      <c r="B271" s="21">
        <f t="shared" si="4"/>
        <v>44877</v>
      </c>
      <c r="C271" s="22">
        <v>2022</v>
      </c>
      <c r="D271" s="23">
        <v>11</v>
      </c>
      <c r="E271" s="24">
        <v>12</v>
      </c>
      <c r="F271" s="42" t="s">
        <v>17</v>
      </c>
      <c r="G271" s="42" t="s">
        <v>7</v>
      </c>
      <c r="H271" s="42" t="s">
        <v>138</v>
      </c>
      <c r="I271" s="42" t="s">
        <v>139</v>
      </c>
      <c r="J271" s="10">
        <v>12000</v>
      </c>
      <c r="K271" s="7">
        <v>-12000</v>
      </c>
      <c r="L271" s="1" t="s">
        <v>421</v>
      </c>
    </row>
    <row r="272" spans="1:13">
      <c r="A272" s="21" t="str">
        <f>TEXT(TEXT(B272,"yyyymmdd"),"00000000")&amp;TEXT(COUNTIF($B$2:B272,B272),"00")</f>
        <v>2022111204</v>
      </c>
      <c r="B272" s="21">
        <f t="shared" si="4"/>
        <v>44877</v>
      </c>
      <c r="C272" s="22">
        <v>2022</v>
      </c>
      <c r="D272" s="23">
        <v>11</v>
      </c>
      <c r="E272" s="24">
        <v>12</v>
      </c>
      <c r="F272" s="42" t="s">
        <v>17</v>
      </c>
      <c r="G272" s="42" t="s">
        <v>7</v>
      </c>
      <c r="H272" s="42" t="s">
        <v>116</v>
      </c>
      <c r="I272" s="42" t="s">
        <v>225</v>
      </c>
      <c r="J272" s="10">
        <v>23200</v>
      </c>
      <c r="K272" s="7">
        <v>-23200</v>
      </c>
      <c r="L272" s="1" t="s">
        <v>422</v>
      </c>
      <c r="M272" s="2" t="s">
        <v>514</v>
      </c>
    </row>
    <row r="273" spans="1:13">
      <c r="A273" s="21" t="str">
        <f>TEXT(TEXT(B273,"yyyymmdd"),"00000000")&amp;TEXT(COUNTIF($B$2:B273,B273),"00")</f>
        <v>2022111205</v>
      </c>
      <c r="B273" s="21">
        <f t="shared" si="4"/>
        <v>44877</v>
      </c>
      <c r="C273" s="22">
        <v>2022</v>
      </c>
      <c r="D273" s="23">
        <v>11</v>
      </c>
      <c r="E273" s="24">
        <v>12</v>
      </c>
      <c r="F273" s="42" t="s">
        <v>17</v>
      </c>
      <c r="G273" s="42" t="s">
        <v>11</v>
      </c>
      <c r="H273" s="42" t="s">
        <v>99</v>
      </c>
      <c r="I273" s="42" t="s">
        <v>423</v>
      </c>
      <c r="J273" s="10">
        <v>8000</v>
      </c>
      <c r="K273" s="7">
        <v>-8000</v>
      </c>
      <c r="L273" s="1" t="s">
        <v>424</v>
      </c>
      <c r="M273" s="2" t="s">
        <v>425</v>
      </c>
    </row>
    <row r="274" spans="1:13">
      <c r="A274" s="21" t="str">
        <f>TEXT(TEXT(B274,"yyyymmdd"),"00000000")&amp;TEXT(COUNTIF($B$2:B274,B274),"00")</f>
        <v>2022111401</v>
      </c>
      <c r="B274" s="21">
        <f t="shared" si="4"/>
        <v>44879</v>
      </c>
      <c r="C274" s="22">
        <v>2022</v>
      </c>
      <c r="D274" s="23">
        <v>11</v>
      </c>
      <c r="E274" s="24">
        <v>14</v>
      </c>
      <c r="F274" s="42" t="s">
        <v>17</v>
      </c>
      <c r="G274" s="42" t="s">
        <v>135</v>
      </c>
      <c r="H274" s="42" t="s">
        <v>135</v>
      </c>
      <c r="I274" s="42" t="s">
        <v>190</v>
      </c>
      <c r="J274" s="10">
        <v>-2500</v>
      </c>
      <c r="K274" s="7">
        <v>2500</v>
      </c>
      <c r="L274" s="1" t="s">
        <v>304</v>
      </c>
    </row>
    <row r="275" spans="1:13">
      <c r="A275" s="21" t="str">
        <f>TEXT(TEXT(B275,"yyyymmdd"),"00000000")&amp;TEXT(COUNTIF($B$2:B275,B275),"00")</f>
        <v>2022111402</v>
      </c>
      <c r="B275" s="21">
        <f t="shared" si="4"/>
        <v>44879</v>
      </c>
      <c r="C275" s="22">
        <v>2022</v>
      </c>
      <c r="D275" s="23">
        <v>11</v>
      </c>
      <c r="E275" s="24">
        <v>14</v>
      </c>
      <c r="F275" s="42" t="s">
        <v>17</v>
      </c>
      <c r="G275" s="42" t="s">
        <v>13</v>
      </c>
      <c r="H275" s="42" t="s">
        <v>138</v>
      </c>
      <c r="I275" s="42" t="s">
        <v>139</v>
      </c>
      <c r="J275" s="10">
        <v>8800</v>
      </c>
      <c r="K275" s="7">
        <v>-8800</v>
      </c>
      <c r="L275" s="1" t="s">
        <v>429</v>
      </c>
    </row>
    <row r="276" spans="1:13">
      <c r="A276" s="21" t="str">
        <f>TEXT(TEXT(B276,"yyyymmdd"),"00000000")&amp;TEXT(COUNTIF($B$2:B276,B276),"00")</f>
        <v>2022111403</v>
      </c>
      <c r="B276" s="21">
        <f t="shared" si="4"/>
        <v>44879</v>
      </c>
      <c r="C276" s="22">
        <v>2022</v>
      </c>
      <c r="D276" s="23">
        <v>11</v>
      </c>
      <c r="E276" s="24">
        <v>14</v>
      </c>
      <c r="F276" s="42" t="s">
        <v>17</v>
      </c>
      <c r="G276" s="42" t="s">
        <v>135</v>
      </c>
      <c r="H276" s="42" t="s">
        <v>135</v>
      </c>
      <c r="I276" s="42" t="s">
        <v>143</v>
      </c>
      <c r="J276" s="10">
        <v>-240</v>
      </c>
      <c r="K276" s="7">
        <v>240</v>
      </c>
      <c r="L276" s="1" t="s">
        <v>427</v>
      </c>
      <c r="M276" s="2" t="s">
        <v>428</v>
      </c>
    </row>
    <row r="277" spans="1:13">
      <c r="A277" s="21" t="str">
        <f>TEXT(TEXT(B277,"yyyymmdd"),"00000000")&amp;TEXT(COUNTIF($B$2:B277,B277),"00")</f>
        <v>2022111601</v>
      </c>
      <c r="B277" s="21">
        <f t="shared" si="4"/>
        <v>44881</v>
      </c>
      <c r="C277" s="22">
        <v>2022</v>
      </c>
      <c r="D277" s="23">
        <v>11</v>
      </c>
      <c r="E277" s="24">
        <v>16</v>
      </c>
      <c r="F277" s="42" t="s">
        <v>498</v>
      </c>
      <c r="G277" s="42" t="s">
        <v>11</v>
      </c>
      <c r="H277" s="42" t="s">
        <v>99</v>
      </c>
      <c r="I277" s="42" t="s">
        <v>94</v>
      </c>
      <c r="J277" s="10">
        <v>-3000000</v>
      </c>
      <c r="K277" s="7">
        <v>3000000</v>
      </c>
      <c r="L277" s="1" t="s">
        <v>433</v>
      </c>
    </row>
    <row r="278" spans="1:13">
      <c r="A278" s="21" t="str">
        <f>TEXT(TEXT(B278,"yyyymmdd"),"00000000")&amp;TEXT(COUNTIF($B$2:B278,B278),"00")</f>
        <v>2022111602</v>
      </c>
      <c r="B278" s="21">
        <f t="shared" si="4"/>
        <v>44881</v>
      </c>
      <c r="C278" s="22">
        <v>2022</v>
      </c>
      <c r="D278" s="23">
        <v>11</v>
      </c>
      <c r="E278" s="24">
        <v>16</v>
      </c>
      <c r="F278" s="42" t="s">
        <v>440</v>
      </c>
      <c r="G278" s="42" t="s">
        <v>11</v>
      </c>
      <c r="H278" s="42" t="s">
        <v>99</v>
      </c>
      <c r="I278" s="42" t="s">
        <v>94</v>
      </c>
      <c r="J278" s="10">
        <v>3000000</v>
      </c>
      <c r="K278" s="7">
        <v>-3000000</v>
      </c>
      <c r="L278" s="1" t="s">
        <v>433</v>
      </c>
    </row>
    <row r="279" spans="1:13">
      <c r="A279" s="21" t="str">
        <f>TEXT(TEXT(B279,"yyyymmdd"),"00000000")&amp;TEXT(COUNTIF($B$2:B279,B279),"00")</f>
        <v>2022111603</v>
      </c>
      <c r="B279" s="21">
        <f t="shared" si="4"/>
        <v>44881</v>
      </c>
      <c r="C279" s="22">
        <v>2022</v>
      </c>
      <c r="D279" s="23">
        <v>11</v>
      </c>
      <c r="E279" s="24">
        <v>16</v>
      </c>
      <c r="F279" s="42" t="s">
        <v>498</v>
      </c>
      <c r="G279" s="42" t="s">
        <v>11</v>
      </c>
      <c r="H279" s="42" t="s">
        <v>99</v>
      </c>
      <c r="I279" s="42" t="s">
        <v>94</v>
      </c>
      <c r="J279" s="10">
        <v>-3328174</v>
      </c>
      <c r="K279" s="7">
        <v>3328174</v>
      </c>
      <c r="L279" s="1" t="s">
        <v>433</v>
      </c>
    </row>
    <row r="280" spans="1:13">
      <c r="A280" s="21" t="str">
        <f>TEXT(TEXT(B280,"yyyymmdd"),"00000000")&amp;TEXT(COUNTIF($B$2:B280,B280),"00")</f>
        <v>2022111604</v>
      </c>
      <c r="B280" s="21">
        <f t="shared" si="4"/>
        <v>44881</v>
      </c>
      <c r="C280" s="22">
        <v>2022</v>
      </c>
      <c r="D280" s="23">
        <v>11</v>
      </c>
      <c r="E280" s="24">
        <v>16</v>
      </c>
      <c r="F280" s="42" t="s">
        <v>441</v>
      </c>
      <c r="G280" s="42" t="s">
        <v>11</v>
      </c>
      <c r="H280" s="42" t="s">
        <v>99</v>
      </c>
      <c r="I280" s="42" t="s">
        <v>94</v>
      </c>
      <c r="J280" s="10">
        <v>3328174</v>
      </c>
      <c r="K280" s="7">
        <v>-3328174</v>
      </c>
      <c r="L280" s="1" t="s">
        <v>433</v>
      </c>
    </row>
    <row r="281" spans="1:13">
      <c r="A281" s="21" t="str">
        <f>TEXT(TEXT(B281,"yyyymmdd"),"00000000")&amp;TEXT(COUNTIF($B$2:B281,B281),"00")</f>
        <v>2022111605</v>
      </c>
      <c r="B281" s="21">
        <f t="shared" si="4"/>
        <v>44881</v>
      </c>
      <c r="C281" s="22">
        <v>2022</v>
      </c>
      <c r="D281" s="23">
        <v>11</v>
      </c>
      <c r="E281" s="24">
        <v>16</v>
      </c>
      <c r="F281" s="42" t="s">
        <v>498</v>
      </c>
      <c r="G281" s="42" t="s">
        <v>11</v>
      </c>
      <c r="H281" s="42" t="s">
        <v>99</v>
      </c>
      <c r="I281" s="42" t="s">
        <v>94</v>
      </c>
      <c r="J281" s="10">
        <v>-90</v>
      </c>
      <c r="K281" s="7">
        <v>90</v>
      </c>
      <c r="L281" s="1" t="s">
        <v>433</v>
      </c>
    </row>
    <row r="282" spans="1:13">
      <c r="A282" s="21" t="str">
        <f>TEXT(TEXT(B282,"yyyymmdd"),"00000000")&amp;TEXT(COUNTIF($B$2:B282,B282),"00")</f>
        <v>2022111606</v>
      </c>
      <c r="B282" s="21">
        <f t="shared" si="4"/>
        <v>44881</v>
      </c>
      <c r="C282" s="22">
        <v>2022</v>
      </c>
      <c r="D282" s="23">
        <v>11</v>
      </c>
      <c r="E282" s="24">
        <v>16</v>
      </c>
      <c r="F282" s="42" t="s">
        <v>19</v>
      </c>
      <c r="G282" s="42" t="s">
        <v>11</v>
      </c>
      <c r="H282" s="42" t="s">
        <v>99</v>
      </c>
      <c r="I282" s="42" t="s">
        <v>94</v>
      </c>
      <c r="J282" s="10">
        <v>90</v>
      </c>
      <c r="K282" s="7">
        <v>-90</v>
      </c>
      <c r="L282" s="1" t="s">
        <v>433</v>
      </c>
    </row>
    <row r="283" spans="1:13">
      <c r="A283" s="21" t="str">
        <f>TEXT(TEXT(B283,"yyyymmdd"),"00000000")&amp;TEXT(COUNTIF($B$2:B283,B283),"00")</f>
        <v>2022111607</v>
      </c>
      <c r="B283" s="21">
        <f t="shared" si="4"/>
        <v>44881</v>
      </c>
      <c r="C283" s="22">
        <v>2022</v>
      </c>
      <c r="D283" s="23">
        <v>11</v>
      </c>
      <c r="E283" s="24">
        <v>16</v>
      </c>
      <c r="F283" s="42" t="s">
        <v>17</v>
      </c>
      <c r="G283" s="42" t="s">
        <v>135</v>
      </c>
      <c r="H283" s="42" t="s">
        <v>135</v>
      </c>
      <c r="I283" s="42" t="s">
        <v>152</v>
      </c>
      <c r="J283" s="10">
        <v>-100000</v>
      </c>
      <c r="K283" s="7">
        <v>100000</v>
      </c>
      <c r="L283" s="1" t="s">
        <v>305</v>
      </c>
    </row>
    <row r="284" spans="1:13">
      <c r="A284" s="21" t="str">
        <f>TEXT(TEXT(B284,"yyyymmdd"),"00000000")&amp;TEXT(COUNTIF($B$2:B284,B284),"00")</f>
        <v>2022111608</v>
      </c>
      <c r="B284" s="21">
        <f t="shared" si="4"/>
        <v>44881</v>
      </c>
      <c r="C284" s="22">
        <v>2022</v>
      </c>
      <c r="D284" s="23">
        <v>11</v>
      </c>
      <c r="E284" s="24">
        <v>16</v>
      </c>
      <c r="F284" s="42" t="s">
        <v>440</v>
      </c>
      <c r="G284" s="42" t="s">
        <v>11</v>
      </c>
      <c r="H284" s="42" t="s">
        <v>99</v>
      </c>
      <c r="I284" s="42" t="s">
        <v>94</v>
      </c>
      <c r="J284" s="10">
        <v>328726</v>
      </c>
      <c r="K284" s="7">
        <v>-328726</v>
      </c>
      <c r="L284" s="1" t="s">
        <v>95</v>
      </c>
    </row>
    <row r="285" spans="1:13">
      <c r="A285" s="21" t="str">
        <f>TEXT(TEXT(B285,"yyyymmdd"),"00000000")&amp;TEXT(COUNTIF($B$2:B285,B285),"00")</f>
        <v>2022111609</v>
      </c>
      <c r="B285" s="21">
        <f t="shared" si="4"/>
        <v>44881</v>
      </c>
      <c r="C285" s="22">
        <v>2022</v>
      </c>
      <c r="D285" s="23">
        <v>11</v>
      </c>
      <c r="E285" s="24">
        <v>16</v>
      </c>
      <c r="F285" s="42" t="s">
        <v>17</v>
      </c>
      <c r="G285" s="42" t="s">
        <v>11</v>
      </c>
      <c r="H285" s="42" t="s">
        <v>99</v>
      </c>
      <c r="I285" s="42" t="s">
        <v>94</v>
      </c>
      <c r="J285" s="10">
        <v>-328726</v>
      </c>
      <c r="K285" s="7">
        <v>328726</v>
      </c>
      <c r="L285" s="1" t="s">
        <v>95</v>
      </c>
    </row>
    <row r="286" spans="1:13">
      <c r="A286" s="21" t="str">
        <f>TEXT(TEXT(B286,"yyyymmdd"),"00000000")&amp;TEXT(COUNTIF($B$2:B286,B286),"00")</f>
        <v>2022111610</v>
      </c>
      <c r="B286" s="21">
        <f t="shared" si="4"/>
        <v>44881</v>
      </c>
      <c r="C286" s="22">
        <v>2022</v>
      </c>
      <c r="D286" s="23">
        <v>11</v>
      </c>
      <c r="E286" s="24">
        <v>16</v>
      </c>
      <c r="F286" s="42" t="s">
        <v>17</v>
      </c>
      <c r="G286" s="42" t="s">
        <v>7</v>
      </c>
      <c r="H286" s="42" t="s">
        <v>138</v>
      </c>
      <c r="I286" s="42" t="s">
        <v>139</v>
      </c>
      <c r="J286" s="10">
        <v>12000</v>
      </c>
      <c r="K286" s="7">
        <v>-12000</v>
      </c>
      <c r="L286" s="1" t="s">
        <v>430</v>
      </c>
      <c r="M286" s="2" t="s">
        <v>431</v>
      </c>
    </row>
    <row r="287" spans="1:13">
      <c r="A287" s="21" t="str">
        <f>TEXT(TEXT(B287,"yyyymmdd"),"00000000")&amp;TEXT(COUNTIF($B$2:B287,B287),"00")</f>
        <v>2022111611</v>
      </c>
      <c r="B287" s="21">
        <f t="shared" si="4"/>
        <v>44881</v>
      </c>
      <c r="C287" s="22">
        <v>2022</v>
      </c>
      <c r="D287" s="23">
        <v>11</v>
      </c>
      <c r="E287" s="24">
        <v>16</v>
      </c>
      <c r="F287" s="42" t="s">
        <v>440</v>
      </c>
      <c r="G287" s="42" t="s">
        <v>135</v>
      </c>
      <c r="H287" s="42" t="s">
        <v>135</v>
      </c>
      <c r="I287" s="42" t="s">
        <v>190</v>
      </c>
      <c r="J287" s="10">
        <v>-128726</v>
      </c>
      <c r="K287" s="7">
        <v>128726</v>
      </c>
      <c r="L287" s="1" t="s">
        <v>432</v>
      </c>
    </row>
    <row r="288" spans="1:13">
      <c r="A288" s="21" t="str">
        <f>TEXT(TEXT(B288,"yyyymmdd"),"00000000")&amp;TEXT(COUNTIF($B$2:B288,B288),"00")</f>
        <v>2022111612</v>
      </c>
      <c r="B288" s="21">
        <f t="shared" si="4"/>
        <v>44881</v>
      </c>
      <c r="C288" s="22">
        <v>2022</v>
      </c>
      <c r="D288" s="23">
        <v>11</v>
      </c>
      <c r="E288" s="24">
        <v>16</v>
      </c>
      <c r="F288" s="42" t="s">
        <v>441</v>
      </c>
      <c r="G288" s="42" t="s">
        <v>135</v>
      </c>
      <c r="H288" s="42" t="s">
        <v>135</v>
      </c>
      <c r="I288" s="42" t="s">
        <v>190</v>
      </c>
      <c r="J288" s="10">
        <v>-128174</v>
      </c>
      <c r="K288" s="7">
        <v>128174</v>
      </c>
      <c r="L288" s="1" t="s">
        <v>432</v>
      </c>
    </row>
    <row r="289" spans="1:13">
      <c r="A289" s="21" t="str">
        <f>TEXT(TEXT(B289,"yyyymmdd"),"00000000")&amp;TEXT(COUNTIF($B$2:B289,B289),"00")</f>
        <v>2022111613</v>
      </c>
      <c r="B289" s="21">
        <f t="shared" si="4"/>
        <v>44881</v>
      </c>
      <c r="C289" s="22">
        <v>2022</v>
      </c>
      <c r="D289" s="23">
        <v>11</v>
      </c>
      <c r="E289" s="24">
        <v>16</v>
      </c>
      <c r="F289" s="42" t="s">
        <v>17</v>
      </c>
      <c r="G289" s="42" t="s">
        <v>7</v>
      </c>
      <c r="H289" s="42" t="s">
        <v>110</v>
      </c>
      <c r="I289" s="42" t="s">
        <v>374</v>
      </c>
      <c r="J289" s="10">
        <v>27200</v>
      </c>
      <c r="K289" s="7">
        <v>-27200</v>
      </c>
      <c r="L289" s="1" t="s">
        <v>373</v>
      </c>
    </row>
    <row r="290" spans="1:13">
      <c r="A290" s="21" t="str">
        <f>TEXT(TEXT(B290,"yyyymmdd"),"00000000")&amp;TEXT(COUNTIF($B$2:B290,B290),"00")</f>
        <v>2022111701</v>
      </c>
      <c r="B290" s="21">
        <f t="shared" si="4"/>
        <v>44882</v>
      </c>
      <c r="C290" s="22">
        <v>2022</v>
      </c>
      <c r="D290" s="23">
        <v>11</v>
      </c>
      <c r="E290" s="24">
        <v>17</v>
      </c>
      <c r="F290" s="42" t="s">
        <v>17</v>
      </c>
      <c r="G290" s="42" t="s">
        <v>13</v>
      </c>
      <c r="H290" s="42" t="s">
        <v>138</v>
      </c>
      <c r="I290" s="42" t="s">
        <v>159</v>
      </c>
      <c r="J290" s="10">
        <v>8600</v>
      </c>
      <c r="K290" s="7">
        <v>-8600</v>
      </c>
      <c r="L290" s="1" t="s">
        <v>521</v>
      </c>
      <c r="M290" s="2" t="s">
        <v>522</v>
      </c>
    </row>
    <row r="291" spans="1:13">
      <c r="A291" s="21" t="str">
        <f>TEXT(TEXT(B291,"yyyymmdd"),"00000000")&amp;TEXT(COUNTIF($B$2:B291,B291),"00")</f>
        <v>2022111801</v>
      </c>
      <c r="B291" s="21">
        <f t="shared" si="4"/>
        <v>44883</v>
      </c>
      <c r="C291" s="22">
        <v>2022</v>
      </c>
      <c r="D291" s="23">
        <v>11</v>
      </c>
      <c r="E291" s="24">
        <v>18</v>
      </c>
      <c r="F291" s="42" t="s">
        <v>17</v>
      </c>
      <c r="G291" s="42" t="s">
        <v>7</v>
      </c>
      <c r="H291" s="42" t="s">
        <v>173</v>
      </c>
      <c r="I291" s="42" t="s">
        <v>207</v>
      </c>
      <c r="J291" s="10">
        <v>10280</v>
      </c>
      <c r="K291" s="7">
        <v>-10280</v>
      </c>
      <c r="L291" s="1" t="s">
        <v>313</v>
      </c>
    </row>
    <row r="292" spans="1:13">
      <c r="A292" s="21" t="str">
        <f>TEXT(TEXT(B292,"yyyymmdd"),"00000000")&amp;TEXT(COUNTIF($B$2:B292,B292),"00")</f>
        <v>2022111802</v>
      </c>
      <c r="B292" s="21">
        <f t="shared" si="4"/>
        <v>44883</v>
      </c>
      <c r="C292" s="22">
        <v>2022</v>
      </c>
      <c r="D292" s="23">
        <v>11</v>
      </c>
      <c r="E292" s="24">
        <v>18</v>
      </c>
      <c r="F292" s="42" t="s">
        <v>17</v>
      </c>
      <c r="G292" s="42" t="s">
        <v>135</v>
      </c>
      <c r="H292" s="42" t="s">
        <v>135</v>
      </c>
      <c r="I292" s="42" t="s">
        <v>143</v>
      </c>
      <c r="J292" s="10">
        <v>-1350</v>
      </c>
      <c r="K292" s="7">
        <v>1350</v>
      </c>
      <c r="L292" s="1" t="s">
        <v>434</v>
      </c>
      <c r="M292" s="2" t="s">
        <v>435</v>
      </c>
    </row>
    <row r="293" spans="1:13">
      <c r="A293" s="21" t="str">
        <f>TEXT(TEXT(B293,"yyyymmdd"),"00000000")&amp;TEXT(COUNTIF($B$2:B293,B293),"00")</f>
        <v>2022111901</v>
      </c>
      <c r="B293" s="21">
        <f t="shared" si="4"/>
        <v>44884</v>
      </c>
      <c r="C293" s="22">
        <v>2022</v>
      </c>
      <c r="D293" s="23">
        <v>11</v>
      </c>
      <c r="E293" s="24">
        <v>19</v>
      </c>
      <c r="F293" s="42" t="s">
        <v>17</v>
      </c>
      <c r="G293" s="42" t="s">
        <v>7</v>
      </c>
      <c r="H293" s="42" t="s">
        <v>167</v>
      </c>
      <c r="I293" s="42" t="s">
        <v>168</v>
      </c>
      <c r="J293" s="10">
        <v>2900</v>
      </c>
      <c r="K293" s="7">
        <v>-2900</v>
      </c>
      <c r="L293" s="1" t="s">
        <v>332</v>
      </c>
      <c r="M293" s="2" t="s">
        <v>436</v>
      </c>
    </row>
    <row r="294" spans="1:13">
      <c r="A294" s="21" t="str">
        <f>TEXT(TEXT(B294,"yyyymmdd"),"00000000")&amp;TEXT(COUNTIF($B$2:B294,B294),"00")</f>
        <v>2022111902</v>
      </c>
      <c r="B294" s="21">
        <f t="shared" si="4"/>
        <v>44884</v>
      </c>
      <c r="C294" s="22">
        <v>2022</v>
      </c>
      <c r="D294" s="23">
        <v>11</v>
      </c>
      <c r="E294" s="24">
        <v>19</v>
      </c>
      <c r="F294" s="42" t="s">
        <v>19</v>
      </c>
      <c r="G294" s="42" t="s">
        <v>135</v>
      </c>
      <c r="H294" s="42" t="s">
        <v>135</v>
      </c>
      <c r="I294" s="42" t="s">
        <v>190</v>
      </c>
      <c r="J294" s="10">
        <v>-3</v>
      </c>
      <c r="K294" s="7">
        <v>3</v>
      </c>
      <c r="L294" s="1" t="s">
        <v>326</v>
      </c>
    </row>
    <row r="295" spans="1:13">
      <c r="A295" s="21" t="str">
        <f>TEXT(TEXT(B295,"yyyymmdd"),"00000000")&amp;TEXT(COUNTIF($B$2:B295,B295),"00")</f>
        <v>2022112101</v>
      </c>
      <c r="B295" s="21">
        <f t="shared" si="4"/>
        <v>44886</v>
      </c>
      <c r="C295" s="22">
        <v>2022</v>
      </c>
      <c r="D295" s="23">
        <v>11</v>
      </c>
      <c r="E295" s="24">
        <v>21</v>
      </c>
      <c r="F295" s="42" t="s">
        <v>498</v>
      </c>
      <c r="G295" s="42" t="s">
        <v>11</v>
      </c>
      <c r="H295" s="42" t="s">
        <v>99</v>
      </c>
      <c r="I295" s="42" t="s">
        <v>94</v>
      </c>
      <c r="J295" s="10">
        <v>-106971</v>
      </c>
      <c r="K295" s="7">
        <v>106971</v>
      </c>
      <c r="L295" s="1" t="s">
        <v>433</v>
      </c>
    </row>
    <row r="296" spans="1:13">
      <c r="A296" s="21" t="str">
        <f>TEXT(TEXT(B296,"yyyymmdd"),"00000000")&amp;TEXT(COUNTIF($B$2:B296,B296),"00")</f>
        <v>2022112102</v>
      </c>
      <c r="B296" s="21">
        <f t="shared" si="4"/>
        <v>44886</v>
      </c>
      <c r="C296" s="22">
        <v>2022</v>
      </c>
      <c r="D296" s="23">
        <v>11</v>
      </c>
      <c r="E296" s="24">
        <v>21</v>
      </c>
      <c r="F296" s="42" t="s">
        <v>21</v>
      </c>
      <c r="G296" s="42" t="s">
        <v>11</v>
      </c>
      <c r="H296" s="42" t="s">
        <v>99</v>
      </c>
      <c r="I296" s="42" t="s">
        <v>94</v>
      </c>
      <c r="J296" s="10">
        <v>106971</v>
      </c>
      <c r="K296" s="7">
        <v>-106971</v>
      </c>
      <c r="L296" s="1" t="s">
        <v>433</v>
      </c>
    </row>
    <row r="297" spans="1:13">
      <c r="A297" s="21" t="str">
        <f>TEXT(TEXT(B297,"yyyymmdd"),"00000000")&amp;TEXT(COUNTIF($B$2:B297,B297),"00")</f>
        <v>2022112103</v>
      </c>
      <c r="B297" s="21">
        <f t="shared" si="4"/>
        <v>44886</v>
      </c>
      <c r="C297" s="22">
        <v>2022</v>
      </c>
      <c r="D297" s="23">
        <v>11</v>
      </c>
      <c r="E297" s="24">
        <v>21</v>
      </c>
      <c r="F297" s="42" t="s">
        <v>17</v>
      </c>
      <c r="G297" s="42" t="s">
        <v>7</v>
      </c>
      <c r="H297" s="42" t="s">
        <v>155</v>
      </c>
      <c r="I297" s="42" t="s">
        <v>221</v>
      </c>
      <c r="J297" s="10">
        <v>192970</v>
      </c>
      <c r="K297" s="7">
        <v>-192970</v>
      </c>
      <c r="L297" s="1" t="s">
        <v>443</v>
      </c>
      <c r="M297" s="2" t="s">
        <v>444</v>
      </c>
    </row>
    <row r="298" spans="1:13">
      <c r="A298" s="21" t="str">
        <f>TEXT(TEXT(B298,"yyyymmdd"),"00000000")&amp;TEXT(COUNTIF($B$2:B298,B298),"00")</f>
        <v>2022112104</v>
      </c>
      <c r="B298" s="21">
        <f t="shared" si="4"/>
        <v>44886</v>
      </c>
      <c r="C298" s="22">
        <v>2022</v>
      </c>
      <c r="D298" s="23">
        <v>11</v>
      </c>
      <c r="E298" s="24">
        <v>21</v>
      </c>
      <c r="F298" s="42" t="s">
        <v>498</v>
      </c>
      <c r="G298" s="42" t="s">
        <v>11</v>
      </c>
      <c r="H298" s="42" t="s">
        <v>99</v>
      </c>
      <c r="I298" s="42" t="s">
        <v>184</v>
      </c>
      <c r="J298" s="10">
        <v>6000000</v>
      </c>
      <c r="K298" s="7">
        <v>-6000000</v>
      </c>
      <c r="L298" s="1" t="s">
        <v>526</v>
      </c>
    </row>
    <row r="299" spans="1:13">
      <c r="A299" s="21" t="str">
        <f>TEXT(TEXT(B299,"yyyymmdd"),"00000000")&amp;TEXT(COUNTIF($B$2:B299,B299),"00")</f>
        <v>2022112105</v>
      </c>
      <c r="B299" s="21">
        <f t="shared" si="4"/>
        <v>44886</v>
      </c>
      <c r="C299" s="22">
        <v>2022</v>
      </c>
      <c r="D299" s="23">
        <v>11</v>
      </c>
      <c r="E299" s="24">
        <v>21</v>
      </c>
      <c r="F299" s="42" t="s">
        <v>524</v>
      </c>
      <c r="G299" s="42" t="s">
        <v>11</v>
      </c>
      <c r="H299" s="42" t="s">
        <v>99</v>
      </c>
      <c r="I299" s="42" t="s">
        <v>184</v>
      </c>
      <c r="J299" s="10">
        <v>-6000000</v>
      </c>
      <c r="K299" s="7">
        <v>6000000</v>
      </c>
      <c r="L299" s="1" t="s">
        <v>526</v>
      </c>
    </row>
    <row r="300" spans="1:13">
      <c r="A300" s="21" t="str">
        <f>TEXT(TEXT(B300,"yyyymmdd"),"00000000")&amp;TEXT(COUNTIF($B$2:B300,B300),"00")</f>
        <v>2022112201</v>
      </c>
      <c r="B300" s="21">
        <f t="shared" si="4"/>
        <v>44887</v>
      </c>
      <c r="C300" s="22">
        <v>2022</v>
      </c>
      <c r="D300" s="23">
        <v>11</v>
      </c>
      <c r="E300" s="24">
        <v>22</v>
      </c>
      <c r="F300" s="42" t="s">
        <v>17</v>
      </c>
      <c r="G300" s="42" t="s">
        <v>135</v>
      </c>
      <c r="H300" s="42" t="s">
        <v>135</v>
      </c>
      <c r="I300" s="42" t="s">
        <v>143</v>
      </c>
      <c r="J300" s="10">
        <v>-10000</v>
      </c>
      <c r="K300" s="7">
        <v>10000</v>
      </c>
      <c r="L300" s="1" t="s">
        <v>314</v>
      </c>
    </row>
    <row r="301" spans="1:13">
      <c r="A301" s="21" t="str">
        <f>TEXT(TEXT(B301,"yyyymmdd"),"00000000")&amp;TEXT(COUNTIF($B$2:B301,B301),"00")</f>
        <v>2022112701</v>
      </c>
      <c r="B301" s="21">
        <f t="shared" si="4"/>
        <v>44892</v>
      </c>
      <c r="C301" s="22">
        <v>2022</v>
      </c>
      <c r="D301" s="23">
        <v>11</v>
      </c>
      <c r="E301" s="24">
        <v>27</v>
      </c>
      <c r="F301" s="42" t="s">
        <v>17</v>
      </c>
      <c r="G301" s="42" t="s">
        <v>7</v>
      </c>
      <c r="H301" s="42" t="s">
        <v>119</v>
      </c>
      <c r="I301" s="42" t="s">
        <v>180</v>
      </c>
      <c r="J301" s="10">
        <v>12600</v>
      </c>
      <c r="K301" s="7">
        <v>-12600</v>
      </c>
      <c r="L301" s="1" t="s">
        <v>402</v>
      </c>
      <c r="M301" s="2" t="s">
        <v>445</v>
      </c>
    </row>
    <row r="302" spans="1:13">
      <c r="A302" s="21" t="str">
        <f>TEXT(TEXT(B302,"yyyymmdd"),"00000000")&amp;TEXT(COUNTIF($B$2:B302,B302),"00")</f>
        <v>2022113001</v>
      </c>
      <c r="B302" s="21">
        <f t="shared" si="4"/>
        <v>44895</v>
      </c>
      <c r="C302" s="22">
        <v>2022</v>
      </c>
      <c r="D302" s="23">
        <v>11</v>
      </c>
      <c r="E302" s="24">
        <v>30</v>
      </c>
      <c r="F302" s="42" t="s">
        <v>17</v>
      </c>
      <c r="G302" s="42" t="s">
        <v>170</v>
      </c>
      <c r="H302" s="42" t="s">
        <v>155</v>
      </c>
      <c r="I302" s="42" t="s">
        <v>156</v>
      </c>
      <c r="J302" s="10">
        <v>3141</v>
      </c>
      <c r="K302" s="7">
        <v>-3141</v>
      </c>
      <c r="L302" s="1" t="s">
        <v>387</v>
      </c>
    </row>
    <row r="303" spans="1:13">
      <c r="A303" s="21" t="str">
        <f>TEXT(TEXT(B303,"yyyymmdd"),"00000000")&amp;TEXT(COUNTIF($B$2:B303,B303),"00")</f>
        <v>2022120101</v>
      </c>
      <c r="B303" s="21">
        <f t="shared" si="4"/>
        <v>44896</v>
      </c>
      <c r="C303" s="22">
        <v>2022</v>
      </c>
      <c r="D303" s="23">
        <v>12</v>
      </c>
      <c r="E303" s="24">
        <v>1</v>
      </c>
      <c r="F303" s="42" t="s">
        <v>17</v>
      </c>
      <c r="G303" s="42" t="s">
        <v>7</v>
      </c>
      <c r="H303" s="42" t="s">
        <v>118</v>
      </c>
      <c r="I303" s="42" t="s">
        <v>446</v>
      </c>
      <c r="J303" s="10">
        <v>23700</v>
      </c>
      <c r="K303" s="7">
        <v>-23700</v>
      </c>
      <c r="L303" s="1" t="s">
        <v>447</v>
      </c>
      <c r="M303" s="2" t="s">
        <v>448</v>
      </c>
    </row>
    <row r="304" spans="1:13">
      <c r="A304" s="21" t="str">
        <f>TEXT(TEXT(B304,"yyyymmdd"),"00000000")&amp;TEXT(COUNTIF($B$2:B304,B304),"00")</f>
        <v>2022120102</v>
      </c>
      <c r="B304" s="21">
        <f t="shared" si="4"/>
        <v>44896</v>
      </c>
      <c r="C304" s="22">
        <v>2022</v>
      </c>
      <c r="D304" s="23">
        <v>12</v>
      </c>
      <c r="E304" s="24">
        <v>1</v>
      </c>
      <c r="F304" s="42" t="s">
        <v>17</v>
      </c>
      <c r="G304" s="42" t="s">
        <v>7</v>
      </c>
      <c r="H304" s="42" t="s">
        <v>116</v>
      </c>
      <c r="I304" s="42" t="s">
        <v>212</v>
      </c>
      <c r="J304" s="10">
        <v>5000</v>
      </c>
      <c r="K304" s="7">
        <v>-5000</v>
      </c>
      <c r="L304" s="1" t="s">
        <v>449</v>
      </c>
    </row>
    <row r="305" spans="1:13">
      <c r="A305" s="21" t="str">
        <f>TEXT(TEXT(B305,"yyyymmdd"),"00000000")&amp;TEXT(COUNTIF($B$2:B305,B305),"00")</f>
        <v>2022120301</v>
      </c>
      <c r="B305" s="21">
        <f t="shared" si="4"/>
        <v>44898</v>
      </c>
      <c r="C305" s="22">
        <v>2022</v>
      </c>
      <c r="D305" s="23">
        <v>12</v>
      </c>
      <c r="E305" s="24">
        <v>3</v>
      </c>
      <c r="F305" s="42" t="s">
        <v>17</v>
      </c>
      <c r="G305" s="42" t="s">
        <v>7</v>
      </c>
      <c r="H305" s="42" t="s">
        <v>116</v>
      </c>
      <c r="I305" s="42" t="s">
        <v>217</v>
      </c>
      <c r="J305" s="10">
        <v>7500</v>
      </c>
      <c r="K305" s="7">
        <v>-7500</v>
      </c>
      <c r="L305" s="1" t="s">
        <v>325</v>
      </c>
      <c r="M305" s="2" t="s">
        <v>383</v>
      </c>
    </row>
    <row r="306" spans="1:13">
      <c r="A306" s="21" t="str">
        <f>TEXT(TEXT(B306,"yyyymmdd"),"00000000")&amp;TEXT(COUNTIF($B$2:B306,B306),"00")</f>
        <v>2022120501</v>
      </c>
      <c r="B306" s="21">
        <f t="shared" si="4"/>
        <v>44900</v>
      </c>
      <c r="C306" s="22">
        <v>2022</v>
      </c>
      <c r="D306" s="23">
        <v>12</v>
      </c>
      <c r="E306" s="24">
        <v>5</v>
      </c>
      <c r="F306" s="42" t="s">
        <v>17</v>
      </c>
      <c r="G306" s="42" t="s">
        <v>7</v>
      </c>
      <c r="H306" s="42" t="s">
        <v>173</v>
      </c>
      <c r="I306" s="42" t="s">
        <v>207</v>
      </c>
      <c r="J306" s="10">
        <v>1320</v>
      </c>
      <c r="K306" s="7">
        <v>-1320</v>
      </c>
      <c r="L306" s="1" t="s">
        <v>313</v>
      </c>
    </row>
    <row r="307" spans="1:13">
      <c r="A307" s="21" t="str">
        <f>TEXT(TEXT(B307,"yyyymmdd"),"00000000")&amp;TEXT(COUNTIF($B$2:B307,B307),"00")</f>
        <v>2022120601</v>
      </c>
      <c r="B307" s="21">
        <f t="shared" si="4"/>
        <v>44901</v>
      </c>
      <c r="C307" s="22">
        <v>2022</v>
      </c>
      <c r="D307" s="23">
        <v>12</v>
      </c>
      <c r="E307" s="24">
        <v>6</v>
      </c>
      <c r="F307" s="42" t="s">
        <v>17</v>
      </c>
      <c r="G307" s="42" t="s">
        <v>7</v>
      </c>
      <c r="H307" s="42" t="s">
        <v>173</v>
      </c>
      <c r="I307" s="42" t="s">
        <v>174</v>
      </c>
      <c r="J307" s="10">
        <v>1455</v>
      </c>
      <c r="K307" s="7">
        <v>-1455</v>
      </c>
      <c r="L307" s="1" t="s">
        <v>353</v>
      </c>
    </row>
    <row r="308" spans="1:13">
      <c r="A308" s="21" t="str">
        <f>TEXT(TEXT(B308,"yyyymmdd"),"00000000")&amp;TEXT(COUNTIF($B$2:B308,B308),"00")</f>
        <v>2022120602</v>
      </c>
      <c r="B308" s="21">
        <f t="shared" si="4"/>
        <v>44901</v>
      </c>
      <c r="C308" s="22">
        <v>2022</v>
      </c>
      <c r="D308" s="23">
        <v>12</v>
      </c>
      <c r="E308" s="24">
        <v>6</v>
      </c>
      <c r="F308" s="42" t="s">
        <v>17</v>
      </c>
      <c r="G308" s="42" t="s">
        <v>13</v>
      </c>
      <c r="H308" s="42" t="s">
        <v>113</v>
      </c>
      <c r="I308" s="42" t="s">
        <v>171</v>
      </c>
      <c r="J308" s="10">
        <v>15000</v>
      </c>
      <c r="K308" s="7">
        <v>-15000</v>
      </c>
      <c r="L308" s="1" t="s">
        <v>331</v>
      </c>
    </row>
    <row r="309" spans="1:13">
      <c r="A309" s="21" t="str">
        <f>TEXT(TEXT(B309,"yyyymmdd"),"00000000")&amp;TEXT(COUNTIF($B$2:B309,B309),"00")</f>
        <v>2022120701</v>
      </c>
      <c r="B309" s="21">
        <f t="shared" si="4"/>
        <v>44902</v>
      </c>
      <c r="C309" s="22">
        <v>2022</v>
      </c>
      <c r="D309" s="23">
        <v>12</v>
      </c>
      <c r="E309" s="24">
        <v>7</v>
      </c>
      <c r="F309" s="42" t="s">
        <v>17</v>
      </c>
      <c r="G309" s="42" t="s">
        <v>7</v>
      </c>
      <c r="H309" s="42" t="s">
        <v>117</v>
      </c>
      <c r="I309" s="42" t="s">
        <v>453</v>
      </c>
      <c r="J309" s="10">
        <v>40245</v>
      </c>
      <c r="K309" s="7">
        <v>-40245</v>
      </c>
      <c r="L309" s="1" t="s">
        <v>456</v>
      </c>
      <c r="M309" s="2" t="s">
        <v>455</v>
      </c>
    </row>
    <row r="310" spans="1:13">
      <c r="A310" s="21" t="str">
        <f>TEXT(TEXT(B310,"yyyymmdd"),"00000000")&amp;TEXT(COUNTIF($B$2:B310,B310),"00")</f>
        <v>2022120702</v>
      </c>
      <c r="B310" s="21">
        <f t="shared" si="4"/>
        <v>44902</v>
      </c>
      <c r="C310" s="22">
        <v>2022</v>
      </c>
      <c r="D310" s="23">
        <v>12</v>
      </c>
      <c r="E310" s="24">
        <v>7</v>
      </c>
      <c r="F310" s="42" t="s">
        <v>17</v>
      </c>
      <c r="G310" s="42" t="s">
        <v>7</v>
      </c>
      <c r="H310" s="42" t="s">
        <v>117</v>
      </c>
      <c r="I310" s="42" t="s">
        <v>450</v>
      </c>
      <c r="J310" s="10">
        <v>6575</v>
      </c>
      <c r="K310" s="7">
        <v>-6575</v>
      </c>
      <c r="L310" s="1" t="s">
        <v>451</v>
      </c>
      <c r="M310" s="2" t="s">
        <v>452</v>
      </c>
    </row>
    <row r="311" spans="1:13">
      <c r="A311" s="21" t="str">
        <f>TEXT(TEXT(B311,"yyyymmdd"),"00000000")&amp;TEXT(COUNTIF($B$2:B311,B311),"00")</f>
        <v>2022120703</v>
      </c>
      <c r="B311" s="21">
        <f t="shared" si="4"/>
        <v>44902</v>
      </c>
      <c r="C311" s="22">
        <v>2022</v>
      </c>
      <c r="D311" s="23">
        <v>12</v>
      </c>
      <c r="E311" s="24">
        <v>7</v>
      </c>
      <c r="F311" s="42" t="s">
        <v>17</v>
      </c>
      <c r="G311" s="42" t="s">
        <v>7</v>
      </c>
      <c r="H311" s="42" t="s">
        <v>117</v>
      </c>
      <c r="I311" s="42" t="s">
        <v>450</v>
      </c>
      <c r="J311" s="10">
        <v>82600</v>
      </c>
      <c r="K311" s="7">
        <v>-82600</v>
      </c>
      <c r="L311" s="1" t="s">
        <v>454</v>
      </c>
      <c r="M311" s="2" t="s">
        <v>455</v>
      </c>
    </row>
    <row r="312" spans="1:13">
      <c r="A312" s="21" t="str">
        <f>TEXT(TEXT(B312,"yyyymmdd"),"00000000")&amp;TEXT(COUNTIF($B$2:B312,B312),"00")</f>
        <v>2022120801</v>
      </c>
      <c r="B312" s="21">
        <f t="shared" si="4"/>
        <v>44903</v>
      </c>
      <c r="C312" s="22">
        <v>2022</v>
      </c>
      <c r="D312" s="23">
        <v>12</v>
      </c>
      <c r="E312" s="24">
        <v>8</v>
      </c>
      <c r="F312" s="42" t="s">
        <v>17</v>
      </c>
      <c r="G312" s="42" t="s">
        <v>13</v>
      </c>
      <c r="H312" s="42" t="s">
        <v>138</v>
      </c>
      <c r="I312" s="42" t="s">
        <v>139</v>
      </c>
      <c r="J312" s="10">
        <v>12500</v>
      </c>
      <c r="K312" s="7">
        <v>-12500</v>
      </c>
      <c r="L312" s="1" t="s">
        <v>459</v>
      </c>
    </row>
    <row r="313" spans="1:13">
      <c r="A313" s="21" t="str">
        <f>TEXT(TEXT(B313,"yyyymmdd"),"00000000")&amp;TEXT(COUNTIF($B$2:B313,B313),"00")</f>
        <v>2022120802</v>
      </c>
      <c r="B313" s="21">
        <f t="shared" si="4"/>
        <v>44903</v>
      </c>
      <c r="C313" s="22">
        <v>2022</v>
      </c>
      <c r="D313" s="23">
        <v>12</v>
      </c>
      <c r="E313" s="24">
        <v>8</v>
      </c>
      <c r="F313" s="42" t="s">
        <v>17</v>
      </c>
      <c r="G313" s="42" t="s">
        <v>13</v>
      </c>
      <c r="H313" s="42" t="s">
        <v>173</v>
      </c>
      <c r="I313" s="42" t="s">
        <v>174</v>
      </c>
      <c r="J313" s="10">
        <v>3000</v>
      </c>
      <c r="K313" s="7">
        <v>-3000</v>
      </c>
      <c r="L313" s="1" t="s">
        <v>457</v>
      </c>
      <c r="M313" s="2" t="s">
        <v>458</v>
      </c>
    </row>
    <row r="314" spans="1:13">
      <c r="A314" s="21" t="str">
        <f>TEXT(TEXT(B314,"yyyymmdd"),"00000000")&amp;TEXT(COUNTIF($B$2:B314,B314),"00")</f>
        <v>2022120901</v>
      </c>
      <c r="B314" s="21">
        <f t="shared" si="4"/>
        <v>44904</v>
      </c>
      <c r="C314" s="22">
        <v>2022</v>
      </c>
      <c r="D314" s="23">
        <v>12</v>
      </c>
      <c r="E314" s="24">
        <v>9</v>
      </c>
      <c r="F314" s="42" t="s">
        <v>17</v>
      </c>
      <c r="G314" s="42" t="s">
        <v>7</v>
      </c>
      <c r="H314" s="42" t="s">
        <v>155</v>
      </c>
      <c r="I314" s="42" t="s">
        <v>460</v>
      </c>
      <c r="J314" s="10">
        <v>6374</v>
      </c>
      <c r="K314" s="7">
        <v>-6374</v>
      </c>
      <c r="L314" s="1" t="s">
        <v>461</v>
      </c>
      <c r="M314" s="2" t="s">
        <v>462</v>
      </c>
    </row>
    <row r="315" spans="1:13">
      <c r="A315" s="21" t="str">
        <f>TEXT(TEXT(B315,"yyyymmdd"),"00000000")&amp;TEXT(COUNTIF($B$2:B315,B315),"00")</f>
        <v>2022121001</v>
      </c>
      <c r="B315" s="21">
        <f t="shared" si="4"/>
        <v>44905</v>
      </c>
      <c r="C315" s="22">
        <v>2022</v>
      </c>
      <c r="D315" s="23">
        <v>12</v>
      </c>
      <c r="E315" s="24">
        <v>10</v>
      </c>
      <c r="F315" s="42" t="s">
        <v>15</v>
      </c>
      <c r="G315" s="42" t="s">
        <v>135</v>
      </c>
      <c r="H315" s="42" t="s">
        <v>135</v>
      </c>
      <c r="I315" s="42" t="s">
        <v>190</v>
      </c>
      <c r="J315" s="10">
        <v>-29</v>
      </c>
      <c r="K315" s="7">
        <v>29</v>
      </c>
      <c r="L315" s="1" t="s">
        <v>326</v>
      </c>
    </row>
    <row r="316" spans="1:13">
      <c r="A316" s="21" t="str">
        <f>TEXT(TEXT(B316,"yyyymmdd"),"00000000")&amp;TEXT(COUNTIF($B$2:B316,B316),"00")</f>
        <v>2022121002</v>
      </c>
      <c r="B316" s="21">
        <f t="shared" si="4"/>
        <v>44905</v>
      </c>
      <c r="C316" s="22">
        <v>2022</v>
      </c>
      <c r="D316" s="23">
        <v>12</v>
      </c>
      <c r="E316" s="24">
        <v>10</v>
      </c>
      <c r="F316" s="42" t="s">
        <v>17</v>
      </c>
      <c r="G316" s="42" t="s">
        <v>7</v>
      </c>
      <c r="H316" s="42" t="s">
        <v>116</v>
      </c>
      <c r="I316" s="42" t="s">
        <v>212</v>
      </c>
      <c r="J316" s="10">
        <v>5000</v>
      </c>
      <c r="K316" s="7">
        <v>-5000</v>
      </c>
      <c r="L316" s="1" t="s">
        <v>449</v>
      </c>
    </row>
    <row r="317" spans="1:13">
      <c r="A317" s="21" t="str">
        <f>TEXT(TEXT(B317,"yyyymmdd"),"00000000")&amp;TEXT(COUNTIF($B$2:B317,B317),"00")</f>
        <v>2022121101</v>
      </c>
      <c r="B317" s="21">
        <f t="shared" si="4"/>
        <v>44906</v>
      </c>
      <c r="C317" s="22">
        <v>2022</v>
      </c>
      <c r="D317" s="23">
        <v>12</v>
      </c>
      <c r="E317" s="24">
        <v>11</v>
      </c>
      <c r="F317" s="42" t="s">
        <v>17</v>
      </c>
      <c r="G317" s="42" t="s">
        <v>135</v>
      </c>
      <c r="H317" s="42" t="s">
        <v>135</v>
      </c>
      <c r="I317" s="42" t="s">
        <v>152</v>
      </c>
      <c r="J317" s="10">
        <v>-100000</v>
      </c>
      <c r="K317" s="7">
        <v>100000</v>
      </c>
      <c r="L317" s="1" t="s">
        <v>426</v>
      </c>
      <c r="M317" s="2" t="s">
        <v>463</v>
      </c>
    </row>
    <row r="318" spans="1:13">
      <c r="A318" s="21" t="str">
        <f>TEXT(TEXT(B318,"yyyymmdd"),"00000000")&amp;TEXT(COUNTIF($B$2:B318,B318),"00")</f>
        <v>2022121201</v>
      </c>
      <c r="B318" s="21">
        <f t="shared" si="4"/>
        <v>44907</v>
      </c>
      <c r="C318" s="22">
        <v>2022</v>
      </c>
      <c r="D318" s="23">
        <v>12</v>
      </c>
      <c r="E318" s="24">
        <v>12</v>
      </c>
      <c r="F318" s="42" t="s">
        <v>17</v>
      </c>
      <c r="G318" s="42" t="s">
        <v>7</v>
      </c>
      <c r="H318" s="42" t="s">
        <v>117</v>
      </c>
      <c r="I318" s="42" t="s">
        <v>450</v>
      </c>
      <c r="J318" s="10">
        <v>7800</v>
      </c>
      <c r="K318" s="7">
        <v>-7800</v>
      </c>
      <c r="L318" s="1" t="s">
        <v>57</v>
      </c>
    </row>
    <row r="319" spans="1:13">
      <c r="A319" s="21" t="str">
        <f>TEXT(TEXT(B319,"yyyymmdd"),"00000000")&amp;TEXT(COUNTIF($B$2:B319,B319),"00")</f>
        <v>2022121202</v>
      </c>
      <c r="B319" s="21">
        <f t="shared" si="4"/>
        <v>44907</v>
      </c>
      <c r="C319" s="22">
        <v>2022</v>
      </c>
      <c r="D319" s="23">
        <v>12</v>
      </c>
      <c r="E319" s="24">
        <v>12</v>
      </c>
      <c r="F319" s="42" t="s">
        <v>17</v>
      </c>
      <c r="G319" s="42" t="s">
        <v>7</v>
      </c>
      <c r="H319" s="42" t="s">
        <v>110</v>
      </c>
      <c r="I319" s="42" t="s">
        <v>120</v>
      </c>
      <c r="J319" s="10">
        <v>300</v>
      </c>
      <c r="K319" s="7">
        <v>-300</v>
      </c>
      <c r="L319" s="1" t="s">
        <v>464</v>
      </c>
      <c r="M319" s="2" t="s">
        <v>465</v>
      </c>
    </row>
    <row r="320" spans="1:13">
      <c r="A320" s="21" t="str">
        <f>TEXT(TEXT(B320,"yyyymmdd"),"00000000")&amp;TEXT(COUNTIF($B$2:B320,B320),"00")</f>
        <v>2022121301</v>
      </c>
      <c r="B320" s="21">
        <f t="shared" si="4"/>
        <v>44908</v>
      </c>
      <c r="C320" s="22">
        <v>2022</v>
      </c>
      <c r="D320" s="23">
        <v>12</v>
      </c>
      <c r="E320" s="24">
        <v>13</v>
      </c>
      <c r="F320" s="42" t="s">
        <v>17</v>
      </c>
      <c r="G320" s="42" t="s">
        <v>135</v>
      </c>
      <c r="H320" s="42" t="s">
        <v>135</v>
      </c>
      <c r="I320" s="42" t="s">
        <v>190</v>
      </c>
      <c r="J320" s="10">
        <v>-2500</v>
      </c>
      <c r="K320" s="7">
        <v>2500</v>
      </c>
      <c r="L320" s="1" t="s">
        <v>304</v>
      </c>
      <c r="M320" s="2" t="s">
        <v>466</v>
      </c>
    </row>
    <row r="321" spans="1:13">
      <c r="A321" s="21" t="str">
        <f>TEXT(TEXT(B321,"yyyymmdd"),"00000000")&amp;TEXT(COUNTIF($B$2:B321,B321),"00")</f>
        <v>2022121302</v>
      </c>
      <c r="B321" s="21">
        <f t="shared" si="4"/>
        <v>44908</v>
      </c>
      <c r="C321" s="22">
        <v>2022</v>
      </c>
      <c r="D321" s="23">
        <v>12</v>
      </c>
      <c r="E321" s="24">
        <v>13</v>
      </c>
      <c r="F321" s="42" t="s">
        <v>19</v>
      </c>
      <c r="G321" s="42" t="s">
        <v>151</v>
      </c>
      <c r="H321" s="42" t="s">
        <v>151</v>
      </c>
      <c r="I321" s="42" t="s">
        <v>177</v>
      </c>
      <c r="J321" s="10">
        <v>-86240</v>
      </c>
      <c r="K321" s="7">
        <v>86240</v>
      </c>
      <c r="L321" s="1" t="s">
        <v>476</v>
      </c>
    </row>
    <row r="322" spans="1:13">
      <c r="A322" s="21" t="str">
        <f>TEXT(TEXT(B322,"yyyymmdd"),"00000000")&amp;TEXT(COUNTIF($B$2:B322,B322),"00")</f>
        <v>2022121401</v>
      </c>
      <c r="B322" s="21">
        <f t="shared" ref="B322:B385" si="5">DATE(C322,D322,E322)</f>
        <v>44909</v>
      </c>
      <c r="C322" s="22">
        <v>2022</v>
      </c>
      <c r="D322" s="23">
        <v>12</v>
      </c>
      <c r="E322" s="24">
        <v>14</v>
      </c>
      <c r="F322" s="42" t="s">
        <v>17</v>
      </c>
      <c r="G322" s="42" t="s">
        <v>135</v>
      </c>
      <c r="H322" s="42" t="s">
        <v>135</v>
      </c>
      <c r="I322" s="42" t="s">
        <v>152</v>
      </c>
      <c r="J322" s="10">
        <v>-100000</v>
      </c>
      <c r="K322" s="7">
        <v>100000</v>
      </c>
      <c r="L322" s="1" t="s">
        <v>426</v>
      </c>
    </row>
    <row r="323" spans="1:13">
      <c r="A323" s="21" t="str">
        <f>TEXT(TEXT(B323,"yyyymmdd"),"00000000")&amp;TEXT(COUNTIF($B$2:B323,B323),"00")</f>
        <v>2022121402</v>
      </c>
      <c r="B323" s="21">
        <f t="shared" si="5"/>
        <v>44909</v>
      </c>
      <c r="C323" s="22">
        <v>2022</v>
      </c>
      <c r="D323" s="23">
        <v>12</v>
      </c>
      <c r="E323" s="24">
        <v>14</v>
      </c>
      <c r="F323" s="42" t="s">
        <v>19</v>
      </c>
      <c r="G323" s="42" t="s">
        <v>151</v>
      </c>
      <c r="H323" s="42" t="s">
        <v>151</v>
      </c>
      <c r="I323" s="42" t="s">
        <v>177</v>
      </c>
      <c r="J323" s="10">
        <v>-115292</v>
      </c>
      <c r="K323" s="7">
        <v>115292</v>
      </c>
      <c r="L323" s="1" t="s">
        <v>476</v>
      </c>
    </row>
    <row r="324" spans="1:13">
      <c r="A324" s="21" t="str">
        <f>TEXT(TEXT(B324,"yyyymmdd"),"00000000")&amp;TEXT(COUNTIF($B$2:B324,B324),"00")</f>
        <v>2022121403</v>
      </c>
      <c r="B324" s="21">
        <f t="shared" si="5"/>
        <v>44909</v>
      </c>
      <c r="C324" s="22">
        <v>2022</v>
      </c>
      <c r="D324" s="23">
        <v>12</v>
      </c>
      <c r="E324" s="24">
        <v>14</v>
      </c>
      <c r="F324" s="42" t="s">
        <v>17</v>
      </c>
      <c r="G324" s="42" t="s">
        <v>7</v>
      </c>
      <c r="H324" s="42" t="s">
        <v>138</v>
      </c>
      <c r="I324" s="42" t="s">
        <v>139</v>
      </c>
      <c r="J324" s="10">
        <v>11900</v>
      </c>
      <c r="K324" s="7">
        <v>-11900</v>
      </c>
      <c r="L324" s="1" t="s">
        <v>140</v>
      </c>
      <c r="M324" s="2" t="s">
        <v>467</v>
      </c>
    </row>
    <row r="325" spans="1:13">
      <c r="A325" s="21" t="str">
        <f>TEXT(TEXT(B325,"yyyymmdd"),"00000000")&amp;TEXT(COUNTIF($B$2:B325,B325),"00")</f>
        <v>2022121501</v>
      </c>
      <c r="B325" s="21">
        <f t="shared" si="5"/>
        <v>44910</v>
      </c>
      <c r="C325" s="22">
        <v>2022</v>
      </c>
      <c r="D325" s="23">
        <v>12</v>
      </c>
      <c r="E325" s="24">
        <v>15</v>
      </c>
      <c r="F325" s="42" t="s">
        <v>17</v>
      </c>
      <c r="G325" s="42" t="s">
        <v>7</v>
      </c>
      <c r="H325" s="42" t="s">
        <v>117</v>
      </c>
      <c r="I325" s="42" t="s">
        <v>468</v>
      </c>
      <c r="J325" s="10">
        <v>108200</v>
      </c>
      <c r="K325" s="7">
        <v>-108200</v>
      </c>
      <c r="L325" s="1" t="s">
        <v>469</v>
      </c>
      <c r="M325" s="2" t="s">
        <v>470</v>
      </c>
    </row>
    <row r="326" spans="1:13">
      <c r="A326" s="21" t="str">
        <f>TEXT(TEXT(B326,"yyyymmdd"),"00000000")&amp;TEXT(COUNTIF($B$2:B326,B326),"00")</f>
        <v>2022121502</v>
      </c>
      <c r="B326" s="21">
        <f t="shared" si="5"/>
        <v>44910</v>
      </c>
      <c r="C326" s="22">
        <v>2022</v>
      </c>
      <c r="D326" s="23">
        <v>12</v>
      </c>
      <c r="E326" s="24">
        <v>15</v>
      </c>
      <c r="F326" s="42" t="s">
        <v>17</v>
      </c>
      <c r="G326" s="42" t="s">
        <v>7</v>
      </c>
      <c r="H326" s="42" t="s">
        <v>117</v>
      </c>
      <c r="I326" s="42" t="s">
        <v>450</v>
      </c>
      <c r="J326" s="10">
        <v>3300</v>
      </c>
      <c r="K326" s="7">
        <v>-3300</v>
      </c>
      <c r="L326" s="1" t="s">
        <v>457</v>
      </c>
    </row>
    <row r="327" spans="1:13">
      <c r="A327" s="21" t="str">
        <f>TEXT(TEXT(B327,"yyyymmdd"),"00000000")&amp;TEXT(COUNTIF($B$2:B327,B327),"00")</f>
        <v>2022121601</v>
      </c>
      <c r="B327" s="21">
        <f t="shared" si="5"/>
        <v>44911</v>
      </c>
      <c r="C327" s="22">
        <v>2022</v>
      </c>
      <c r="D327" s="23">
        <v>12</v>
      </c>
      <c r="E327" s="24">
        <v>16</v>
      </c>
      <c r="F327" s="42" t="s">
        <v>17</v>
      </c>
      <c r="G327" s="42" t="s">
        <v>7</v>
      </c>
      <c r="H327" s="42" t="s">
        <v>138</v>
      </c>
      <c r="I327" s="42" t="s">
        <v>139</v>
      </c>
      <c r="J327" s="10">
        <v>8500</v>
      </c>
      <c r="K327" s="7">
        <v>-8500</v>
      </c>
      <c r="L327" s="1" t="s">
        <v>474</v>
      </c>
      <c r="M327" s="2" t="s">
        <v>475</v>
      </c>
    </row>
    <row r="328" spans="1:13">
      <c r="A328" s="21" t="str">
        <f>TEXT(TEXT(B328,"yyyymmdd"),"00000000")&amp;TEXT(COUNTIF($B$2:B328,B328),"00")</f>
        <v>2022121602</v>
      </c>
      <c r="B328" s="21">
        <f t="shared" si="5"/>
        <v>44911</v>
      </c>
      <c r="C328" s="22">
        <v>2022</v>
      </c>
      <c r="D328" s="23">
        <v>12</v>
      </c>
      <c r="E328" s="24">
        <v>16</v>
      </c>
      <c r="F328" s="42" t="s">
        <v>17</v>
      </c>
      <c r="G328" s="42" t="s">
        <v>7</v>
      </c>
      <c r="H328" s="42" t="s">
        <v>117</v>
      </c>
      <c r="I328" s="42" t="s">
        <v>450</v>
      </c>
      <c r="J328" s="10">
        <v>7800</v>
      </c>
      <c r="K328" s="7">
        <v>-7800</v>
      </c>
      <c r="L328" s="1" t="s">
        <v>57</v>
      </c>
    </row>
    <row r="329" spans="1:13">
      <c r="A329" s="21" t="str">
        <f>TEXT(TEXT(B329,"yyyymmdd"),"00000000")&amp;TEXT(COUNTIF($B$2:B329,B329),"00")</f>
        <v>2022121603</v>
      </c>
      <c r="B329" s="21">
        <f t="shared" si="5"/>
        <v>44911</v>
      </c>
      <c r="C329" s="22">
        <v>2022</v>
      </c>
      <c r="D329" s="23">
        <v>12</v>
      </c>
      <c r="E329" s="24">
        <v>16</v>
      </c>
      <c r="F329" s="42" t="s">
        <v>17</v>
      </c>
      <c r="G329" s="42" t="s">
        <v>7</v>
      </c>
      <c r="H329" s="42" t="s">
        <v>117</v>
      </c>
      <c r="I329" s="42" t="s">
        <v>471</v>
      </c>
      <c r="J329" s="10">
        <v>43000</v>
      </c>
      <c r="K329" s="7">
        <v>-43000</v>
      </c>
      <c r="L329" s="1" t="s">
        <v>469</v>
      </c>
      <c r="M329" s="2" t="s">
        <v>473</v>
      </c>
    </row>
    <row r="330" spans="1:13">
      <c r="A330" s="21" t="str">
        <f>TEXT(TEXT(B330,"yyyymmdd"),"00000000")&amp;TEXT(COUNTIF($B$2:B330,B330),"00")</f>
        <v>2022121604</v>
      </c>
      <c r="B330" s="21">
        <f t="shared" si="5"/>
        <v>44911</v>
      </c>
      <c r="C330" s="22">
        <v>2022</v>
      </c>
      <c r="D330" s="23">
        <v>12</v>
      </c>
      <c r="E330" s="24">
        <v>16</v>
      </c>
      <c r="F330" s="42" t="s">
        <v>17</v>
      </c>
      <c r="G330" s="42" t="s">
        <v>7</v>
      </c>
      <c r="H330" s="42" t="s">
        <v>117</v>
      </c>
      <c r="I330" s="42" t="s">
        <v>471</v>
      </c>
      <c r="J330" s="10">
        <v>2000</v>
      </c>
      <c r="K330" s="7">
        <v>-2000</v>
      </c>
      <c r="L330" s="1" t="s">
        <v>469</v>
      </c>
      <c r="M330" s="2" t="s">
        <v>477</v>
      </c>
    </row>
    <row r="331" spans="1:13">
      <c r="A331" s="21" t="str">
        <f>TEXT(TEXT(B331,"yyyymmdd"),"00000000")&amp;TEXT(COUNTIF($B$2:B331,B331),"00")</f>
        <v>2022121701</v>
      </c>
      <c r="B331" s="21">
        <f t="shared" si="5"/>
        <v>44912</v>
      </c>
      <c r="C331" s="22">
        <v>2022</v>
      </c>
      <c r="D331" s="23">
        <v>12</v>
      </c>
      <c r="E331" s="24">
        <v>17</v>
      </c>
      <c r="F331" s="42" t="s">
        <v>17</v>
      </c>
      <c r="G331" s="42" t="s">
        <v>13</v>
      </c>
      <c r="H331" s="42" t="s">
        <v>112</v>
      </c>
      <c r="I331" s="42" t="s">
        <v>342</v>
      </c>
      <c r="J331" s="10">
        <v>43253</v>
      </c>
      <c r="K331" s="7">
        <v>-43253</v>
      </c>
      <c r="L331" s="1" t="s">
        <v>479</v>
      </c>
    </row>
    <row r="332" spans="1:13">
      <c r="A332" s="21" t="str">
        <f>TEXT(TEXT(B332,"yyyymmdd"),"00000000")&amp;TEXT(COUNTIF($B$2:B332,B332),"00")</f>
        <v>2022121702</v>
      </c>
      <c r="B332" s="21">
        <f t="shared" si="5"/>
        <v>44912</v>
      </c>
      <c r="C332" s="22">
        <v>2022</v>
      </c>
      <c r="D332" s="23">
        <v>12</v>
      </c>
      <c r="E332" s="24">
        <v>17</v>
      </c>
      <c r="F332" s="42" t="s">
        <v>19</v>
      </c>
      <c r="G332" s="42" t="s">
        <v>135</v>
      </c>
      <c r="H332" s="42" t="s">
        <v>135</v>
      </c>
      <c r="I332" s="42" t="s">
        <v>190</v>
      </c>
      <c r="J332" s="10">
        <v>-3</v>
      </c>
      <c r="K332" s="7">
        <v>3</v>
      </c>
      <c r="L332" s="1" t="s">
        <v>210</v>
      </c>
    </row>
    <row r="333" spans="1:13">
      <c r="A333" s="21" t="str">
        <f>TEXT(TEXT(B333,"yyyymmdd"),"00000000")&amp;TEXT(COUNTIF($B$2:B333,B333),"00")</f>
        <v>2022121801</v>
      </c>
      <c r="B333" s="21">
        <f t="shared" si="5"/>
        <v>44913</v>
      </c>
      <c r="C333" s="22">
        <v>2022</v>
      </c>
      <c r="D333" s="23">
        <v>12</v>
      </c>
      <c r="E333" s="24">
        <v>18</v>
      </c>
      <c r="F333" s="42" t="s">
        <v>17</v>
      </c>
      <c r="G333" s="42" t="s">
        <v>7</v>
      </c>
      <c r="H333" s="42" t="s">
        <v>110</v>
      </c>
      <c r="I333" s="42" t="s">
        <v>120</v>
      </c>
      <c r="J333" s="10">
        <v>1000</v>
      </c>
      <c r="K333" s="7">
        <v>-1000</v>
      </c>
      <c r="L333" s="1" t="s">
        <v>480</v>
      </c>
    </row>
    <row r="334" spans="1:13">
      <c r="A334" s="21" t="str">
        <f>TEXT(TEXT(B334,"yyyymmdd"),"00000000")&amp;TEXT(COUNTIF($B$2:B334,B334),"00")</f>
        <v>2022121901</v>
      </c>
      <c r="B334" s="21">
        <f t="shared" si="5"/>
        <v>44914</v>
      </c>
      <c r="C334" s="22">
        <v>2022</v>
      </c>
      <c r="D334" s="23">
        <v>12</v>
      </c>
      <c r="E334" s="24">
        <v>19</v>
      </c>
      <c r="F334" s="42" t="s">
        <v>17</v>
      </c>
      <c r="G334" s="42" t="s">
        <v>13</v>
      </c>
      <c r="H334" s="42" t="s">
        <v>110</v>
      </c>
      <c r="I334" s="42" t="s">
        <v>122</v>
      </c>
      <c r="J334" s="10">
        <v>2400</v>
      </c>
      <c r="K334" s="7">
        <v>-2400</v>
      </c>
      <c r="L334" s="1" t="s">
        <v>481</v>
      </c>
    </row>
    <row r="335" spans="1:13">
      <c r="A335" s="21" t="str">
        <f>TEXT(TEXT(B335,"yyyymmdd"),"00000000")&amp;TEXT(COUNTIF($B$2:B335,B335),"00")</f>
        <v>2022121902</v>
      </c>
      <c r="B335" s="21">
        <f t="shared" si="5"/>
        <v>44914</v>
      </c>
      <c r="C335" s="22">
        <v>2022</v>
      </c>
      <c r="D335" s="23">
        <v>12</v>
      </c>
      <c r="E335" s="24">
        <v>19</v>
      </c>
      <c r="F335" s="42" t="s">
        <v>17</v>
      </c>
      <c r="G335" s="42" t="s">
        <v>7</v>
      </c>
      <c r="H335" s="42" t="s">
        <v>116</v>
      </c>
      <c r="I335" s="42" t="s">
        <v>217</v>
      </c>
      <c r="J335" s="10">
        <v>1500</v>
      </c>
      <c r="K335" s="7">
        <v>-1500</v>
      </c>
      <c r="L335" s="1" t="s">
        <v>218</v>
      </c>
    </row>
    <row r="336" spans="1:13">
      <c r="A336" s="21" t="str">
        <f>TEXT(TEXT(B336,"yyyymmdd"),"00000000")&amp;TEXT(COUNTIF($B$2:B336,B336),"00")</f>
        <v>2022121903</v>
      </c>
      <c r="B336" s="21">
        <f t="shared" si="5"/>
        <v>44914</v>
      </c>
      <c r="C336" s="22">
        <v>2022</v>
      </c>
      <c r="D336" s="23">
        <v>12</v>
      </c>
      <c r="E336" s="24">
        <v>19</v>
      </c>
      <c r="F336" s="42" t="s">
        <v>17</v>
      </c>
      <c r="G336" s="42" t="s">
        <v>7</v>
      </c>
      <c r="H336" s="42" t="s">
        <v>110</v>
      </c>
      <c r="I336" s="42" t="s">
        <v>120</v>
      </c>
      <c r="J336" s="10">
        <v>300</v>
      </c>
      <c r="K336" s="7">
        <v>-300</v>
      </c>
      <c r="L336" s="1" t="s">
        <v>162</v>
      </c>
    </row>
    <row r="337" spans="1:13">
      <c r="A337" s="21" t="str">
        <f>TEXT(TEXT(B337,"yyyymmdd"),"00000000")&amp;TEXT(COUNTIF($B$2:B337,B337),"00")</f>
        <v>2022122001</v>
      </c>
      <c r="B337" s="21">
        <f t="shared" si="5"/>
        <v>44915</v>
      </c>
      <c r="C337" s="22">
        <v>2022</v>
      </c>
      <c r="D337" s="23">
        <v>12</v>
      </c>
      <c r="E337" s="24">
        <v>20</v>
      </c>
      <c r="F337" s="42" t="s">
        <v>17</v>
      </c>
      <c r="G337" s="42" t="s">
        <v>7</v>
      </c>
      <c r="H337" s="42" t="s">
        <v>173</v>
      </c>
      <c r="I337" s="42" t="s">
        <v>207</v>
      </c>
      <c r="J337" s="10">
        <v>1160</v>
      </c>
      <c r="K337" s="7">
        <v>-1160</v>
      </c>
      <c r="L337" s="1" t="s">
        <v>208</v>
      </c>
    </row>
    <row r="338" spans="1:13">
      <c r="A338" s="21" t="str">
        <f>TEXT(TEXT(B338,"yyyymmdd"),"00000000")&amp;TEXT(COUNTIF($B$2:B338,B338),"00")</f>
        <v>2022122002</v>
      </c>
      <c r="B338" s="21">
        <f t="shared" si="5"/>
        <v>44915</v>
      </c>
      <c r="C338" s="22">
        <v>2022</v>
      </c>
      <c r="D338" s="23">
        <v>12</v>
      </c>
      <c r="E338" s="24">
        <v>20</v>
      </c>
      <c r="F338" s="42" t="s">
        <v>17</v>
      </c>
      <c r="G338" s="42" t="s">
        <v>7</v>
      </c>
      <c r="H338" s="42" t="s">
        <v>116</v>
      </c>
      <c r="I338" s="42" t="s">
        <v>217</v>
      </c>
      <c r="J338" s="10">
        <v>3000</v>
      </c>
      <c r="K338" s="7">
        <v>-3000</v>
      </c>
      <c r="L338" s="1" t="s">
        <v>218</v>
      </c>
      <c r="M338" s="2" t="s">
        <v>219</v>
      </c>
    </row>
    <row r="339" spans="1:13">
      <c r="A339" s="21" t="str">
        <f>TEXT(TEXT(B339,"yyyymmdd"),"00000000")&amp;TEXT(COUNTIF($B$2:B339,B339),"00")</f>
        <v>2022122003</v>
      </c>
      <c r="B339" s="21">
        <f t="shared" si="5"/>
        <v>44915</v>
      </c>
      <c r="C339" s="22">
        <v>2022</v>
      </c>
      <c r="D339" s="23">
        <v>12</v>
      </c>
      <c r="E339" s="24">
        <v>20</v>
      </c>
      <c r="F339" s="42" t="s">
        <v>20</v>
      </c>
      <c r="G339" s="42" t="s">
        <v>151</v>
      </c>
      <c r="H339" s="42" t="s">
        <v>151</v>
      </c>
      <c r="I339" s="42" t="s">
        <v>177</v>
      </c>
      <c r="J339" s="10">
        <v>-86240</v>
      </c>
      <c r="K339" s="7">
        <v>86240</v>
      </c>
      <c r="L339" s="1" t="s">
        <v>482</v>
      </c>
    </row>
    <row r="340" spans="1:13">
      <c r="A340" s="21" t="str">
        <f>TEXT(TEXT(B340,"yyyymmdd"),"00000000")&amp;TEXT(COUNTIF($B$2:B340,B340),"00")</f>
        <v>2022122101</v>
      </c>
      <c r="B340" s="21">
        <f t="shared" si="5"/>
        <v>44916</v>
      </c>
      <c r="C340" s="22">
        <v>2022</v>
      </c>
      <c r="D340" s="23">
        <v>12</v>
      </c>
      <c r="E340" s="24">
        <v>21</v>
      </c>
      <c r="F340" s="42" t="s">
        <v>19</v>
      </c>
      <c r="G340" s="42" t="s">
        <v>151</v>
      </c>
      <c r="H340" s="42" t="s">
        <v>151</v>
      </c>
      <c r="I340" s="42" t="s">
        <v>177</v>
      </c>
      <c r="J340" s="10">
        <v>-115292</v>
      </c>
      <c r="K340" s="7">
        <v>115292</v>
      </c>
      <c r="L340" s="1" t="s">
        <v>482</v>
      </c>
    </row>
    <row r="341" spans="1:13">
      <c r="A341" s="21" t="str">
        <f>TEXT(TEXT(B341,"yyyymmdd"),"00000000")&amp;TEXT(COUNTIF($B$2:B341,B341),"00")</f>
        <v>2022122201</v>
      </c>
      <c r="B341" s="21">
        <f t="shared" si="5"/>
        <v>44917</v>
      </c>
      <c r="C341" s="22">
        <v>2022</v>
      </c>
      <c r="D341" s="23">
        <v>12</v>
      </c>
      <c r="E341" s="24">
        <v>22</v>
      </c>
      <c r="F341" s="42" t="s">
        <v>17</v>
      </c>
      <c r="G341" s="42" t="s">
        <v>7</v>
      </c>
      <c r="H341" s="42" t="s">
        <v>110</v>
      </c>
      <c r="I341" s="42" t="s">
        <v>120</v>
      </c>
      <c r="J341" s="10">
        <v>300</v>
      </c>
      <c r="K341" s="7">
        <v>-300</v>
      </c>
      <c r="L341" s="1" t="s">
        <v>162</v>
      </c>
    </row>
    <row r="342" spans="1:13">
      <c r="A342" s="21" t="str">
        <f>TEXT(TEXT(B342,"yyyymmdd"),"00000000")&amp;TEXT(COUNTIF($B$2:B342,B342),"00")</f>
        <v>2022122202</v>
      </c>
      <c r="B342" s="21">
        <f t="shared" si="5"/>
        <v>44917</v>
      </c>
      <c r="C342" s="22">
        <v>2022</v>
      </c>
      <c r="D342" s="23">
        <v>12</v>
      </c>
      <c r="E342" s="24">
        <v>22</v>
      </c>
      <c r="F342" s="42" t="s">
        <v>19</v>
      </c>
      <c r="G342" s="42" t="s">
        <v>151</v>
      </c>
      <c r="H342" s="42" t="s">
        <v>151</v>
      </c>
      <c r="I342" s="42" t="s">
        <v>23</v>
      </c>
      <c r="J342" s="10">
        <v>-100766</v>
      </c>
      <c r="K342" s="7">
        <v>100766</v>
      </c>
      <c r="L342" s="1" t="s">
        <v>482</v>
      </c>
    </row>
    <row r="343" spans="1:13">
      <c r="A343" s="21" t="str">
        <f>TEXT(TEXT(B343,"yyyymmdd"),"00000000")&amp;TEXT(COUNTIF($B$2:B343,B343),"00")</f>
        <v>2022122301</v>
      </c>
      <c r="B343" s="21">
        <f t="shared" si="5"/>
        <v>44918</v>
      </c>
      <c r="C343" s="22">
        <v>2022</v>
      </c>
      <c r="D343" s="23">
        <v>12</v>
      </c>
      <c r="E343" s="24">
        <v>23</v>
      </c>
      <c r="F343" s="42" t="s">
        <v>17</v>
      </c>
      <c r="G343" s="42" t="s">
        <v>7</v>
      </c>
      <c r="H343" s="42" t="s">
        <v>117</v>
      </c>
      <c r="I343" s="42" t="s">
        <v>468</v>
      </c>
      <c r="J343" s="10">
        <v>403231</v>
      </c>
      <c r="K343" s="7">
        <v>-403231</v>
      </c>
      <c r="L343" s="1" t="s">
        <v>490</v>
      </c>
      <c r="M343" s="2" t="s">
        <v>569</v>
      </c>
    </row>
    <row r="344" spans="1:13">
      <c r="A344" s="21" t="str">
        <f>TEXT(TEXT(B344,"yyyymmdd"),"00000000")&amp;TEXT(COUNTIF($B$2:B344,B344),"00")</f>
        <v>2022122302</v>
      </c>
      <c r="B344" s="21">
        <f t="shared" si="5"/>
        <v>44918</v>
      </c>
      <c r="C344" s="22">
        <v>2022</v>
      </c>
      <c r="D344" s="23">
        <v>12</v>
      </c>
      <c r="E344" s="24">
        <v>23</v>
      </c>
      <c r="F344" s="42" t="s">
        <v>17</v>
      </c>
      <c r="G344" s="42" t="s">
        <v>7</v>
      </c>
      <c r="H344" s="42" t="s">
        <v>138</v>
      </c>
      <c r="I344" s="42" t="s">
        <v>197</v>
      </c>
      <c r="J344" s="10">
        <v>48500</v>
      </c>
      <c r="K344" s="7">
        <v>-48500</v>
      </c>
      <c r="L344" s="1" t="s">
        <v>198</v>
      </c>
    </row>
    <row r="345" spans="1:13">
      <c r="A345" s="21" t="str">
        <f>TEXT(TEXT(B345,"yyyymmdd"),"00000000")&amp;TEXT(COUNTIF($B$2:B345,B345),"00")</f>
        <v>2022122303</v>
      </c>
      <c r="B345" s="21">
        <f t="shared" si="5"/>
        <v>44918</v>
      </c>
      <c r="C345" s="22">
        <v>2022</v>
      </c>
      <c r="D345" s="23">
        <v>12</v>
      </c>
      <c r="E345" s="24">
        <v>23</v>
      </c>
      <c r="F345" s="42" t="s">
        <v>15</v>
      </c>
      <c r="G345" s="42" t="s">
        <v>11</v>
      </c>
      <c r="H345" s="42" t="s">
        <v>99</v>
      </c>
      <c r="I345" s="42" t="s">
        <v>94</v>
      </c>
      <c r="J345" s="10">
        <v>73130</v>
      </c>
      <c r="K345" s="7">
        <v>-73130</v>
      </c>
      <c r="L345" s="1" t="s">
        <v>94</v>
      </c>
    </row>
    <row r="346" spans="1:13">
      <c r="A346" s="21" t="str">
        <f>TEXT(TEXT(B346,"yyyymmdd"),"00000000")&amp;TEXT(COUNTIF($B$2:B346,B346),"00")</f>
        <v>2022122304</v>
      </c>
      <c r="B346" s="21">
        <f t="shared" si="5"/>
        <v>44918</v>
      </c>
      <c r="C346" s="22">
        <v>2022</v>
      </c>
      <c r="D346" s="23">
        <v>12</v>
      </c>
      <c r="E346" s="24">
        <v>23</v>
      </c>
      <c r="F346" s="42" t="s">
        <v>17</v>
      </c>
      <c r="G346" s="42" t="s">
        <v>11</v>
      </c>
      <c r="H346" s="42" t="s">
        <v>99</v>
      </c>
      <c r="I346" s="42" t="s">
        <v>94</v>
      </c>
      <c r="J346" s="10">
        <v>-73130</v>
      </c>
      <c r="K346" s="7">
        <v>73130</v>
      </c>
      <c r="L346" s="1" t="s">
        <v>94</v>
      </c>
    </row>
    <row r="347" spans="1:13">
      <c r="A347" s="21" t="str">
        <f>TEXT(TEXT(B347,"yyyymmdd"),"00000000")&amp;TEXT(COUNTIF($B$2:B347,B347),"00")</f>
        <v>2022122305</v>
      </c>
      <c r="B347" s="21">
        <f t="shared" si="5"/>
        <v>44918</v>
      </c>
      <c r="C347" s="22">
        <v>2022</v>
      </c>
      <c r="D347" s="23">
        <v>12</v>
      </c>
      <c r="E347" s="24">
        <v>23</v>
      </c>
      <c r="F347" s="42" t="s">
        <v>17</v>
      </c>
      <c r="G347" s="42" t="s">
        <v>7</v>
      </c>
      <c r="H347" s="42" t="s">
        <v>110</v>
      </c>
      <c r="I347" s="42" t="s">
        <v>120</v>
      </c>
      <c r="J347" s="10">
        <v>8500</v>
      </c>
      <c r="K347" s="7">
        <v>-8500</v>
      </c>
      <c r="L347" s="1" t="s">
        <v>493</v>
      </c>
      <c r="M347" s="2" t="s">
        <v>492</v>
      </c>
    </row>
    <row r="348" spans="1:13">
      <c r="A348" s="21" t="str">
        <f>TEXT(TEXT(B348,"yyyymmdd"),"00000000")&amp;TEXT(COUNTIF($B$2:B348,B348),"00")</f>
        <v>2022122306</v>
      </c>
      <c r="B348" s="21">
        <f t="shared" si="5"/>
        <v>44918</v>
      </c>
      <c r="C348" s="22">
        <v>2022</v>
      </c>
      <c r="D348" s="23">
        <v>12</v>
      </c>
      <c r="E348" s="24">
        <v>23</v>
      </c>
      <c r="F348" s="42" t="s">
        <v>17</v>
      </c>
      <c r="G348" s="42" t="s">
        <v>135</v>
      </c>
      <c r="H348" s="42" t="s">
        <v>135</v>
      </c>
      <c r="I348" s="42" t="s">
        <v>136</v>
      </c>
      <c r="J348" s="10">
        <v>-523217</v>
      </c>
      <c r="K348" s="7">
        <v>523217</v>
      </c>
      <c r="L348" s="1" t="s">
        <v>489</v>
      </c>
    </row>
    <row r="349" spans="1:13">
      <c r="A349" s="21" t="str">
        <f>TEXT(TEXT(B349,"yyyymmdd"),"00000000")&amp;TEXT(COUNTIF($B$2:B349,B349),"00")</f>
        <v>2022122307</v>
      </c>
      <c r="B349" s="21">
        <f t="shared" si="5"/>
        <v>44918</v>
      </c>
      <c r="C349" s="22">
        <v>2022</v>
      </c>
      <c r="D349" s="23">
        <v>12</v>
      </c>
      <c r="E349" s="24">
        <v>23</v>
      </c>
      <c r="F349" s="42" t="s">
        <v>17</v>
      </c>
      <c r="G349" s="42" t="s">
        <v>7</v>
      </c>
      <c r="H349" s="42" t="s">
        <v>138</v>
      </c>
      <c r="I349" s="42" t="s">
        <v>139</v>
      </c>
      <c r="J349" s="10">
        <v>10000</v>
      </c>
      <c r="K349" s="7">
        <v>-10000</v>
      </c>
      <c r="L349" s="1" t="s">
        <v>491</v>
      </c>
      <c r="M349" s="2" t="s">
        <v>492</v>
      </c>
    </row>
    <row r="350" spans="1:13">
      <c r="A350" s="21" t="str">
        <f>TEXT(TEXT(B350,"yyyymmdd"),"00000000")&amp;TEXT(COUNTIF($B$2:B350,B350),"00")</f>
        <v>2022122308</v>
      </c>
      <c r="B350" s="21">
        <f t="shared" si="5"/>
        <v>44918</v>
      </c>
      <c r="C350" s="22">
        <v>2022</v>
      </c>
      <c r="D350" s="23">
        <v>12</v>
      </c>
      <c r="E350" s="24">
        <v>23</v>
      </c>
      <c r="F350" s="42" t="s">
        <v>19</v>
      </c>
      <c r="G350" s="42" t="s">
        <v>151</v>
      </c>
      <c r="H350" s="42" t="s">
        <v>151</v>
      </c>
      <c r="I350" s="42" t="s">
        <v>177</v>
      </c>
      <c r="J350" s="10">
        <v>-100766</v>
      </c>
      <c r="K350" s="7">
        <v>100766</v>
      </c>
      <c r="L350" s="1" t="s">
        <v>482</v>
      </c>
    </row>
    <row r="351" spans="1:13">
      <c r="A351" s="21" t="str">
        <f>TEXT(TEXT(B351,"yyyymmdd"),"00000000")&amp;TEXT(COUNTIF($B$2:B351,B351),"00")</f>
        <v>2022122401</v>
      </c>
      <c r="B351" s="21">
        <f t="shared" si="5"/>
        <v>44919</v>
      </c>
      <c r="C351" s="22">
        <v>2022</v>
      </c>
      <c r="D351" s="23">
        <v>12</v>
      </c>
      <c r="E351" s="24">
        <v>24</v>
      </c>
      <c r="F351" s="42" t="s">
        <v>17</v>
      </c>
      <c r="G351" s="42" t="s">
        <v>170</v>
      </c>
      <c r="H351" s="42" t="s">
        <v>155</v>
      </c>
      <c r="I351" s="42" t="s">
        <v>156</v>
      </c>
      <c r="J351" s="10">
        <v>12375</v>
      </c>
      <c r="K351" s="7">
        <v>-12375</v>
      </c>
      <c r="L351" s="1" t="s">
        <v>157</v>
      </c>
      <c r="M351" s="2" t="s">
        <v>494</v>
      </c>
    </row>
    <row r="352" spans="1:13">
      <c r="A352" s="21" t="str">
        <f>TEXT(TEXT(B352,"yyyymmdd"),"00000000")&amp;TEXT(COUNTIF($B$2:B352,B352),"00")</f>
        <v>2022122402</v>
      </c>
      <c r="B352" s="21">
        <f t="shared" si="5"/>
        <v>44919</v>
      </c>
      <c r="C352" s="22">
        <v>2022</v>
      </c>
      <c r="D352" s="23">
        <v>12</v>
      </c>
      <c r="E352" s="24">
        <v>24</v>
      </c>
      <c r="F352" s="42" t="s">
        <v>17</v>
      </c>
      <c r="G352" s="42" t="s">
        <v>135</v>
      </c>
      <c r="H352" s="42" t="s">
        <v>135</v>
      </c>
      <c r="I352" s="42" t="s">
        <v>152</v>
      </c>
      <c r="J352" s="10">
        <v>-100000</v>
      </c>
      <c r="K352" s="7">
        <v>100000</v>
      </c>
      <c r="L352" s="1" t="s">
        <v>495</v>
      </c>
    </row>
    <row r="353" spans="1:13">
      <c r="A353" s="21" t="str">
        <f>TEXT(TEXT(B353,"yyyymmdd"),"00000000")&amp;TEXT(COUNTIF($B$2:B353,B353),"00")</f>
        <v>2022122501</v>
      </c>
      <c r="B353" s="21">
        <f t="shared" si="5"/>
        <v>44920</v>
      </c>
      <c r="C353" s="22">
        <v>2022</v>
      </c>
      <c r="D353" s="23">
        <v>12</v>
      </c>
      <c r="E353" s="24">
        <v>25</v>
      </c>
      <c r="F353" s="42" t="s">
        <v>17</v>
      </c>
      <c r="G353" s="42" t="s">
        <v>135</v>
      </c>
      <c r="H353" s="42" t="s">
        <v>135</v>
      </c>
      <c r="I353" s="42" t="s">
        <v>143</v>
      </c>
      <c r="J353" s="10">
        <v>-2</v>
      </c>
      <c r="K353" s="7">
        <v>2</v>
      </c>
      <c r="L353" s="1" t="s">
        <v>496</v>
      </c>
    </row>
    <row r="354" spans="1:13">
      <c r="A354" s="21" t="str">
        <f>TEXT(TEXT(B354,"yyyymmdd"),"00000000")&amp;TEXT(COUNTIF($B$2:B354,B354),"00")</f>
        <v>2022122601</v>
      </c>
      <c r="B354" s="21">
        <f t="shared" si="5"/>
        <v>44921</v>
      </c>
      <c r="C354" s="22">
        <v>2022</v>
      </c>
      <c r="D354" s="23">
        <v>12</v>
      </c>
      <c r="E354" s="24">
        <v>26</v>
      </c>
      <c r="F354" s="42" t="s">
        <v>17</v>
      </c>
      <c r="G354" s="42" t="s">
        <v>7</v>
      </c>
      <c r="H354" s="42" t="s">
        <v>110</v>
      </c>
      <c r="I354" s="42" t="s">
        <v>120</v>
      </c>
      <c r="J354" s="10">
        <v>300</v>
      </c>
      <c r="K354" s="7">
        <v>-300</v>
      </c>
      <c r="L354" s="1" t="s">
        <v>162</v>
      </c>
    </row>
    <row r="355" spans="1:13">
      <c r="A355" s="21" t="str">
        <f>TEXT(TEXT(B355,"yyyymmdd"),"00000000")&amp;TEXT(COUNTIF($B$2:B355,B355),"00")</f>
        <v>2022122701</v>
      </c>
      <c r="B355" s="21">
        <f t="shared" si="5"/>
        <v>44922</v>
      </c>
      <c r="C355" s="22">
        <v>2022</v>
      </c>
      <c r="D355" s="23">
        <v>12</v>
      </c>
      <c r="E355" s="24">
        <v>27</v>
      </c>
      <c r="F355" s="42" t="s">
        <v>17</v>
      </c>
      <c r="G355" s="42" t="s">
        <v>7</v>
      </c>
      <c r="H355" s="42" t="s">
        <v>110</v>
      </c>
      <c r="I355" s="42" t="s">
        <v>124</v>
      </c>
      <c r="J355" s="10">
        <v>2700</v>
      </c>
      <c r="K355" s="7">
        <v>-2700</v>
      </c>
      <c r="L355" s="1" t="s">
        <v>497</v>
      </c>
    </row>
    <row r="356" spans="1:13">
      <c r="A356" s="21" t="str">
        <f>TEXT(TEXT(B356,"yyyymmdd"),"00000000")&amp;TEXT(COUNTIF($B$2:B356,B356),"00")</f>
        <v>2022122702</v>
      </c>
      <c r="B356" s="21">
        <f t="shared" si="5"/>
        <v>44922</v>
      </c>
      <c r="C356" s="22">
        <v>2022</v>
      </c>
      <c r="D356" s="23">
        <v>12</v>
      </c>
      <c r="E356" s="24">
        <v>27</v>
      </c>
      <c r="F356" s="42" t="s">
        <v>17</v>
      </c>
      <c r="G356" s="42" t="s">
        <v>7</v>
      </c>
      <c r="H356" s="42" t="s">
        <v>110</v>
      </c>
      <c r="I356" s="42" t="s">
        <v>120</v>
      </c>
      <c r="J356" s="10">
        <v>300</v>
      </c>
      <c r="K356" s="7">
        <v>-300</v>
      </c>
      <c r="L356" s="1" t="s">
        <v>162</v>
      </c>
    </row>
    <row r="357" spans="1:13">
      <c r="A357" s="21" t="str">
        <f>TEXT(TEXT(B357,"yyyymmdd"),"00000000")&amp;TEXT(COUNTIF($B$2:B357,B357),"00")</f>
        <v>2022122703</v>
      </c>
      <c r="B357" s="21">
        <f t="shared" si="5"/>
        <v>44922</v>
      </c>
      <c r="C357" s="22">
        <v>2022</v>
      </c>
      <c r="D357" s="23">
        <v>12</v>
      </c>
      <c r="E357" s="24">
        <v>27</v>
      </c>
      <c r="F357" s="42" t="s">
        <v>19</v>
      </c>
      <c r="G357" s="42" t="s">
        <v>151</v>
      </c>
      <c r="H357" s="42" t="s">
        <v>151</v>
      </c>
      <c r="I357" s="42" t="s">
        <v>177</v>
      </c>
      <c r="J357" s="10">
        <v>-86240</v>
      </c>
      <c r="K357" s="7">
        <v>86240</v>
      </c>
      <c r="L357" s="1" t="s">
        <v>482</v>
      </c>
    </row>
    <row r="358" spans="1:13">
      <c r="A358" s="21" t="str">
        <f>TEXT(TEXT(B358,"yyyymmdd"),"00000000")&amp;TEXT(COUNTIF($B$2:B358,B358),"00")</f>
        <v>2022122801</v>
      </c>
      <c r="B358" s="21">
        <f t="shared" si="5"/>
        <v>44923</v>
      </c>
      <c r="C358" s="22">
        <v>2022</v>
      </c>
      <c r="D358" s="23">
        <v>12</v>
      </c>
      <c r="E358" s="24">
        <v>28</v>
      </c>
      <c r="F358" s="42" t="s">
        <v>19</v>
      </c>
      <c r="G358" s="42" t="s">
        <v>151</v>
      </c>
      <c r="H358" s="42" t="s">
        <v>151</v>
      </c>
      <c r="I358" s="42" t="s">
        <v>177</v>
      </c>
      <c r="J358" s="10">
        <v>-115292</v>
      </c>
      <c r="K358" s="7">
        <v>115292</v>
      </c>
      <c r="L358" s="1" t="s">
        <v>482</v>
      </c>
    </row>
    <row r="359" spans="1:13">
      <c r="A359" s="21" t="str">
        <f>TEXT(TEXT(B359,"yyyymmdd"),"00000000")&amp;TEXT(COUNTIF($B$2:B359,B359),"00")</f>
        <v>2022122901</v>
      </c>
      <c r="B359" s="21">
        <f t="shared" si="5"/>
        <v>44924</v>
      </c>
      <c r="C359" s="22">
        <v>2022</v>
      </c>
      <c r="D359" s="23">
        <v>12</v>
      </c>
      <c r="E359" s="24">
        <v>29</v>
      </c>
      <c r="F359" s="42" t="s">
        <v>17</v>
      </c>
      <c r="G359" s="42" t="s">
        <v>7</v>
      </c>
      <c r="H359" s="42" t="s">
        <v>110</v>
      </c>
      <c r="I359" s="42" t="s">
        <v>120</v>
      </c>
      <c r="J359" s="10">
        <v>300</v>
      </c>
      <c r="K359" s="7">
        <v>-300</v>
      </c>
      <c r="L359" s="1" t="s">
        <v>162</v>
      </c>
    </row>
    <row r="360" spans="1:13">
      <c r="A360" s="21" t="str">
        <f>TEXT(TEXT(B360,"yyyymmdd"),"00000000")&amp;TEXT(COUNTIF($B$2:B360,B360),"00")</f>
        <v>2022122902</v>
      </c>
      <c r="B360" s="21">
        <f t="shared" si="5"/>
        <v>44924</v>
      </c>
      <c r="C360" s="22">
        <v>2022</v>
      </c>
      <c r="D360" s="23">
        <v>12</v>
      </c>
      <c r="E360" s="24">
        <v>29</v>
      </c>
      <c r="F360" s="42" t="s">
        <v>17</v>
      </c>
      <c r="G360" s="42" t="s">
        <v>7</v>
      </c>
      <c r="H360" s="42" t="s">
        <v>119</v>
      </c>
      <c r="I360" s="42" t="s">
        <v>180</v>
      </c>
      <c r="J360" s="10">
        <v>20000</v>
      </c>
      <c r="K360" s="7">
        <v>-20000</v>
      </c>
      <c r="L360" s="1" t="s">
        <v>181</v>
      </c>
      <c r="M360" s="2" t="s">
        <v>501</v>
      </c>
    </row>
    <row r="361" spans="1:13">
      <c r="A361" s="21" t="str">
        <f>TEXT(TEXT(B361,"yyyymmdd"),"00000000")&amp;TEXT(COUNTIF($B$2:B361,B361),"00")</f>
        <v>2022123001</v>
      </c>
      <c r="B361" s="21">
        <f t="shared" si="5"/>
        <v>44925</v>
      </c>
      <c r="C361" s="22">
        <v>2022</v>
      </c>
      <c r="D361" s="23">
        <v>12</v>
      </c>
      <c r="E361" s="24">
        <v>30</v>
      </c>
      <c r="F361" s="42" t="s">
        <v>19</v>
      </c>
      <c r="G361" s="42" t="s">
        <v>11</v>
      </c>
      <c r="H361" s="42" t="s">
        <v>99</v>
      </c>
      <c r="I361" s="42" t="s">
        <v>94</v>
      </c>
      <c r="J361" s="10">
        <v>806134</v>
      </c>
      <c r="K361" s="7">
        <v>-806134</v>
      </c>
      <c r="L361" s="1" t="s">
        <v>503</v>
      </c>
    </row>
    <row r="362" spans="1:13">
      <c r="A362" s="21" t="str">
        <f>TEXT(TEXT(B362,"yyyymmdd"),"00000000")&amp;TEXT(COUNTIF($B$2:B362,B362),"00")</f>
        <v>2022123002</v>
      </c>
      <c r="B362" s="21">
        <f t="shared" si="5"/>
        <v>44925</v>
      </c>
      <c r="C362" s="22">
        <v>2022</v>
      </c>
      <c r="D362" s="23">
        <v>12</v>
      </c>
      <c r="E362" s="24">
        <v>30</v>
      </c>
      <c r="F362" s="42" t="s">
        <v>498</v>
      </c>
      <c r="G362" s="42" t="s">
        <v>11</v>
      </c>
      <c r="H362" s="42" t="s">
        <v>99</v>
      </c>
      <c r="I362" s="42" t="s">
        <v>94</v>
      </c>
      <c r="J362" s="10">
        <v>-806134</v>
      </c>
      <c r="K362" s="7">
        <v>806134</v>
      </c>
      <c r="L362" s="1" t="s">
        <v>294</v>
      </c>
    </row>
    <row r="363" spans="1:13">
      <c r="A363" s="21" t="str">
        <f>TEXT(TEXT(B363,"yyyymmdd"),"00000000")&amp;TEXT(COUNTIF($B$2:B363,B363),"00")</f>
        <v>2022123003</v>
      </c>
      <c r="B363" s="21">
        <f t="shared" si="5"/>
        <v>44925</v>
      </c>
      <c r="C363" s="22">
        <v>2022</v>
      </c>
      <c r="D363" s="23">
        <v>12</v>
      </c>
      <c r="E363" s="24">
        <v>30</v>
      </c>
      <c r="F363" s="42" t="s">
        <v>498</v>
      </c>
      <c r="G363" s="42" t="s">
        <v>135</v>
      </c>
      <c r="H363" s="42" t="s">
        <v>135</v>
      </c>
      <c r="I363" s="42" t="s">
        <v>190</v>
      </c>
      <c r="J363" s="10">
        <v>-498</v>
      </c>
      <c r="K363" s="7">
        <v>498</v>
      </c>
      <c r="L363" s="1" t="s">
        <v>604</v>
      </c>
    </row>
    <row r="364" spans="1:13">
      <c r="A364" s="21" t="str">
        <f>TEXT(TEXT(B364,"yyyymmdd"),"00000000")&amp;TEXT(COUNTIF($B$2:B364,B364),"00")</f>
        <v>2022123004</v>
      </c>
      <c r="B364" s="21">
        <f t="shared" si="5"/>
        <v>44925</v>
      </c>
      <c r="C364" s="22">
        <v>2022</v>
      </c>
      <c r="D364" s="23">
        <v>12</v>
      </c>
      <c r="E364" s="24">
        <v>30</v>
      </c>
      <c r="F364" s="42" t="s">
        <v>17</v>
      </c>
      <c r="G364" s="42" t="s">
        <v>13</v>
      </c>
      <c r="H364" s="42" t="s">
        <v>113</v>
      </c>
      <c r="I364" s="42" t="s">
        <v>171</v>
      </c>
      <c r="J364" s="10">
        <v>15000</v>
      </c>
      <c r="K364" s="7">
        <v>-15000</v>
      </c>
      <c r="L364" s="1" t="s">
        <v>502</v>
      </c>
    </row>
    <row r="365" spans="1:13">
      <c r="A365" s="21" t="str">
        <f>TEXT(TEXT(B365,"yyyymmdd"),"00000000")&amp;TEXT(COUNTIF($B$2:B365,B365),"00")</f>
        <v>2022123005</v>
      </c>
      <c r="B365" s="21">
        <f t="shared" si="5"/>
        <v>44925</v>
      </c>
      <c r="C365" s="22">
        <v>2022</v>
      </c>
      <c r="D365" s="23">
        <v>12</v>
      </c>
      <c r="E365" s="24">
        <v>30</v>
      </c>
      <c r="F365" s="42" t="s">
        <v>17</v>
      </c>
      <c r="G365" s="42" t="s">
        <v>170</v>
      </c>
      <c r="H365" s="42" t="s">
        <v>155</v>
      </c>
      <c r="I365" s="42" t="s">
        <v>156</v>
      </c>
      <c r="J365" s="10">
        <v>2832</v>
      </c>
      <c r="K365" s="7">
        <v>-2832</v>
      </c>
      <c r="L365" s="1" t="s">
        <v>303</v>
      </c>
    </row>
    <row r="366" spans="1:13">
      <c r="A366" s="21" t="str">
        <f>TEXT(TEXT(B366,"yyyymmdd"),"00000000")&amp;TEXT(COUNTIF($B$2:B366,B366),"00")</f>
        <v>2022123006</v>
      </c>
      <c r="B366" s="21">
        <f t="shared" si="5"/>
        <v>44925</v>
      </c>
      <c r="C366" s="22">
        <v>2022</v>
      </c>
      <c r="D366" s="23">
        <v>12</v>
      </c>
      <c r="E366" s="24">
        <v>30</v>
      </c>
      <c r="F366" s="42" t="s">
        <v>498</v>
      </c>
      <c r="G366" s="42" t="s">
        <v>151</v>
      </c>
      <c r="H366" s="42" t="s">
        <v>151</v>
      </c>
      <c r="I366" s="42" t="s">
        <v>177</v>
      </c>
      <c r="J366" s="10">
        <v>-100766</v>
      </c>
      <c r="K366" s="7">
        <v>100766</v>
      </c>
      <c r="L366" s="1" t="s">
        <v>482</v>
      </c>
    </row>
    <row r="367" spans="1:13">
      <c r="A367" s="21" t="str">
        <f>TEXT(TEXT(B367,"yyyymmdd"),"00000000")&amp;TEXT(COUNTIF($B$2:B367,B367),"00")</f>
        <v>2023010201</v>
      </c>
      <c r="B367" s="21">
        <f t="shared" si="5"/>
        <v>44928</v>
      </c>
      <c r="C367" s="22">
        <v>2023</v>
      </c>
      <c r="D367" s="23">
        <v>1</v>
      </c>
      <c r="E367" s="24">
        <v>2</v>
      </c>
      <c r="F367" s="42" t="s">
        <v>17</v>
      </c>
      <c r="G367" s="42" t="s">
        <v>7</v>
      </c>
      <c r="H367" s="42" t="s">
        <v>118</v>
      </c>
      <c r="I367" s="42" t="s">
        <v>446</v>
      </c>
      <c r="J367" s="10">
        <v>23700</v>
      </c>
      <c r="K367" s="7">
        <v>-23700</v>
      </c>
      <c r="L367" s="1" t="s">
        <v>531</v>
      </c>
    </row>
    <row r="368" spans="1:13">
      <c r="A368" s="21" t="str">
        <f>TEXT(TEXT(B368,"yyyymmdd"),"00000000")&amp;TEXT(COUNTIF($B$2:B368,B368),"00")</f>
        <v>2023010301</v>
      </c>
      <c r="B368" s="21">
        <f t="shared" si="5"/>
        <v>44929</v>
      </c>
      <c r="C368" s="22">
        <v>2023</v>
      </c>
      <c r="D368" s="23">
        <v>1</v>
      </c>
      <c r="E368" s="24">
        <v>3</v>
      </c>
      <c r="F368" s="42" t="s">
        <v>498</v>
      </c>
      <c r="G368" s="42" t="s">
        <v>151</v>
      </c>
      <c r="H368" s="42" t="s">
        <v>151</v>
      </c>
      <c r="I368" s="42" t="s">
        <v>177</v>
      </c>
      <c r="J368" s="10">
        <v>-90570</v>
      </c>
      <c r="K368" s="7">
        <v>90570</v>
      </c>
      <c r="L368" s="1" t="s">
        <v>482</v>
      </c>
    </row>
    <row r="369" spans="1:13">
      <c r="A369" s="21" t="str">
        <f>TEXT(TEXT(B369,"yyyymmdd"),"00000000")&amp;TEXT(COUNTIF($B$2:B369,B369),"00")</f>
        <v>2023010401</v>
      </c>
      <c r="B369" s="21">
        <f t="shared" si="5"/>
        <v>44930</v>
      </c>
      <c r="C369" s="22">
        <v>2023</v>
      </c>
      <c r="D369" s="23">
        <v>1</v>
      </c>
      <c r="E369" s="24">
        <v>4</v>
      </c>
      <c r="F369" s="42" t="s">
        <v>17</v>
      </c>
      <c r="G369" s="42" t="s">
        <v>7</v>
      </c>
      <c r="H369" s="42" t="s">
        <v>167</v>
      </c>
      <c r="I369" s="42" t="s">
        <v>168</v>
      </c>
      <c r="J369" s="10">
        <v>9000</v>
      </c>
      <c r="K369" s="7">
        <v>-9000</v>
      </c>
      <c r="L369" s="1" t="s">
        <v>532</v>
      </c>
    </row>
    <row r="370" spans="1:13">
      <c r="A370" s="21" t="str">
        <f>TEXT(TEXT(B370,"yyyymmdd"),"00000000")&amp;TEXT(COUNTIF($B$2:B370,B370),"00")</f>
        <v>2023010402</v>
      </c>
      <c r="B370" s="21">
        <f t="shared" si="5"/>
        <v>44930</v>
      </c>
      <c r="C370" s="22">
        <v>2023</v>
      </c>
      <c r="D370" s="23">
        <v>1</v>
      </c>
      <c r="E370" s="24">
        <v>4</v>
      </c>
      <c r="F370" s="42" t="s">
        <v>17</v>
      </c>
      <c r="G370" s="42" t="s">
        <v>7</v>
      </c>
      <c r="H370" s="42" t="s">
        <v>173</v>
      </c>
      <c r="I370" s="42" t="s">
        <v>207</v>
      </c>
      <c r="J370" s="10">
        <v>1160</v>
      </c>
      <c r="K370" s="7">
        <v>-1160</v>
      </c>
      <c r="L370" s="1" t="s">
        <v>208</v>
      </c>
    </row>
    <row r="371" spans="1:13">
      <c r="A371" s="21" t="str">
        <f>TEXT(TEXT(B371,"yyyymmdd"),"00000000")&amp;TEXT(COUNTIF($B$2:B371,B371),"00")</f>
        <v>2023010403</v>
      </c>
      <c r="B371" s="21">
        <f t="shared" si="5"/>
        <v>44930</v>
      </c>
      <c r="C371" s="22">
        <v>2023</v>
      </c>
      <c r="D371" s="23">
        <v>1</v>
      </c>
      <c r="E371" s="24">
        <v>4</v>
      </c>
      <c r="F371" s="42" t="s">
        <v>17</v>
      </c>
      <c r="G371" s="42" t="s">
        <v>7</v>
      </c>
      <c r="H371" s="42" t="s">
        <v>32</v>
      </c>
      <c r="I371" s="42" t="s">
        <v>533</v>
      </c>
      <c r="J371" s="10">
        <v>6000</v>
      </c>
      <c r="K371" s="7">
        <v>-6000</v>
      </c>
      <c r="L371" s="1" t="s">
        <v>535</v>
      </c>
    </row>
    <row r="372" spans="1:13">
      <c r="A372" s="21" t="str">
        <f>TEXT(TEXT(B372,"yyyymmdd"),"00000000")&amp;TEXT(COUNTIF($B$2:B372,B372),"00")</f>
        <v>2023010404</v>
      </c>
      <c r="B372" s="21">
        <f t="shared" si="5"/>
        <v>44930</v>
      </c>
      <c r="C372" s="22">
        <v>2023</v>
      </c>
      <c r="D372" s="23">
        <v>1</v>
      </c>
      <c r="E372" s="24">
        <v>4</v>
      </c>
      <c r="F372" s="42" t="s">
        <v>17</v>
      </c>
      <c r="G372" s="42" t="s">
        <v>7</v>
      </c>
      <c r="H372" s="42" t="s">
        <v>110</v>
      </c>
      <c r="I372" s="42" t="s">
        <v>124</v>
      </c>
      <c r="J372" s="10">
        <v>4000</v>
      </c>
      <c r="K372" s="7">
        <v>-4000</v>
      </c>
      <c r="L372" s="1" t="s">
        <v>497</v>
      </c>
    </row>
    <row r="373" spans="1:13">
      <c r="A373" s="21" t="str">
        <f>TEXT(TEXT(B373,"yyyymmdd"),"00000000")&amp;TEXT(COUNTIF($B$2:B373,B373),"00")</f>
        <v>2023010405</v>
      </c>
      <c r="B373" s="21">
        <f t="shared" si="5"/>
        <v>44930</v>
      </c>
      <c r="C373" s="22">
        <v>2023</v>
      </c>
      <c r="D373" s="23">
        <v>1</v>
      </c>
      <c r="E373" s="24">
        <v>4</v>
      </c>
      <c r="F373" s="42" t="s">
        <v>17</v>
      </c>
      <c r="G373" s="42" t="s">
        <v>7</v>
      </c>
      <c r="H373" s="42" t="s">
        <v>110</v>
      </c>
      <c r="I373" s="42" t="s">
        <v>120</v>
      </c>
      <c r="J373" s="10">
        <v>600</v>
      </c>
      <c r="K373" s="7">
        <v>-600</v>
      </c>
      <c r="L373" s="1" t="s">
        <v>162</v>
      </c>
    </row>
    <row r="374" spans="1:13">
      <c r="A374" s="21" t="str">
        <f>TEXT(TEXT(B374,"yyyymmdd"),"00000000")&amp;TEXT(COUNTIF($B$2:B374,B374),"00")</f>
        <v>2023010501</v>
      </c>
      <c r="B374" s="21">
        <f t="shared" si="5"/>
        <v>44931</v>
      </c>
      <c r="C374" s="22">
        <v>2023</v>
      </c>
      <c r="D374" s="23">
        <v>1</v>
      </c>
      <c r="E374" s="24">
        <v>5</v>
      </c>
      <c r="F374" s="42" t="s">
        <v>17</v>
      </c>
      <c r="G374" s="42" t="s">
        <v>7</v>
      </c>
      <c r="H374" s="42" t="s">
        <v>110</v>
      </c>
      <c r="I374" s="42" t="s">
        <v>120</v>
      </c>
      <c r="J374" s="10">
        <v>300</v>
      </c>
      <c r="K374" s="7">
        <v>-300</v>
      </c>
      <c r="L374" s="1" t="s">
        <v>162</v>
      </c>
    </row>
    <row r="375" spans="1:13">
      <c r="A375" s="21" t="str">
        <f>TEXT(TEXT(B375,"yyyymmdd"),"00000000")&amp;TEXT(COUNTIF($B$2:B375,B375),"00")</f>
        <v>2023010502</v>
      </c>
      <c r="B375" s="21">
        <f t="shared" si="5"/>
        <v>44931</v>
      </c>
      <c r="C375" s="22">
        <v>2023</v>
      </c>
      <c r="D375" s="23">
        <v>1</v>
      </c>
      <c r="E375" s="24">
        <v>5</v>
      </c>
      <c r="F375" s="42" t="s">
        <v>498</v>
      </c>
      <c r="G375" s="42" t="s">
        <v>151</v>
      </c>
      <c r="H375" s="42" t="s">
        <v>151</v>
      </c>
      <c r="I375" s="42" t="s">
        <v>177</v>
      </c>
      <c r="J375" s="10">
        <v>-121084</v>
      </c>
      <c r="K375" s="7">
        <v>121084</v>
      </c>
      <c r="L375" s="1" t="s">
        <v>482</v>
      </c>
    </row>
    <row r="376" spans="1:13">
      <c r="A376" s="21" t="str">
        <f>TEXT(TEXT(B376,"yyyymmdd"),"00000000")&amp;TEXT(COUNTIF($B$2:B376,B376),"00")</f>
        <v>2023010601</v>
      </c>
      <c r="B376" s="21">
        <f t="shared" si="5"/>
        <v>44932</v>
      </c>
      <c r="C376" s="22">
        <v>2023</v>
      </c>
      <c r="D376" s="23">
        <v>1</v>
      </c>
      <c r="E376" s="24">
        <v>6</v>
      </c>
      <c r="F376" s="42" t="s">
        <v>17</v>
      </c>
      <c r="G376" s="42" t="s">
        <v>13</v>
      </c>
      <c r="H376" s="42" t="s">
        <v>32</v>
      </c>
      <c r="I376" s="42" t="s">
        <v>141</v>
      </c>
      <c r="J376" s="10">
        <v>500</v>
      </c>
      <c r="K376" s="7">
        <v>-500</v>
      </c>
      <c r="L376" s="1" t="s">
        <v>536</v>
      </c>
      <c r="M376" s="2" t="s">
        <v>537</v>
      </c>
    </row>
    <row r="377" spans="1:13">
      <c r="A377" s="21" t="str">
        <f>TEXT(TEXT(B377,"yyyymmdd"),"00000000")&amp;TEXT(COUNTIF($B$2:B377,B377),"00")</f>
        <v>2023010602</v>
      </c>
      <c r="B377" s="21">
        <f t="shared" si="5"/>
        <v>44932</v>
      </c>
      <c r="C377" s="22">
        <v>2023</v>
      </c>
      <c r="D377" s="23">
        <v>1</v>
      </c>
      <c r="E377" s="24">
        <v>6</v>
      </c>
      <c r="F377" s="42" t="s">
        <v>17</v>
      </c>
      <c r="G377" s="42" t="s">
        <v>135</v>
      </c>
      <c r="H377" s="42" t="s">
        <v>135</v>
      </c>
      <c r="I377" s="42" t="s">
        <v>143</v>
      </c>
      <c r="J377" s="10">
        <v>-10000</v>
      </c>
      <c r="K377" s="7">
        <v>10000</v>
      </c>
      <c r="L377" s="1" t="s">
        <v>165</v>
      </c>
    </row>
    <row r="378" spans="1:13">
      <c r="A378" s="21" t="str">
        <f>TEXT(TEXT(B378,"yyyymmdd"),"00000000")&amp;TEXT(COUNTIF($B$2:B378,B378),"00")</f>
        <v>2023010603</v>
      </c>
      <c r="B378" s="21">
        <f t="shared" si="5"/>
        <v>44932</v>
      </c>
      <c r="C378" s="22">
        <v>2023</v>
      </c>
      <c r="D378" s="23">
        <v>1</v>
      </c>
      <c r="E378" s="24">
        <v>6</v>
      </c>
      <c r="F378" s="42" t="s">
        <v>498</v>
      </c>
      <c r="G378" s="42" t="s">
        <v>151</v>
      </c>
      <c r="H378" s="42" t="s">
        <v>151</v>
      </c>
      <c r="I378" s="42" t="s">
        <v>177</v>
      </c>
      <c r="J378" s="10">
        <v>-105822</v>
      </c>
      <c r="K378" s="7">
        <v>105822</v>
      </c>
      <c r="L378" s="1" t="s">
        <v>482</v>
      </c>
    </row>
    <row r="379" spans="1:13">
      <c r="A379" s="21" t="str">
        <f>TEXT(TEXT(B379,"yyyymmdd"),"00000000")&amp;TEXT(COUNTIF($B$2:B379,B379),"00")</f>
        <v>2023010901</v>
      </c>
      <c r="B379" s="21">
        <f t="shared" si="5"/>
        <v>44935</v>
      </c>
      <c r="C379" s="22">
        <v>2023</v>
      </c>
      <c r="D379" s="23">
        <v>1</v>
      </c>
      <c r="E379" s="24">
        <v>9</v>
      </c>
      <c r="F379" s="42" t="s">
        <v>17</v>
      </c>
      <c r="G379" s="42" t="s">
        <v>7</v>
      </c>
      <c r="H379" s="42" t="s">
        <v>167</v>
      </c>
      <c r="I379" s="42" t="s">
        <v>168</v>
      </c>
      <c r="J379" s="10">
        <v>9000</v>
      </c>
      <c r="K379" s="7">
        <v>-9000</v>
      </c>
      <c r="L379" s="1" t="s">
        <v>532</v>
      </c>
    </row>
    <row r="380" spans="1:13">
      <c r="A380" s="21" t="str">
        <f>TEXT(TEXT(B380,"yyyymmdd"),"00000000")&amp;TEXT(COUNTIF($B$2:B380,B380),"00")</f>
        <v>2023011001</v>
      </c>
      <c r="B380" s="21">
        <f t="shared" si="5"/>
        <v>44936</v>
      </c>
      <c r="C380" s="22">
        <v>2023</v>
      </c>
      <c r="D380" s="23">
        <v>1</v>
      </c>
      <c r="E380" s="24">
        <v>10</v>
      </c>
      <c r="F380" s="42" t="s">
        <v>17</v>
      </c>
      <c r="G380" s="42" t="s">
        <v>135</v>
      </c>
      <c r="H380" s="42" t="s">
        <v>135</v>
      </c>
      <c r="I380" s="42" t="s">
        <v>143</v>
      </c>
      <c r="J380" s="10">
        <v>-1</v>
      </c>
      <c r="K380" s="7">
        <v>1</v>
      </c>
      <c r="L380" s="1" t="s">
        <v>496</v>
      </c>
    </row>
    <row r="381" spans="1:13">
      <c r="A381" s="21" t="str">
        <f>TEXT(TEXT(B381,"yyyymmdd"),"00000000")&amp;TEXT(COUNTIF($B$2:B381,B381),"00")</f>
        <v>2023011002</v>
      </c>
      <c r="B381" s="21">
        <f t="shared" si="5"/>
        <v>44936</v>
      </c>
      <c r="C381" s="22">
        <v>2023</v>
      </c>
      <c r="D381" s="23">
        <v>1</v>
      </c>
      <c r="E381" s="24">
        <v>10</v>
      </c>
      <c r="F381" s="42" t="s">
        <v>17</v>
      </c>
      <c r="G381" s="42" t="s">
        <v>7</v>
      </c>
      <c r="H381" s="42" t="s">
        <v>110</v>
      </c>
      <c r="I381" s="42" t="s">
        <v>120</v>
      </c>
      <c r="J381" s="10">
        <v>300</v>
      </c>
      <c r="K381" s="7">
        <v>-300</v>
      </c>
      <c r="L381" s="1" t="s">
        <v>162</v>
      </c>
    </row>
    <row r="382" spans="1:13">
      <c r="A382" s="21" t="str">
        <f>TEXT(TEXT(B382,"yyyymmdd"),"00000000")&amp;TEXT(COUNTIF($B$2:B382,B382),"00")</f>
        <v>2023011003</v>
      </c>
      <c r="B382" s="21">
        <f t="shared" si="5"/>
        <v>44936</v>
      </c>
      <c r="C382" s="22">
        <v>2023</v>
      </c>
      <c r="D382" s="23">
        <v>1</v>
      </c>
      <c r="E382" s="24">
        <v>10</v>
      </c>
      <c r="F382" s="42" t="s">
        <v>498</v>
      </c>
      <c r="G382" s="42" t="s">
        <v>151</v>
      </c>
      <c r="H382" s="42" t="s">
        <v>151</v>
      </c>
      <c r="I382" s="42" t="s">
        <v>177</v>
      </c>
      <c r="J382" s="10">
        <v>-90570</v>
      </c>
      <c r="K382" s="7">
        <v>90570</v>
      </c>
      <c r="L382" s="1" t="s">
        <v>482</v>
      </c>
    </row>
    <row r="383" spans="1:13">
      <c r="A383" s="21" t="str">
        <f>TEXT(TEXT(B383,"yyyymmdd"),"00000000")&amp;TEXT(COUNTIF($B$2:B383,B383),"00")</f>
        <v>2023011101</v>
      </c>
      <c r="B383" s="21">
        <f t="shared" si="5"/>
        <v>44937</v>
      </c>
      <c r="C383" s="22">
        <v>2023</v>
      </c>
      <c r="D383" s="23">
        <v>1</v>
      </c>
      <c r="E383" s="24">
        <v>11</v>
      </c>
      <c r="F383" s="42" t="s">
        <v>17</v>
      </c>
      <c r="G383" s="42" t="s">
        <v>7</v>
      </c>
      <c r="H383" s="42" t="s">
        <v>111</v>
      </c>
      <c r="I383" s="42" t="s">
        <v>542</v>
      </c>
      <c r="J383" s="10">
        <v>59000</v>
      </c>
      <c r="K383" s="7">
        <v>-59000</v>
      </c>
      <c r="L383" s="1" t="s">
        <v>544</v>
      </c>
    </row>
    <row r="384" spans="1:13">
      <c r="A384" s="21" t="str">
        <f>TEXT(TEXT(B384,"yyyymmdd"),"00000000")&amp;TEXT(COUNTIF($B$2:B384,B384),"00")</f>
        <v>2023011102</v>
      </c>
      <c r="B384" s="21">
        <f t="shared" si="5"/>
        <v>44937</v>
      </c>
      <c r="C384" s="22">
        <v>2023</v>
      </c>
      <c r="D384" s="23">
        <v>1</v>
      </c>
      <c r="E384" s="24">
        <v>11</v>
      </c>
      <c r="F384" s="42" t="s">
        <v>498</v>
      </c>
      <c r="G384" s="42" t="s">
        <v>151</v>
      </c>
      <c r="H384" s="42" t="s">
        <v>151</v>
      </c>
      <c r="I384" s="42" t="s">
        <v>177</v>
      </c>
      <c r="J384" s="10">
        <v>-121084</v>
      </c>
      <c r="K384" s="7">
        <v>121084</v>
      </c>
      <c r="L384" s="1" t="s">
        <v>482</v>
      </c>
    </row>
    <row r="385" spans="1:13">
      <c r="A385" s="21" t="str">
        <f>TEXT(TEXT(B385,"yyyymmdd"),"00000000")&amp;TEXT(COUNTIF($B$2:B385,B385),"00")</f>
        <v>2023011201</v>
      </c>
      <c r="B385" s="21">
        <f t="shared" si="5"/>
        <v>44938</v>
      </c>
      <c r="C385" s="22">
        <v>2023</v>
      </c>
      <c r="D385" s="23">
        <v>1</v>
      </c>
      <c r="E385" s="24">
        <v>12</v>
      </c>
      <c r="F385" s="42" t="s">
        <v>17</v>
      </c>
      <c r="G385" s="42" t="s">
        <v>7</v>
      </c>
      <c r="H385" s="42" t="s">
        <v>167</v>
      </c>
      <c r="I385" s="42" t="s">
        <v>168</v>
      </c>
      <c r="J385" s="10">
        <v>6850</v>
      </c>
      <c r="K385" s="7">
        <v>-6850</v>
      </c>
      <c r="L385" s="1" t="s">
        <v>532</v>
      </c>
      <c r="M385" s="2" t="s">
        <v>548</v>
      </c>
    </row>
    <row r="386" spans="1:13">
      <c r="A386" s="21" t="str">
        <f>TEXT(TEXT(B386,"yyyymmdd"),"00000000")&amp;TEXT(COUNTIF($B$2:B386,B386),"00")</f>
        <v>2023011202</v>
      </c>
      <c r="B386" s="21">
        <f t="shared" ref="B386:B449" si="6">DATE(C386,D386,E386)</f>
        <v>44938</v>
      </c>
      <c r="C386" s="22">
        <v>2023</v>
      </c>
      <c r="D386" s="23">
        <v>1</v>
      </c>
      <c r="E386" s="24">
        <v>12</v>
      </c>
      <c r="F386" s="42" t="s">
        <v>17</v>
      </c>
      <c r="G386" s="42" t="s">
        <v>7</v>
      </c>
      <c r="H386" s="42" t="s">
        <v>110</v>
      </c>
      <c r="I386" s="42" t="s">
        <v>120</v>
      </c>
      <c r="J386" s="10">
        <v>300</v>
      </c>
      <c r="K386" s="7">
        <v>-300</v>
      </c>
      <c r="L386" s="1" t="s">
        <v>162</v>
      </c>
    </row>
    <row r="387" spans="1:13">
      <c r="A387" s="21" t="str">
        <f>TEXT(TEXT(B387,"yyyymmdd"),"00000000")&amp;TEXT(COUNTIF($B$2:B387,B387),"00")</f>
        <v>2023011203</v>
      </c>
      <c r="B387" s="21">
        <f t="shared" si="6"/>
        <v>44938</v>
      </c>
      <c r="C387" s="22">
        <v>2023</v>
      </c>
      <c r="D387" s="23">
        <v>1</v>
      </c>
      <c r="E387" s="24">
        <v>12</v>
      </c>
      <c r="F387" s="42" t="s">
        <v>17</v>
      </c>
      <c r="G387" s="42" t="s">
        <v>7</v>
      </c>
      <c r="H387" s="42" t="s">
        <v>167</v>
      </c>
      <c r="I387" s="42" t="s">
        <v>545</v>
      </c>
      <c r="J387" s="10">
        <v>166550</v>
      </c>
      <c r="K387" s="7">
        <v>-166550</v>
      </c>
      <c r="L387" s="1" t="s">
        <v>541</v>
      </c>
      <c r="M387" s="2" t="s">
        <v>547</v>
      </c>
    </row>
    <row r="388" spans="1:13">
      <c r="A388" s="21" t="str">
        <f>TEXT(TEXT(B388,"yyyymmdd"),"00000000")&amp;TEXT(COUNTIF($B$2:B388,B388),"00")</f>
        <v>2023011204</v>
      </c>
      <c r="B388" s="21">
        <f t="shared" si="6"/>
        <v>44938</v>
      </c>
      <c r="C388" s="22">
        <v>2023</v>
      </c>
      <c r="D388" s="23">
        <v>1</v>
      </c>
      <c r="E388" s="24">
        <v>12</v>
      </c>
      <c r="F388" s="42" t="s">
        <v>498</v>
      </c>
      <c r="G388" s="42" t="s">
        <v>151</v>
      </c>
      <c r="H388" s="42" t="s">
        <v>151</v>
      </c>
      <c r="I388" s="42" t="s">
        <v>177</v>
      </c>
      <c r="J388" s="10">
        <v>-105822</v>
      </c>
      <c r="K388" s="7">
        <v>105822</v>
      </c>
      <c r="L388" s="1" t="s">
        <v>482</v>
      </c>
    </row>
    <row r="389" spans="1:13">
      <c r="A389" s="21" t="str">
        <f>TEXT(TEXT(B389,"yyyymmdd"),"00000000")&amp;TEXT(COUNTIF($B$2:B389,B389),"00")</f>
        <v>2023011205</v>
      </c>
      <c r="B389" s="21">
        <f t="shared" si="6"/>
        <v>44938</v>
      </c>
      <c r="C389" s="22">
        <v>2023</v>
      </c>
      <c r="D389" s="23">
        <v>1</v>
      </c>
      <c r="E389" s="24">
        <v>12</v>
      </c>
      <c r="F389" s="42" t="s">
        <v>17</v>
      </c>
      <c r="G389" s="42" t="s">
        <v>135</v>
      </c>
      <c r="H389" s="42" t="s">
        <v>135</v>
      </c>
      <c r="I389" s="42" t="s">
        <v>190</v>
      </c>
      <c r="J389" s="10">
        <v>-2500</v>
      </c>
      <c r="K389" s="7">
        <v>2500</v>
      </c>
      <c r="L389" s="1" t="s">
        <v>191</v>
      </c>
    </row>
    <row r="390" spans="1:13">
      <c r="A390" s="21" t="str">
        <f>TEXT(TEXT(B390,"yyyymmdd"),"00000000")&amp;TEXT(COUNTIF($B$2:B390,B390),"00")</f>
        <v>2023011301</v>
      </c>
      <c r="B390" s="21">
        <f t="shared" si="6"/>
        <v>44939</v>
      </c>
      <c r="C390" s="22">
        <v>2023</v>
      </c>
      <c r="D390" s="23">
        <v>1</v>
      </c>
      <c r="E390" s="24">
        <v>13</v>
      </c>
      <c r="F390" s="42" t="s">
        <v>17</v>
      </c>
      <c r="G390" s="42" t="s">
        <v>7</v>
      </c>
      <c r="H390" s="42" t="s">
        <v>110</v>
      </c>
      <c r="I390" s="42" t="s">
        <v>120</v>
      </c>
      <c r="J390" s="10">
        <v>300</v>
      </c>
      <c r="K390" s="7">
        <v>-300</v>
      </c>
      <c r="L390" s="1" t="s">
        <v>162</v>
      </c>
    </row>
    <row r="391" spans="1:13">
      <c r="A391" s="21" t="str">
        <f>TEXT(TEXT(B391,"yyyymmdd"),"00000000")&amp;TEXT(COUNTIF($B$2:B391,B391),"00")</f>
        <v>2023011302</v>
      </c>
      <c r="B391" s="21">
        <f t="shared" si="6"/>
        <v>44939</v>
      </c>
      <c r="C391" s="22">
        <v>2023</v>
      </c>
      <c r="D391" s="23">
        <v>1</v>
      </c>
      <c r="E391" s="24">
        <v>13</v>
      </c>
      <c r="F391" s="42" t="s">
        <v>17</v>
      </c>
      <c r="G391" s="42" t="s">
        <v>7</v>
      </c>
      <c r="H391" s="42" t="s">
        <v>155</v>
      </c>
      <c r="I391" s="42" t="s">
        <v>221</v>
      </c>
      <c r="J391" s="10">
        <v>31820</v>
      </c>
      <c r="K391" s="7">
        <v>-31820</v>
      </c>
      <c r="L391" s="1" t="s">
        <v>541</v>
      </c>
      <c r="M391" s="2" t="s">
        <v>549</v>
      </c>
    </row>
    <row r="392" spans="1:13">
      <c r="A392" s="21" t="str">
        <f>TEXT(TEXT(B392,"yyyymmdd"),"00000000")&amp;TEXT(COUNTIF($B$2:B392,B392),"00")</f>
        <v>2023011303</v>
      </c>
      <c r="B392" s="21">
        <f t="shared" si="6"/>
        <v>44939</v>
      </c>
      <c r="C392" s="22">
        <v>2023</v>
      </c>
      <c r="D392" s="23">
        <v>1</v>
      </c>
      <c r="E392" s="24">
        <v>13</v>
      </c>
      <c r="F392" s="42" t="s">
        <v>498</v>
      </c>
      <c r="G392" s="42" t="s">
        <v>151</v>
      </c>
      <c r="H392" s="42" t="s">
        <v>151</v>
      </c>
      <c r="I392" s="42" t="s">
        <v>177</v>
      </c>
      <c r="J392" s="10">
        <v>-105822</v>
      </c>
      <c r="K392" s="7">
        <v>105822</v>
      </c>
      <c r="L392" s="1" t="s">
        <v>482</v>
      </c>
    </row>
    <row r="393" spans="1:13">
      <c r="A393" s="21" t="str">
        <f>TEXT(TEXT(B393,"yyyymmdd"),"00000000")&amp;TEXT(COUNTIF($B$2:B393,B393),"00")</f>
        <v>2023011601</v>
      </c>
      <c r="B393" s="21">
        <f t="shared" si="6"/>
        <v>44942</v>
      </c>
      <c r="C393" s="22">
        <v>2023</v>
      </c>
      <c r="D393" s="23">
        <v>1</v>
      </c>
      <c r="E393" s="24">
        <v>16</v>
      </c>
      <c r="F393" s="42" t="s">
        <v>498</v>
      </c>
      <c r="G393" s="42" t="s">
        <v>151</v>
      </c>
      <c r="H393" s="42" t="s">
        <v>151</v>
      </c>
      <c r="I393" s="42" t="s">
        <v>177</v>
      </c>
      <c r="J393" s="10">
        <v>-55822</v>
      </c>
      <c r="K393" s="7">
        <v>55822</v>
      </c>
      <c r="L393" s="1" t="s">
        <v>482</v>
      </c>
      <c r="M393" s="2" t="s">
        <v>555</v>
      </c>
    </row>
    <row r="394" spans="1:13">
      <c r="A394" s="21" t="str">
        <f>TEXT(TEXT(B394,"yyyymmdd"),"00000000")&amp;TEXT(COUNTIF($B$2:B394,B394),"00")</f>
        <v>2023011602</v>
      </c>
      <c r="B394" s="21">
        <f t="shared" si="6"/>
        <v>44942</v>
      </c>
      <c r="C394" s="22">
        <v>2023</v>
      </c>
      <c r="D394" s="23">
        <v>1</v>
      </c>
      <c r="E394" s="24">
        <v>16</v>
      </c>
      <c r="F394" s="42" t="s">
        <v>17</v>
      </c>
      <c r="G394" s="42" t="s">
        <v>7</v>
      </c>
      <c r="H394" s="42" t="s">
        <v>173</v>
      </c>
      <c r="I394" s="42" t="s">
        <v>262</v>
      </c>
      <c r="J394" s="10">
        <v>11600</v>
      </c>
      <c r="K394" s="7">
        <v>-11600</v>
      </c>
      <c r="L394" s="1" t="s">
        <v>262</v>
      </c>
      <c r="M394" s="2" t="s">
        <v>550</v>
      </c>
    </row>
    <row r="395" spans="1:13">
      <c r="A395" s="21" t="str">
        <f>TEXT(TEXT(B395,"yyyymmdd"),"00000000")&amp;TEXT(COUNTIF($B$2:B395,B395),"00")</f>
        <v>2023011701</v>
      </c>
      <c r="B395" s="21">
        <f t="shared" si="6"/>
        <v>44943</v>
      </c>
      <c r="C395" s="22">
        <v>2023</v>
      </c>
      <c r="D395" s="23">
        <v>1</v>
      </c>
      <c r="E395" s="24">
        <v>17</v>
      </c>
      <c r="F395" s="42" t="s">
        <v>17</v>
      </c>
      <c r="G395" s="42" t="s">
        <v>7</v>
      </c>
      <c r="H395" s="42" t="s">
        <v>155</v>
      </c>
      <c r="I395" s="42" t="s">
        <v>221</v>
      </c>
      <c r="J395" s="10">
        <v>31481</v>
      </c>
      <c r="K395" s="7">
        <v>-31481</v>
      </c>
      <c r="L395" s="1" t="s">
        <v>218</v>
      </c>
      <c r="M395" s="2" t="s">
        <v>554</v>
      </c>
    </row>
    <row r="396" spans="1:13">
      <c r="A396" s="21" t="str">
        <f>TEXT(TEXT(B396,"yyyymmdd"),"00000000")&amp;TEXT(COUNTIF($B$2:B396,B396),"00")</f>
        <v>2023011702</v>
      </c>
      <c r="B396" s="21">
        <f t="shared" si="6"/>
        <v>44943</v>
      </c>
      <c r="C396" s="22">
        <v>2023</v>
      </c>
      <c r="D396" s="23">
        <v>1</v>
      </c>
      <c r="E396" s="24">
        <v>17</v>
      </c>
      <c r="F396" s="42" t="s">
        <v>17</v>
      </c>
      <c r="G396" s="42" t="s">
        <v>135</v>
      </c>
      <c r="H396" s="42" t="s">
        <v>135</v>
      </c>
      <c r="I396" s="42" t="s">
        <v>143</v>
      </c>
      <c r="J396" s="10">
        <v>-1</v>
      </c>
      <c r="K396" s="7">
        <v>1</v>
      </c>
      <c r="L396" s="1" t="s">
        <v>551</v>
      </c>
    </row>
    <row r="397" spans="1:13">
      <c r="A397" s="21" t="str">
        <f>TEXT(TEXT(B397,"yyyymmdd"),"00000000")&amp;TEXT(COUNTIF($B$2:B397,B397),"00")</f>
        <v>2023011703</v>
      </c>
      <c r="B397" s="21">
        <f t="shared" si="6"/>
        <v>44943</v>
      </c>
      <c r="C397" s="22">
        <v>2023</v>
      </c>
      <c r="D397" s="23">
        <v>1</v>
      </c>
      <c r="E397" s="24">
        <v>17</v>
      </c>
      <c r="F397" s="42" t="s">
        <v>498</v>
      </c>
      <c r="G397" s="42" t="s">
        <v>151</v>
      </c>
      <c r="H397" s="42" t="s">
        <v>151</v>
      </c>
      <c r="I397" s="42" t="s">
        <v>177</v>
      </c>
      <c r="J397" s="10">
        <v>-12310</v>
      </c>
      <c r="K397" s="7">
        <v>12310</v>
      </c>
      <c r="L397" s="1" t="s">
        <v>482</v>
      </c>
      <c r="M397" s="2" t="s">
        <v>555</v>
      </c>
    </row>
    <row r="398" spans="1:13">
      <c r="A398" s="21" t="str">
        <f>TEXT(TEXT(B398,"yyyymmdd"),"00000000")&amp;TEXT(COUNTIF($B$2:B398,B398),"00")</f>
        <v>2023011704</v>
      </c>
      <c r="B398" s="21">
        <f t="shared" si="6"/>
        <v>44943</v>
      </c>
      <c r="C398" s="22">
        <v>2023</v>
      </c>
      <c r="D398" s="23">
        <v>1</v>
      </c>
      <c r="E398" s="24">
        <v>17</v>
      </c>
      <c r="F398" s="42" t="s">
        <v>17</v>
      </c>
      <c r="G398" s="42" t="s">
        <v>7</v>
      </c>
      <c r="H398" s="42" t="s">
        <v>32</v>
      </c>
      <c r="I398" s="42" t="s">
        <v>141</v>
      </c>
      <c r="J398" s="10">
        <v>1000</v>
      </c>
      <c r="K398" s="7">
        <v>-1000</v>
      </c>
      <c r="L398" s="1" t="s">
        <v>552</v>
      </c>
      <c r="M398" s="2" t="s">
        <v>553</v>
      </c>
    </row>
    <row r="399" spans="1:13">
      <c r="A399" s="21" t="str">
        <f>TEXT(TEXT(B399,"yyyymmdd"),"00000000")&amp;TEXT(COUNTIF($B$2:B399,B399),"00")</f>
        <v>2023012001</v>
      </c>
      <c r="B399" s="21">
        <f t="shared" si="6"/>
        <v>44946</v>
      </c>
      <c r="C399" s="22">
        <v>2023</v>
      </c>
      <c r="D399" s="23">
        <v>1</v>
      </c>
      <c r="E399" s="24">
        <v>20</v>
      </c>
      <c r="F399" s="42" t="s">
        <v>17</v>
      </c>
      <c r="G399" s="42" t="s">
        <v>11</v>
      </c>
      <c r="H399" s="42" t="s">
        <v>99</v>
      </c>
      <c r="I399" s="42" t="s">
        <v>94</v>
      </c>
      <c r="J399" s="10">
        <v>-476719</v>
      </c>
      <c r="K399" s="7">
        <v>476719</v>
      </c>
      <c r="L399" s="1" t="s">
        <v>503</v>
      </c>
    </row>
    <row r="400" spans="1:13">
      <c r="A400" s="21" t="str">
        <f>TEXT(TEXT(B400,"yyyymmdd"),"00000000")&amp;TEXT(COUNTIF($B$2:B400,B400),"00")</f>
        <v>2023012002</v>
      </c>
      <c r="B400" s="21">
        <f t="shared" si="6"/>
        <v>44946</v>
      </c>
      <c r="C400" s="22">
        <v>2023</v>
      </c>
      <c r="D400" s="23">
        <v>1</v>
      </c>
      <c r="E400" s="24">
        <v>20</v>
      </c>
      <c r="F400" s="42" t="s">
        <v>17</v>
      </c>
      <c r="G400" s="42" t="s">
        <v>7</v>
      </c>
      <c r="H400" s="42" t="s">
        <v>118</v>
      </c>
      <c r="I400" s="42" t="s">
        <v>446</v>
      </c>
      <c r="J400" s="10">
        <v>5900</v>
      </c>
      <c r="K400" s="7">
        <v>-5900</v>
      </c>
      <c r="L400" s="1" t="s">
        <v>531</v>
      </c>
      <c r="M400" s="2" t="s">
        <v>556</v>
      </c>
    </row>
    <row r="401" spans="1:13">
      <c r="A401" s="21" t="str">
        <f>TEXT(TEXT(B401,"yyyymmdd"),"00000000")&amp;TEXT(COUNTIF($B$2:B401,B401),"00")</f>
        <v>2023012003</v>
      </c>
      <c r="B401" s="21">
        <f t="shared" si="6"/>
        <v>44946</v>
      </c>
      <c r="C401" s="22">
        <v>2023</v>
      </c>
      <c r="D401" s="23">
        <v>1</v>
      </c>
      <c r="E401" s="24">
        <v>20</v>
      </c>
      <c r="F401" s="42" t="s">
        <v>17</v>
      </c>
      <c r="G401" s="42" t="s">
        <v>135</v>
      </c>
      <c r="H401" s="42" t="s">
        <v>135</v>
      </c>
      <c r="I401" s="42" t="s">
        <v>152</v>
      </c>
      <c r="J401" s="10">
        <v>-50000</v>
      </c>
      <c r="K401" s="7">
        <v>50000</v>
      </c>
      <c r="L401" s="1" t="s">
        <v>557</v>
      </c>
    </row>
    <row r="402" spans="1:13">
      <c r="A402" s="21" t="str">
        <f>TEXT(TEXT(B402,"yyyymmdd"),"00000000")&amp;TEXT(COUNTIF($B$2:B402,B402),"00")</f>
        <v>2023012101</v>
      </c>
      <c r="B402" s="21">
        <f t="shared" si="6"/>
        <v>44947</v>
      </c>
      <c r="C402" s="22">
        <v>2023</v>
      </c>
      <c r="D402" s="23">
        <v>1</v>
      </c>
      <c r="E402" s="24">
        <v>21</v>
      </c>
      <c r="F402" s="42" t="s">
        <v>498</v>
      </c>
      <c r="G402" s="42" t="s">
        <v>135</v>
      </c>
      <c r="H402" s="42" t="s">
        <v>135</v>
      </c>
      <c r="I402" s="42" t="s">
        <v>190</v>
      </c>
      <c r="J402" s="10">
        <v>-9427</v>
      </c>
      <c r="K402" s="7">
        <v>9427</v>
      </c>
      <c r="L402" s="1" t="s">
        <v>604</v>
      </c>
    </row>
    <row r="403" spans="1:13">
      <c r="A403" s="21" t="str">
        <f>TEXT(TEXT(B403,"yyyymmdd"),"00000000")&amp;TEXT(COUNTIF($B$2:B403,B403),"00")</f>
        <v>2023012301</v>
      </c>
      <c r="B403" s="21">
        <f t="shared" si="6"/>
        <v>44949</v>
      </c>
      <c r="C403" s="22">
        <v>2023</v>
      </c>
      <c r="D403" s="23">
        <v>1</v>
      </c>
      <c r="E403" s="24">
        <v>23</v>
      </c>
      <c r="F403" s="42" t="s">
        <v>17</v>
      </c>
      <c r="G403" s="42" t="s">
        <v>135</v>
      </c>
      <c r="H403" s="42" t="s">
        <v>135</v>
      </c>
      <c r="I403" s="42" t="s">
        <v>152</v>
      </c>
      <c r="J403" s="10">
        <v>-21900</v>
      </c>
      <c r="K403" s="7">
        <v>21900</v>
      </c>
      <c r="L403" s="1" t="s">
        <v>558</v>
      </c>
      <c r="M403" s="2" t="s">
        <v>559</v>
      </c>
    </row>
    <row r="404" spans="1:13">
      <c r="A404" s="21" t="str">
        <f>TEXT(TEXT(B404,"yyyymmdd"),"00000000")&amp;TEXT(COUNTIF($B$2:B404,B404),"00")</f>
        <v>2023012302</v>
      </c>
      <c r="B404" s="21">
        <f t="shared" si="6"/>
        <v>44949</v>
      </c>
      <c r="C404" s="22">
        <v>2023</v>
      </c>
      <c r="D404" s="23">
        <v>1</v>
      </c>
      <c r="E404" s="24">
        <v>23</v>
      </c>
      <c r="F404" s="42" t="s">
        <v>17</v>
      </c>
      <c r="G404" s="42" t="s">
        <v>7</v>
      </c>
      <c r="H404" s="42" t="s">
        <v>138</v>
      </c>
      <c r="I404" s="42" t="s">
        <v>139</v>
      </c>
      <c r="J404" s="10">
        <v>39900</v>
      </c>
      <c r="K404" s="7">
        <v>-39900</v>
      </c>
      <c r="L404" s="1" t="s">
        <v>561</v>
      </c>
      <c r="M404" s="2" t="s">
        <v>562</v>
      </c>
    </row>
    <row r="405" spans="1:13">
      <c r="A405" s="21" t="str">
        <f>TEXT(TEXT(B405,"yyyymmdd"),"00000000")&amp;TEXT(COUNTIF($B$2:B405,B405),"00")</f>
        <v>2023012303</v>
      </c>
      <c r="B405" s="21">
        <f t="shared" si="6"/>
        <v>44949</v>
      </c>
      <c r="C405" s="22">
        <v>2023</v>
      </c>
      <c r="D405" s="23">
        <v>1</v>
      </c>
      <c r="E405" s="24">
        <v>23</v>
      </c>
      <c r="F405" s="42" t="s">
        <v>17</v>
      </c>
      <c r="G405" s="42" t="s">
        <v>135</v>
      </c>
      <c r="H405" s="42" t="s">
        <v>135</v>
      </c>
      <c r="I405" s="42" t="s">
        <v>152</v>
      </c>
      <c r="J405" s="10">
        <v>-1700</v>
      </c>
      <c r="K405" s="7">
        <v>1700</v>
      </c>
      <c r="L405" s="1" t="s">
        <v>563</v>
      </c>
    </row>
    <row r="406" spans="1:13">
      <c r="A406" s="21" t="str">
        <f>TEXT(TEXT(B406,"yyyymmdd"),"00000000")&amp;TEXT(COUNTIF($B$2:B406,B406),"00")</f>
        <v>2023012304</v>
      </c>
      <c r="B406" s="21">
        <f t="shared" si="6"/>
        <v>44949</v>
      </c>
      <c r="C406" s="22">
        <v>2023</v>
      </c>
      <c r="D406" s="23">
        <v>1</v>
      </c>
      <c r="E406" s="24">
        <v>23</v>
      </c>
      <c r="F406" s="42" t="s">
        <v>17</v>
      </c>
      <c r="G406" s="42" t="s">
        <v>135</v>
      </c>
      <c r="H406" s="42" t="s">
        <v>135</v>
      </c>
      <c r="I406" s="42" t="s">
        <v>152</v>
      </c>
      <c r="J406" s="10">
        <v>-100000</v>
      </c>
      <c r="K406" s="7">
        <v>100000</v>
      </c>
      <c r="L406" s="1" t="s">
        <v>560</v>
      </c>
    </row>
    <row r="407" spans="1:13">
      <c r="A407" s="21" t="str">
        <f>TEXT(TEXT(B407,"yyyymmdd"),"00000000")&amp;TEXT(COUNTIF($B$2:B407,B407),"00")</f>
        <v>2023012305</v>
      </c>
      <c r="B407" s="21">
        <f t="shared" si="6"/>
        <v>44949</v>
      </c>
      <c r="C407" s="22">
        <v>2023</v>
      </c>
      <c r="D407" s="23">
        <v>1</v>
      </c>
      <c r="E407" s="24">
        <v>23</v>
      </c>
      <c r="F407" s="42" t="s">
        <v>17</v>
      </c>
      <c r="G407" s="42" t="s">
        <v>7</v>
      </c>
      <c r="H407" s="42" t="s">
        <v>110</v>
      </c>
      <c r="I407" s="42" t="s">
        <v>120</v>
      </c>
      <c r="J407" s="10">
        <v>2000</v>
      </c>
      <c r="K407" s="7">
        <v>-2000</v>
      </c>
      <c r="L407" s="1" t="s">
        <v>162</v>
      </c>
      <c r="M407" s="2" t="s">
        <v>564</v>
      </c>
    </row>
    <row r="408" spans="1:13">
      <c r="A408" s="21" t="str">
        <f>TEXT(TEXT(B408,"yyyymmdd"),"00000000")&amp;TEXT(COUNTIF($B$2:B408,B408),"00")</f>
        <v>2023012401</v>
      </c>
      <c r="B408" s="21">
        <f t="shared" si="6"/>
        <v>44950</v>
      </c>
      <c r="C408" s="22">
        <v>2023</v>
      </c>
      <c r="D408" s="23">
        <v>1</v>
      </c>
      <c r="E408" s="24">
        <v>24</v>
      </c>
      <c r="F408" s="42" t="s">
        <v>17</v>
      </c>
      <c r="G408" s="42" t="s">
        <v>7</v>
      </c>
      <c r="H408" s="42" t="s">
        <v>110</v>
      </c>
      <c r="I408" s="42" t="s">
        <v>120</v>
      </c>
      <c r="J408" s="10">
        <v>6400</v>
      </c>
      <c r="K408" s="7">
        <v>-6400</v>
      </c>
      <c r="L408" s="1" t="s">
        <v>480</v>
      </c>
    </row>
    <row r="409" spans="1:13">
      <c r="A409" s="21" t="str">
        <f>TEXT(TEXT(B409,"yyyymmdd"),"00000000")&amp;TEXT(COUNTIF($B$2:B409,B409),"00")</f>
        <v>2023012402</v>
      </c>
      <c r="B409" s="21">
        <f t="shared" si="6"/>
        <v>44950</v>
      </c>
      <c r="C409" s="22">
        <v>2023</v>
      </c>
      <c r="D409" s="23">
        <v>1</v>
      </c>
      <c r="E409" s="24">
        <v>24</v>
      </c>
      <c r="F409" s="42" t="s">
        <v>17</v>
      </c>
      <c r="G409" s="42" t="s">
        <v>13</v>
      </c>
      <c r="H409" s="42" t="s">
        <v>167</v>
      </c>
      <c r="I409" s="42" t="s">
        <v>565</v>
      </c>
      <c r="J409" s="10">
        <v>8100</v>
      </c>
      <c r="K409" s="7">
        <v>-8100</v>
      </c>
      <c r="L409" s="1" t="s">
        <v>566</v>
      </c>
    </row>
    <row r="410" spans="1:13">
      <c r="A410" s="21" t="str">
        <f>TEXT(TEXT(B410,"yyyymmdd"),"00000000")&amp;TEXT(COUNTIF($B$2:B410,B410),"00")</f>
        <v>2023012501</v>
      </c>
      <c r="B410" s="21">
        <f t="shared" si="6"/>
        <v>44951</v>
      </c>
      <c r="C410" s="22">
        <v>2023</v>
      </c>
      <c r="D410" s="23">
        <v>1</v>
      </c>
      <c r="E410" s="24">
        <v>25</v>
      </c>
      <c r="F410" s="42" t="s">
        <v>17</v>
      </c>
      <c r="G410" s="42" t="s">
        <v>7</v>
      </c>
      <c r="H410" s="42" t="s">
        <v>173</v>
      </c>
      <c r="I410" s="42" t="s">
        <v>567</v>
      </c>
      <c r="J410" s="10">
        <v>7800</v>
      </c>
      <c r="K410" s="7">
        <v>-7800</v>
      </c>
      <c r="L410" s="1" t="s">
        <v>567</v>
      </c>
      <c r="M410" s="2" t="s">
        <v>568</v>
      </c>
    </row>
    <row r="411" spans="1:13">
      <c r="A411" s="21" t="str">
        <f>TEXT(TEXT(B411,"yyyymmdd"),"00000000")&amp;TEXT(COUNTIF($B$2:B411,B411),"00")</f>
        <v>2023012502</v>
      </c>
      <c r="B411" s="21">
        <f t="shared" si="6"/>
        <v>44951</v>
      </c>
      <c r="C411" s="22">
        <v>2023</v>
      </c>
      <c r="D411" s="23">
        <v>1</v>
      </c>
      <c r="E411" s="24">
        <v>25</v>
      </c>
      <c r="F411" s="42" t="s">
        <v>498</v>
      </c>
      <c r="G411" s="42" t="s">
        <v>151</v>
      </c>
      <c r="H411" s="42" t="s">
        <v>151</v>
      </c>
      <c r="I411" s="42" t="s">
        <v>177</v>
      </c>
      <c r="J411" s="10">
        <v>-82780</v>
      </c>
      <c r="K411" s="7">
        <v>82780</v>
      </c>
      <c r="L411" s="1" t="s">
        <v>482</v>
      </c>
    </row>
    <row r="412" spans="1:13">
      <c r="A412" s="21" t="str">
        <f>TEXT(TEXT(B412,"yyyymmdd"),"00000000")&amp;TEXT(COUNTIF($B$2:B412,B412),"00")</f>
        <v>2023012701</v>
      </c>
      <c r="B412" s="21">
        <f t="shared" si="6"/>
        <v>44953</v>
      </c>
      <c r="C412" s="22">
        <v>2023</v>
      </c>
      <c r="D412" s="23">
        <v>1</v>
      </c>
      <c r="E412" s="24">
        <v>27</v>
      </c>
      <c r="F412" s="42" t="s">
        <v>17</v>
      </c>
      <c r="G412" s="42" t="s">
        <v>7</v>
      </c>
      <c r="H412" s="42" t="s">
        <v>173</v>
      </c>
      <c r="I412" s="42" t="s">
        <v>174</v>
      </c>
      <c r="J412" s="10">
        <v>1455</v>
      </c>
      <c r="K412" s="7">
        <v>-1455</v>
      </c>
      <c r="L412" s="1" t="s">
        <v>570</v>
      </c>
    </row>
    <row r="413" spans="1:13">
      <c r="A413" s="21" t="str">
        <f>TEXT(TEXT(B413,"yyyymmdd"),"00000000")&amp;TEXT(COUNTIF($B$2:B413,B413),"00")</f>
        <v>2023012702</v>
      </c>
      <c r="B413" s="21">
        <f t="shared" si="6"/>
        <v>44953</v>
      </c>
      <c r="C413" s="22">
        <v>2023</v>
      </c>
      <c r="D413" s="23">
        <v>1</v>
      </c>
      <c r="E413" s="24">
        <v>27</v>
      </c>
      <c r="F413" s="42" t="s">
        <v>17</v>
      </c>
      <c r="G413" s="42" t="s">
        <v>13</v>
      </c>
      <c r="H413" s="42" t="s">
        <v>113</v>
      </c>
      <c r="I413" s="42" t="s">
        <v>171</v>
      </c>
      <c r="J413" s="10">
        <v>15000</v>
      </c>
      <c r="K413" s="7">
        <v>-15000</v>
      </c>
      <c r="L413" s="1" t="s">
        <v>502</v>
      </c>
    </row>
    <row r="414" spans="1:13">
      <c r="A414" s="21" t="str">
        <f>TEXT(TEXT(B414,"yyyymmdd"),"00000000")&amp;TEXT(COUNTIF($B$2:B414,B414),"00")</f>
        <v>2023012703</v>
      </c>
      <c r="B414" s="21">
        <f t="shared" si="6"/>
        <v>44953</v>
      </c>
      <c r="C414" s="22">
        <v>2023</v>
      </c>
      <c r="D414" s="23">
        <v>1</v>
      </c>
      <c r="E414" s="24">
        <v>27</v>
      </c>
      <c r="F414" s="42" t="s">
        <v>19</v>
      </c>
      <c r="G414" s="42" t="s">
        <v>151</v>
      </c>
      <c r="H414" s="42" t="s">
        <v>151</v>
      </c>
      <c r="I414" s="42" t="s">
        <v>177</v>
      </c>
      <c r="J414" s="10">
        <v>-104342</v>
      </c>
      <c r="K414" s="7">
        <v>104342</v>
      </c>
      <c r="L414" s="1" t="s">
        <v>482</v>
      </c>
    </row>
    <row r="415" spans="1:13">
      <c r="A415" s="21" t="str">
        <f>TEXT(TEXT(B415,"yyyymmdd"),"00000000")&amp;TEXT(COUNTIF($B$2:B415,B415),"00")</f>
        <v>2023013101</v>
      </c>
      <c r="B415" s="21">
        <f t="shared" si="6"/>
        <v>44957</v>
      </c>
      <c r="C415" s="22">
        <v>2023</v>
      </c>
      <c r="D415" s="23">
        <v>1</v>
      </c>
      <c r="E415" s="24">
        <v>31</v>
      </c>
      <c r="F415" s="42" t="s">
        <v>17</v>
      </c>
      <c r="G415" s="42" t="s">
        <v>7</v>
      </c>
      <c r="H415" s="42" t="s">
        <v>117</v>
      </c>
      <c r="I415" s="42" t="s">
        <v>471</v>
      </c>
      <c r="J415" s="10">
        <v>16100</v>
      </c>
      <c r="K415" s="7">
        <v>-16100</v>
      </c>
      <c r="L415" s="1" t="s">
        <v>571</v>
      </c>
      <c r="M415" s="2" t="s">
        <v>572</v>
      </c>
    </row>
    <row r="416" spans="1:13">
      <c r="A416" s="21" t="str">
        <f>TEXT(TEXT(B416,"yyyymmdd"),"00000000")&amp;TEXT(COUNTIF($B$2:B416,B416),"00")</f>
        <v>2023013102</v>
      </c>
      <c r="B416" s="21">
        <f t="shared" si="6"/>
        <v>44957</v>
      </c>
      <c r="C416" s="22">
        <v>2023</v>
      </c>
      <c r="D416" s="23">
        <v>1</v>
      </c>
      <c r="E416" s="24">
        <v>31</v>
      </c>
      <c r="F416" s="42" t="s">
        <v>17</v>
      </c>
      <c r="G416" s="42" t="s">
        <v>170</v>
      </c>
      <c r="H416" s="42" t="s">
        <v>155</v>
      </c>
      <c r="I416" s="42" t="s">
        <v>156</v>
      </c>
      <c r="J416" s="10">
        <v>2638</v>
      </c>
      <c r="K416" s="7">
        <v>-2638</v>
      </c>
      <c r="L416" s="1" t="s">
        <v>303</v>
      </c>
    </row>
    <row r="417" spans="1:13">
      <c r="A417" s="21" t="str">
        <f>TEXT(TEXT(B417,"yyyymmdd"),"00000000")&amp;TEXT(COUNTIF($B$2:B417,B417),"00")</f>
        <v>2023020101</v>
      </c>
      <c r="B417" s="21">
        <f t="shared" si="6"/>
        <v>44958</v>
      </c>
      <c r="C417" s="22">
        <v>2023</v>
      </c>
      <c r="D417" s="23">
        <v>2</v>
      </c>
      <c r="E417" s="24">
        <v>1</v>
      </c>
      <c r="F417" s="42" t="s">
        <v>17</v>
      </c>
      <c r="G417" s="42" t="s">
        <v>7</v>
      </c>
      <c r="H417" s="42" t="s">
        <v>116</v>
      </c>
      <c r="I417" s="42" t="s">
        <v>217</v>
      </c>
      <c r="J417" s="10">
        <v>4400</v>
      </c>
      <c r="K417" s="7">
        <v>-4400</v>
      </c>
      <c r="L417" s="1" t="s">
        <v>218</v>
      </c>
      <c r="M417" s="2" t="s">
        <v>219</v>
      </c>
    </row>
    <row r="418" spans="1:13">
      <c r="A418" s="21" t="str">
        <f>TEXT(TEXT(B418,"yyyymmdd"),"00000000")&amp;TEXT(COUNTIF($B$2:B418,B418),"00")</f>
        <v>2023020301</v>
      </c>
      <c r="B418" s="21">
        <f t="shared" si="6"/>
        <v>44960</v>
      </c>
      <c r="C418" s="22">
        <v>2023</v>
      </c>
      <c r="D418" s="23">
        <v>2</v>
      </c>
      <c r="E418" s="24">
        <v>3</v>
      </c>
      <c r="F418" s="42" t="s">
        <v>17</v>
      </c>
      <c r="G418" s="42" t="s">
        <v>11</v>
      </c>
      <c r="H418" s="42" t="s">
        <v>99</v>
      </c>
      <c r="I418" s="42" t="s">
        <v>94</v>
      </c>
      <c r="J418" s="10">
        <v>-100000</v>
      </c>
      <c r="K418" s="7">
        <v>100000</v>
      </c>
      <c r="L418" s="1" t="s">
        <v>503</v>
      </c>
    </row>
    <row r="419" spans="1:13">
      <c r="A419" s="21" t="str">
        <f>TEXT(TEXT(B419,"yyyymmdd"),"00000000")&amp;TEXT(COUNTIF($B$2:B419,B419),"00")</f>
        <v>2023020302</v>
      </c>
      <c r="B419" s="21">
        <f t="shared" si="6"/>
        <v>44960</v>
      </c>
      <c r="C419" s="22">
        <v>2023</v>
      </c>
      <c r="D419" s="23">
        <v>2</v>
      </c>
      <c r="E419" s="24">
        <v>3</v>
      </c>
      <c r="F419" s="42" t="s">
        <v>498</v>
      </c>
      <c r="G419" s="42" t="s">
        <v>11</v>
      </c>
      <c r="H419" s="42" t="s">
        <v>99</v>
      </c>
      <c r="I419" s="42" t="s">
        <v>94</v>
      </c>
      <c r="J419" s="10">
        <v>100000</v>
      </c>
      <c r="K419" s="7">
        <v>-100000</v>
      </c>
      <c r="L419" s="1" t="s">
        <v>573</v>
      </c>
    </row>
    <row r="420" spans="1:13">
      <c r="A420" s="21" t="str">
        <f>TEXT(TEXT(B420,"yyyymmdd"),"00000000")&amp;TEXT(COUNTIF($B$2:B420,B420),"00")</f>
        <v>2023020303</v>
      </c>
      <c r="B420" s="21">
        <f t="shared" si="6"/>
        <v>44960</v>
      </c>
      <c r="C420" s="22">
        <v>2023</v>
      </c>
      <c r="D420" s="23">
        <v>2</v>
      </c>
      <c r="E420" s="24">
        <v>3</v>
      </c>
      <c r="F420" s="42" t="s">
        <v>17</v>
      </c>
      <c r="G420" s="42" t="s">
        <v>7</v>
      </c>
      <c r="H420" s="42" t="s">
        <v>173</v>
      </c>
      <c r="I420" s="42" t="s">
        <v>207</v>
      </c>
      <c r="J420" s="10">
        <v>4120</v>
      </c>
      <c r="K420" s="7">
        <v>-4120</v>
      </c>
      <c r="L420" s="1" t="s">
        <v>208</v>
      </c>
    </row>
    <row r="421" spans="1:13">
      <c r="A421" s="21" t="str">
        <f>TEXT(TEXT(B421,"yyyymmdd"),"00000000")&amp;TEXT(COUNTIF($B$2:B421,B421),"00")</f>
        <v>2023020401</v>
      </c>
      <c r="B421" s="21">
        <f t="shared" si="6"/>
        <v>44961</v>
      </c>
      <c r="C421" s="22">
        <v>2023</v>
      </c>
      <c r="D421" s="23">
        <v>2</v>
      </c>
      <c r="E421" s="24">
        <v>4</v>
      </c>
      <c r="F421" s="42" t="s">
        <v>17</v>
      </c>
      <c r="G421" s="42" t="s">
        <v>7</v>
      </c>
      <c r="H421" s="42" t="s">
        <v>116</v>
      </c>
      <c r="I421" s="42" t="s">
        <v>217</v>
      </c>
      <c r="J421" s="10">
        <v>3000</v>
      </c>
      <c r="K421" s="7">
        <v>-3000</v>
      </c>
      <c r="L421" s="1" t="s">
        <v>576</v>
      </c>
    </row>
    <row r="422" spans="1:13">
      <c r="A422" s="21" t="str">
        <f>TEXT(TEXT(B422,"yyyymmdd"),"00000000")&amp;TEXT(COUNTIF($B$2:B422,B422),"00")</f>
        <v>2023020402</v>
      </c>
      <c r="B422" s="21">
        <f t="shared" si="6"/>
        <v>44961</v>
      </c>
      <c r="C422" s="22">
        <v>2023</v>
      </c>
      <c r="D422" s="23">
        <v>2</v>
      </c>
      <c r="E422" s="24">
        <v>4</v>
      </c>
      <c r="F422" s="42" t="s">
        <v>17</v>
      </c>
      <c r="G422" s="42" t="s">
        <v>7</v>
      </c>
      <c r="H422" s="42" t="s">
        <v>32</v>
      </c>
      <c r="I422" s="42" t="s">
        <v>141</v>
      </c>
      <c r="J422" s="10">
        <v>5150</v>
      </c>
      <c r="K422" s="7">
        <v>-5150</v>
      </c>
      <c r="L422" s="1" t="s">
        <v>580</v>
      </c>
    </row>
    <row r="423" spans="1:13">
      <c r="A423" s="21" t="str">
        <f>TEXT(TEXT(B423,"yyyymmdd"),"00000000")&amp;TEXT(COUNTIF($B$2:B423,B423),"00")</f>
        <v>2023020403</v>
      </c>
      <c r="B423" s="21">
        <f t="shared" si="6"/>
        <v>44961</v>
      </c>
      <c r="C423" s="22">
        <v>2023</v>
      </c>
      <c r="D423" s="23">
        <v>2</v>
      </c>
      <c r="E423" s="24">
        <v>4</v>
      </c>
      <c r="F423" s="42" t="s">
        <v>17</v>
      </c>
      <c r="G423" s="42" t="s">
        <v>7</v>
      </c>
      <c r="H423" s="42" t="s">
        <v>110</v>
      </c>
      <c r="I423" s="42" t="s">
        <v>374</v>
      </c>
      <c r="J423" s="10">
        <v>12700</v>
      </c>
      <c r="K423" s="7">
        <v>-12700</v>
      </c>
      <c r="L423" s="1" t="s">
        <v>579</v>
      </c>
    </row>
    <row r="424" spans="1:13">
      <c r="A424" s="21" t="str">
        <f>TEXT(TEXT(B424,"yyyymmdd"),"00000000")&amp;TEXT(COUNTIF($B$2:B424,B424),"00")</f>
        <v>2023020404</v>
      </c>
      <c r="B424" s="21">
        <f t="shared" si="6"/>
        <v>44961</v>
      </c>
      <c r="C424" s="22">
        <v>2023</v>
      </c>
      <c r="D424" s="23">
        <v>2</v>
      </c>
      <c r="E424" s="24">
        <v>4</v>
      </c>
      <c r="F424" s="42" t="s">
        <v>17</v>
      </c>
      <c r="G424" s="42" t="s">
        <v>7</v>
      </c>
      <c r="H424" s="42" t="s">
        <v>138</v>
      </c>
      <c r="I424" s="42" t="s">
        <v>139</v>
      </c>
      <c r="J424" s="10">
        <v>62000</v>
      </c>
      <c r="K424" s="7">
        <v>-62000</v>
      </c>
      <c r="L424" s="1" t="s">
        <v>577</v>
      </c>
      <c r="M424" s="2" t="s">
        <v>578</v>
      </c>
    </row>
    <row r="425" spans="1:13">
      <c r="A425" s="21" t="str">
        <f>TEXT(TEXT(B425,"yyyymmdd"),"00000000")&amp;TEXT(COUNTIF($B$2:B425,B425),"00")</f>
        <v>2023020405</v>
      </c>
      <c r="B425" s="21">
        <f t="shared" si="6"/>
        <v>44961</v>
      </c>
      <c r="C425" s="22">
        <v>2023</v>
      </c>
      <c r="D425" s="23">
        <v>2</v>
      </c>
      <c r="E425" s="24">
        <v>4</v>
      </c>
      <c r="F425" s="42" t="s">
        <v>17</v>
      </c>
      <c r="G425" s="42" t="s">
        <v>7</v>
      </c>
      <c r="H425" s="42" t="s">
        <v>138</v>
      </c>
      <c r="I425" s="42" t="s">
        <v>139</v>
      </c>
      <c r="J425" s="10">
        <v>39000</v>
      </c>
      <c r="K425" s="7">
        <v>-39000</v>
      </c>
      <c r="L425" s="1" t="s">
        <v>574</v>
      </c>
      <c r="M425" s="2" t="s">
        <v>575</v>
      </c>
    </row>
    <row r="426" spans="1:13">
      <c r="A426" s="21" t="str">
        <f>TEXT(TEXT(B426,"yyyymmdd"),"00000000")&amp;TEXT(COUNTIF($B$2:B426,B426),"00")</f>
        <v>2023020701</v>
      </c>
      <c r="B426" s="21">
        <f t="shared" si="6"/>
        <v>44964</v>
      </c>
      <c r="C426" s="22">
        <v>2023</v>
      </c>
      <c r="D426" s="23">
        <v>2</v>
      </c>
      <c r="E426" s="24">
        <v>7</v>
      </c>
      <c r="F426" s="42" t="s">
        <v>17</v>
      </c>
      <c r="G426" s="42" t="s">
        <v>7</v>
      </c>
      <c r="H426" s="42" t="s">
        <v>116</v>
      </c>
      <c r="I426" s="42" t="s">
        <v>217</v>
      </c>
      <c r="J426" s="10">
        <v>21000</v>
      </c>
      <c r="K426" s="7">
        <v>-21000</v>
      </c>
      <c r="L426" s="1" t="s">
        <v>586</v>
      </c>
    </row>
    <row r="427" spans="1:13">
      <c r="A427" s="21" t="str">
        <f>TEXT(TEXT(B427,"yyyymmdd"),"00000000")&amp;TEXT(COUNTIF($B$2:B427,B427),"00")</f>
        <v>2023020702</v>
      </c>
      <c r="B427" s="21">
        <f t="shared" si="6"/>
        <v>44964</v>
      </c>
      <c r="C427" s="22">
        <v>2023</v>
      </c>
      <c r="D427" s="23">
        <v>2</v>
      </c>
      <c r="E427" s="24">
        <v>7</v>
      </c>
      <c r="F427" s="42" t="s">
        <v>17</v>
      </c>
      <c r="G427" s="42" t="s">
        <v>7</v>
      </c>
      <c r="H427" s="42" t="s">
        <v>119</v>
      </c>
      <c r="I427" s="42" t="s">
        <v>180</v>
      </c>
      <c r="J427" s="10">
        <v>2500</v>
      </c>
      <c r="K427" s="7">
        <v>-2500</v>
      </c>
      <c r="L427" s="1" t="s">
        <v>218</v>
      </c>
      <c r="M427" s="2" t="s">
        <v>581</v>
      </c>
    </row>
    <row r="428" spans="1:13">
      <c r="A428" s="21" t="str">
        <f>TEXT(TEXT(B428,"yyyymmdd"),"00000000")&amp;TEXT(COUNTIF($B$2:B428,B428),"00")</f>
        <v>2023020703</v>
      </c>
      <c r="B428" s="21">
        <f t="shared" si="6"/>
        <v>44964</v>
      </c>
      <c r="C428" s="22">
        <v>2023</v>
      </c>
      <c r="D428" s="23">
        <v>2</v>
      </c>
      <c r="E428" s="24">
        <v>7</v>
      </c>
      <c r="F428" s="42" t="s">
        <v>17</v>
      </c>
      <c r="G428" s="42" t="s">
        <v>7</v>
      </c>
      <c r="H428" s="42" t="s">
        <v>116</v>
      </c>
      <c r="I428" s="42" t="s">
        <v>225</v>
      </c>
      <c r="J428" s="10">
        <v>13700</v>
      </c>
      <c r="K428" s="7">
        <v>-13700</v>
      </c>
      <c r="L428" s="1" t="s">
        <v>583</v>
      </c>
      <c r="M428" s="2" t="s">
        <v>584</v>
      </c>
    </row>
    <row r="429" spans="1:13">
      <c r="A429" s="21" t="str">
        <f>TEXT(TEXT(B429,"yyyymmdd"),"00000000")&amp;TEXT(COUNTIF($B$2:B429,B429),"00")</f>
        <v>2023020704</v>
      </c>
      <c r="B429" s="21">
        <f t="shared" si="6"/>
        <v>44964</v>
      </c>
      <c r="C429" s="22">
        <v>2023</v>
      </c>
      <c r="D429" s="23">
        <v>2</v>
      </c>
      <c r="E429" s="24">
        <v>7</v>
      </c>
      <c r="F429" s="42" t="s">
        <v>17</v>
      </c>
      <c r="G429" s="42" t="s">
        <v>7</v>
      </c>
      <c r="H429" s="42" t="s">
        <v>110</v>
      </c>
      <c r="I429" s="42" t="s">
        <v>374</v>
      </c>
      <c r="J429" s="10">
        <v>5000</v>
      </c>
      <c r="K429" s="7">
        <v>-5000</v>
      </c>
      <c r="L429" s="1" t="s">
        <v>585</v>
      </c>
    </row>
    <row r="430" spans="1:13">
      <c r="A430" s="21" t="str">
        <f>TEXT(TEXT(B430,"yyyymmdd"),"00000000")&amp;TEXT(COUNTIF($B$2:B430,B430),"00")</f>
        <v>2023020705</v>
      </c>
      <c r="B430" s="21">
        <f t="shared" si="6"/>
        <v>44964</v>
      </c>
      <c r="C430" s="22">
        <v>2023</v>
      </c>
      <c r="D430" s="23">
        <v>2</v>
      </c>
      <c r="E430" s="24">
        <v>7</v>
      </c>
      <c r="F430" s="42" t="s">
        <v>17</v>
      </c>
      <c r="G430" s="42" t="s">
        <v>7</v>
      </c>
      <c r="H430" s="42" t="s">
        <v>111</v>
      </c>
      <c r="I430" s="42" t="s">
        <v>334</v>
      </c>
      <c r="J430" s="10">
        <v>101400</v>
      </c>
      <c r="K430" s="7">
        <v>-101400</v>
      </c>
      <c r="L430" s="1" t="s">
        <v>587</v>
      </c>
      <c r="M430" s="2" t="s">
        <v>588</v>
      </c>
    </row>
    <row r="431" spans="1:13">
      <c r="A431" s="21" t="str">
        <f>TEXT(TEXT(B431,"yyyymmdd"),"00000000")&amp;TEXT(COUNTIF($B$2:B431,B431),"00")</f>
        <v>2023020706</v>
      </c>
      <c r="B431" s="21">
        <f t="shared" si="6"/>
        <v>44964</v>
      </c>
      <c r="C431" s="22">
        <v>2023</v>
      </c>
      <c r="D431" s="23">
        <v>2</v>
      </c>
      <c r="E431" s="24">
        <v>7</v>
      </c>
      <c r="F431" s="42" t="s">
        <v>17</v>
      </c>
      <c r="G431" s="42" t="s">
        <v>7</v>
      </c>
      <c r="H431" s="42" t="s">
        <v>138</v>
      </c>
      <c r="I431" s="42" t="s">
        <v>139</v>
      </c>
      <c r="J431" s="10">
        <v>8900</v>
      </c>
      <c r="K431" s="7">
        <v>-8900</v>
      </c>
      <c r="L431" s="1" t="s">
        <v>582</v>
      </c>
    </row>
    <row r="432" spans="1:13">
      <c r="A432" s="21" t="str">
        <f>TEXT(TEXT(B432,"yyyymmdd"),"00000000")&amp;TEXT(COUNTIF($B$2:B432,B432),"00")</f>
        <v>2023020901</v>
      </c>
      <c r="B432" s="21">
        <f t="shared" si="6"/>
        <v>44966</v>
      </c>
      <c r="C432" s="22">
        <v>2023</v>
      </c>
      <c r="D432" s="23">
        <v>2</v>
      </c>
      <c r="E432" s="24">
        <v>9</v>
      </c>
      <c r="F432" s="42" t="s">
        <v>17</v>
      </c>
      <c r="G432" s="42" t="s">
        <v>11</v>
      </c>
      <c r="H432" s="42" t="s">
        <v>99</v>
      </c>
      <c r="I432" s="42" t="s">
        <v>94</v>
      </c>
      <c r="J432" s="10">
        <v>-500000</v>
      </c>
      <c r="K432" s="7">
        <v>500000</v>
      </c>
      <c r="L432" s="1" t="s">
        <v>503</v>
      </c>
    </row>
    <row r="433" spans="1:13">
      <c r="A433" s="21" t="str">
        <f>TEXT(TEXT(B433,"yyyymmdd"),"00000000")&amp;TEXT(COUNTIF($B$2:B433,B433),"00")</f>
        <v>2023020902</v>
      </c>
      <c r="B433" s="21">
        <f t="shared" si="6"/>
        <v>44966</v>
      </c>
      <c r="C433" s="22">
        <v>2023</v>
      </c>
      <c r="D433" s="23">
        <v>2</v>
      </c>
      <c r="E433" s="24">
        <v>9</v>
      </c>
      <c r="F433" s="42" t="s">
        <v>498</v>
      </c>
      <c r="G433" s="42" t="s">
        <v>11</v>
      </c>
      <c r="H433" s="42" t="s">
        <v>99</v>
      </c>
      <c r="I433" s="42" t="s">
        <v>94</v>
      </c>
      <c r="J433" s="10">
        <v>500000</v>
      </c>
      <c r="K433" s="7">
        <v>-500000</v>
      </c>
      <c r="L433" s="1" t="s">
        <v>573</v>
      </c>
    </row>
    <row r="434" spans="1:13">
      <c r="A434" s="21" t="str">
        <f>TEXT(TEXT(B434,"yyyymmdd"),"00000000")&amp;TEXT(COUNTIF($B$2:B434,B434),"00")</f>
        <v>2023021101</v>
      </c>
      <c r="B434" s="21">
        <f t="shared" si="6"/>
        <v>44968</v>
      </c>
      <c r="C434" s="22">
        <v>2023</v>
      </c>
      <c r="D434" s="23">
        <v>2</v>
      </c>
      <c r="E434" s="24">
        <v>11</v>
      </c>
      <c r="F434" s="42" t="s">
        <v>17</v>
      </c>
      <c r="G434" s="42" t="s">
        <v>135</v>
      </c>
      <c r="H434" s="42" t="s">
        <v>135</v>
      </c>
      <c r="I434" s="42" t="s">
        <v>190</v>
      </c>
      <c r="J434" s="10">
        <v>-1518</v>
      </c>
      <c r="K434" s="7">
        <v>1518</v>
      </c>
      <c r="L434" s="1" t="s">
        <v>210</v>
      </c>
    </row>
    <row r="435" spans="1:13">
      <c r="A435" s="21" t="str">
        <f>TEXT(TEXT(B435,"yyyymmdd"),"00000000")&amp;TEXT(COUNTIF($B$2:B435,B435),"00")</f>
        <v>2023021201</v>
      </c>
      <c r="B435" s="21">
        <f t="shared" si="6"/>
        <v>44969</v>
      </c>
      <c r="C435" s="22">
        <v>2023</v>
      </c>
      <c r="D435" s="23">
        <v>2</v>
      </c>
      <c r="E435" s="24">
        <v>12</v>
      </c>
      <c r="F435" s="42" t="s">
        <v>17</v>
      </c>
      <c r="G435" s="42" t="s">
        <v>7</v>
      </c>
      <c r="H435" s="42" t="s">
        <v>116</v>
      </c>
      <c r="I435" s="42" t="s">
        <v>217</v>
      </c>
      <c r="J435" s="10">
        <v>260000</v>
      </c>
      <c r="K435" s="7">
        <v>-260000</v>
      </c>
      <c r="L435" s="1" t="s">
        <v>589</v>
      </c>
      <c r="M435" s="2" t="s">
        <v>590</v>
      </c>
    </row>
    <row r="436" spans="1:13">
      <c r="A436" s="21" t="str">
        <f>TEXT(TEXT(B436,"yyyymmdd"),"00000000")&amp;TEXT(COUNTIF($B$2:B436,B436),"00")</f>
        <v>2023021301</v>
      </c>
      <c r="B436" s="21">
        <f t="shared" si="6"/>
        <v>44970</v>
      </c>
      <c r="C436" s="22">
        <v>2023</v>
      </c>
      <c r="D436" s="23">
        <v>2</v>
      </c>
      <c r="E436" s="24">
        <v>13</v>
      </c>
      <c r="F436" s="42" t="s">
        <v>17</v>
      </c>
      <c r="G436" s="42" t="s">
        <v>7</v>
      </c>
      <c r="H436" s="42" t="s">
        <v>116</v>
      </c>
      <c r="I436" s="42" t="s">
        <v>217</v>
      </c>
      <c r="J436" s="10">
        <v>105836</v>
      </c>
      <c r="K436" s="7">
        <v>-105836</v>
      </c>
      <c r="L436" s="1" t="s">
        <v>591</v>
      </c>
      <c r="M436" s="2" t="s">
        <v>594</v>
      </c>
    </row>
    <row r="437" spans="1:13">
      <c r="A437" s="21" t="str">
        <f>TEXT(TEXT(B437,"yyyymmdd"),"00000000")&amp;TEXT(COUNTIF($B$2:B437,B437),"00")</f>
        <v>2023021401</v>
      </c>
      <c r="B437" s="21">
        <f t="shared" si="6"/>
        <v>44971</v>
      </c>
      <c r="C437" s="22">
        <v>2023</v>
      </c>
      <c r="D437" s="23">
        <v>2</v>
      </c>
      <c r="E437" s="24">
        <v>14</v>
      </c>
      <c r="F437" s="42" t="s">
        <v>17</v>
      </c>
      <c r="G437" s="42" t="s">
        <v>135</v>
      </c>
      <c r="H437" s="42" t="s">
        <v>135</v>
      </c>
      <c r="I437" s="42" t="s">
        <v>190</v>
      </c>
      <c r="J437" s="10">
        <v>-2500</v>
      </c>
      <c r="K437" s="7">
        <v>2500</v>
      </c>
      <c r="L437" s="1" t="s">
        <v>592</v>
      </c>
    </row>
    <row r="438" spans="1:13">
      <c r="A438" s="21" t="str">
        <f>TEXT(TEXT(B438,"yyyymmdd"),"00000000")&amp;TEXT(COUNTIF($B$2:B438,B438),"00")</f>
        <v>2023021601</v>
      </c>
      <c r="B438" s="21">
        <f t="shared" si="6"/>
        <v>44973</v>
      </c>
      <c r="C438" s="22">
        <v>2023</v>
      </c>
      <c r="D438" s="23">
        <v>2</v>
      </c>
      <c r="E438" s="24">
        <v>16</v>
      </c>
      <c r="F438" s="42" t="s">
        <v>17</v>
      </c>
      <c r="G438" s="42" t="s">
        <v>7</v>
      </c>
      <c r="H438" s="42" t="s">
        <v>155</v>
      </c>
      <c r="I438" s="42" t="s">
        <v>460</v>
      </c>
      <c r="J438" s="10">
        <v>3700</v>
      </c>
      <c r="K438" s="7">
        <v>-3700</v>
      </c>
      <c r="L438" s="1" t="s">
        <v>218</v>
      </c>
      <c r="M438" s="2" t="s">
        <v>593</v>
      </c>
    </row>
    <row r="439" spans="1:13">
      <c r="A439" s="21" t="str">
        <f>TEXT(TEXT(B439,"yyyymmdd"),"00000000")&amp;TEXT(COUNTIF($B$2:B439,B439),"00")</f>
        <v>2023021701</v>
      </c>
      <c r="B439" s="21">
        <f t="shared" si="6"/>
        <v>44974</v>
      </c>
      <c r="C439" s="22">
        <v>2023</v>
      </c>
      <c r="D439" s="23">
        <v>2</v>
      </c>
      <c r="E439" s="24">
        <v>17</v>
      </c>
      <c r="F439" s="42" t="s">
        <v>17</v>
      </c>
      <c r="G439" s="42" t="s">
        <v>11</v>
      </c>
      <c r="H439" s="42" t="s">
        <v>99</v>
      </c>
      <c r="I439" s="42" t="s">
        <v>94</v>
      </c>
      <c r="J439" s="10">
        <v>-300000</v>
      </c>
      <c r="K439" s="7">
        <v>300000</v>
      </c>
      <c r="L439" s="1" t="s">
        <v>503</v>
      </c>
    </row>
    <row r="440" spans="1:13">
      <c r="A440" s="21" t="str">
        <f>TEXT(TEXT(B440,"yyyymmdd"),"00000000")&amp;TEXT(COUNTIF($B$2:B440,B440),"00")</f>
        <v>2023021702</v>
      </c>
      <c r="B440" s="21">
        <f t="shared" si="6"/>
        <v>44974</v>
      </c>
      <c r="C440" s="22">
        <v>2023</v>
      </c>
      <c r="D440" s="23">
        <v>2</v>
      </c>
      <c r="E440" s="24">
        <v>17</v>
      </c>
      <c r="F440" s="42" t="s">
        <v>498</v>
      </c>
      <c r="G440" s="42" t="s">
        <v>11</v>
      </c>
      <c r="H440" s="42" t="s">
        <v>99</v>
      </c>
      <c r="I440" s="42" t="s">
        <v>94</v>
      </c>
      <c r="J440" s="10">
        <v>300000</v>
      </c>
      <c r="K440" s="7">
        <v>-300000</v>
      </c>
      <c r="L440" s="1" t="s">
        <v>573</v>
      </c>
    </row>
    <row r="441" spans="1:13">
      <c r="A441" s="21" t="str">
        <f>TEXT(TEXT(B441,"yyyymmdd"),"00000000")&amp;TEXT(COUNTIF($B$2:B441,B441),"00")</f>
        <v>2023021801</v>
      </c>
      <c r="B441" s="21">
        <f t="shared" si="6"/>
        <v>44975</v>
      </c>
      <c r="C441" s="22">
        <v>2023</v>
      </c>
      <c r="D441" s="23">
        <v>2</v>
      </c>
      <c r="E441" s="24">
        <v>18</v>
      </c>
      <c r="F441" s="42" t="s">
        <v>19</v>
      </c>
      <c r="G441" s="42" t="s">
        <v>135</v>
      </c>
      <c r="H441" s="42" t="s">
        <v>135</v>
      </c>
      <c r="I441" s="42" t="s">
        <v>190</v>
      </c>
      <c r="J441" s="10">
        <v>-28</v>
      </c>
      <c r="K441" s="7">
        <v>28</v>
      </c>
      <c r="L441" s="1" t="s">
        <v>210</v>
      </c>
    </row>
    <row r="442" spans="1:13">
      <c r="A442" s="21" t="str">
        <f>TEXT(TEXT(B442,"yyyymmdd"),"00000000")&amp;TEXT(COUNTIF($B$2:B442,B442),"00")</f>
        <v>2023021802</v>
      </c>
      <c r="B442" s="21">
        <f t="shared" si="6"/>
        <v>44975</v>
      </c>
      <c r="C442" s="22">
        <v>2023</v>
      </c>
      <c r="D442" s="23">
        <v>2</v>
      </c>
      <c r="E442" s="24">
        <v>18</v>
      </c>
      <c r="F442" s="42" t="s">
        <v>17</v>
      </c>
      <c r="G442" s="42" t="s">
        <v>7</v>
      </c>
      <c r="H442" s="42" t="s">
        <v>117</v>
      </c>
      <c r="I442" s="42" t="s">
        <v>468</v>
      </c>
      <c r="J442" s="10">
        <v>62625</v>
      </c>
      <c r="K442" s="7">
        <v>-62625</v>
      </c>
      <c r="L442" s="1" t="s">
        <v>596</v>
      </c>
      <c r="M442" s="2" t="s">
        <v>627</v>
      </c>
    </row>
    <row r="443" spans="1:13">
      <c r="A443" s="21" t="str">
        <f>TEXT(TEXT(B443,"yyyymmdd"),"00000000")&amp;TEXT(COUNTIF($B$2:B443,B443),"00")</f>
        <v>2023021803</v>
      </c>
      <c r="B443" s="21">
        <f t="shared" si="6"/>
        <v>44975</v>
      </c>
      <c r="C443" s="22">
        <v>2023</v>
      </c>
      <c r="D443" s="23">
        <v>2</v>
      </c>
      <c r="E443" s="24">
        <v>18</v>
      </c>
      <c r="F443" s="42" t="s">
        <v>17</v>
      </c>
      <c r="G443" s="42" t="s">
        <v>7</v>
      </c>
      <c r="H443" s="42" t="s">
        <v>116</v>
      </c>
      <c r="I443" s="42" t="s">
        <v>217</v>
      </c>
      <c r="J443" s="10">
        <v>5000</v>
      </c>
      <c r="K443" s="7">
        <v>-5000</v>
      </c>
      <c r="L443" s="1" t="s">
        <v>597</v>
      </c>
    </row>
    <row r="444" spans="1:13">
      <c r="A444" s="21" t="str">
        <f>TEXT(TEXT(B444,"yyyymmdd"),"00000000")&amp;TEXT(COUNTIF($B$2:B444,B444),"00")</f>
        <v>2023021804</v>
      </c>
      <c r="B444" s="21">
        <f t="shared" si="6"/>
        <v>44975</v>
      </c>
      <c r="C444" s="22">
        <v>2023</v>
      </c>
      <c r="D444" s="23">
        <v>2</v>
      </c>
      <c r="E444" s="24">
        <v>18</v>
      </c>
      <c r="F444" s="42" t="s">
        <v>17</v>
      </c>
      <c r="G444" s="42" t="s">
        <v>7</v>
      </c>
      <c r="H444" s="42" t="s">
        <v>110</v>
      </c>
      <c r="I444" s="42" t="s">
        <v>120</v>
      </c>
      <c r="J444" s="10">
        <v>2000</v>
      </c>
      <c r="K444" s="7">
        <v>-2000</v>
      </c>
      <c r="L444" s="1" t="s">
        <v>162</v>
      </c>
      <c r="M444" s="2" t="s">
        <v>595</v>
      </c>
    </row>
    <row r="445" spans="1:13">
      <c r="A445" s="21" t="str">
        <f>TEXT(TEXT(B445,"yyyymmdd"),"00000000")&amp;TEXT(COUNTIF($B$2:B445,B445),"00")</f>
        <v>2023021805</v>
      </c>
      <c r="B445" s="21">
        <f t="shared" si="6"/>
        <v>44975</v>
      </c>
      <c r="C445" s="22">
        <v>2023</v>
      </c>
      <c r="D445" s="23">
        <v>2</v>
      </c>
      <c r="E445" s="24">
        <v>18</v>
      </c>
      <c r="F445" s="42" t="s">
        <v>17</v>
      </c>
      <c r="G445" s="42" t="s">
        <v>7</v>
      </c>
      <c r="H445" s="42" t="s">
        <v>32</v>
      </c>
      <c r="I445" s="42" t="s">
        <v>620</v>
      </c>
      <c r="J445" s="10">
        <v>57000</v>
      </c>
      <c r="K445" s="7">
        <v>-57000</v>
      </c>
      <c r="L445" s="1" t="s">
        <v>598</v>
      </c>
    </row>
    <row r="446" spans="1:13">
      <c r="A446" s="21" t="str">
        <f>TEXT(TEXT(B446,"yyyymmdd"),"00000000")&amp;TEXT(COUNTIF($B$2:B446,B446),"00")</f>
        <v>2023022001</v>
      </c>
      <c r="B446" s="21">
        <f t="shared" si="6"/>
        <v>44977</v>
      </c>
      <c r="C446" s="22">
        <v>2023</v>
      </c>
      <c r="D446" s="23">
        <v>2</v>
      </c>
      <c r="E446" s="24">
        <v>20</v>
      </c>
      <c r="F446" s="42" t="s">
        <v>17</v>
      </c>
      <c r="G446" s="42" t="s">
        <v>7</v>
      </c>
      <c r="H446" s="42" t="s">
        <v>110</v>
      </c>
      <c r="I446" s="42" t="s">
        <v>120</v>
      </c>
      <c r="J446" s="10">
        <v>4500</v>
      </c>
      <c r="K446" s="7">
        <v>-4500</v>
      </c>
      <c r="L446" s="1" t="s">
        <v>599</v>
      </c>
      <c r="M446" s="2" t="s">
        <v>600</v>
      </c>
    </row>
    <row r="447" spans="1:13">
      <c r="A447" s="21" t="str">
        <f>TEXT(TEXT(B447,"yyyymmdd"),"00000000")&amp;TEXT(COUNTIF($B$2:B447,B447),"00")</f>
        <v>2023022002</v>
      </c>
      <c r="B447" s="21">
        <f t="shared" si="6"/>
        <v>44977</v>
      </c>
      <c r="C447" s="22">
        <v>2023</v>
      </c>
      <c r="D447" s="23">
        <v>2</v>
      </c>
      <c r="E447" s="24">
        <v>20</v>
      </c>
      <c r="F447" s="42" t="s">
        <v>17</v>
      </c>
      <c r="G447" s="42" t="s">
        <v>7</v>
      </c>
      <c r="H447" s="42" t="s">
        <v>138</v>
      </c>
      <c r="I447" s="42" t="s">
        <v>139</v>
      </c>
      <c r="J447" s="10">
        <v>11900</v>
      </c>
      <c r="K447" s="7">
        <v>-11900</v>
      </c>
      <c r="L447" s="1" t="s">
        <v>582</v>
      </c>
    </row>
    <row r="448" spans="1:13">
      <c r="A448" s="21" t="str">
        <f>TEXT(TEXT(B448,"yyyymmdd"),"00000000")&amp;TEXT(COUNTIF($B$2:B448,B448),"00")</f>
        <v>2023022101</v>
      </c>
      <c r="B448" s="21">
        <f t="shared" si="6"/>
        <v>44978</v>
      </c>
      <c r="C448" s="22">
        <v>2023</v>
      </c>
      <c r="D448" s="23">
        <v>2</v>
      </c>
      <c r="E448" s="24">
        <v>21</v>
      </c>
      <c r="F448" s="42" t="s">
        <v>17</v>
      </c>
      <c r="G448" s="42" t="s">
        <v>7</v>
      </c>
      <c r="H448" s="42" t="s">
        <v>167</v>
      </c>
      <c r="I448" s="42" t="s">
        <v>214</v>
      </c>
      <c r="J448" s="10">
        <v>4000</v>
      </c>
      <c r="K448" s="7">
        <v>-4000</v>
      </c>
      <c r="L448" s="1" t="s">
        <v>603</v>
      </c>
    </row>
    <row r="449" spans="1:13">
      <c r="A449" s="21" t="str">
        <f>TEXT(TEXT(B449,"yyyymmdd"),"00000000")&amp;TEXT(COUNTIF($B$2:B449,B449),"00")</f>
        <v>2023022102</v>
      </c>
      <c r="B449" s="21">
        <f t="shared" si="6"/>
        <v>44978</v>
      </c>
      <c r="C449" s="22">
        <v>2023</v>
      </c>
      <c r="D449" s="23">
        <v>2</v>
      </c>
      <c r="E449" s="24">
        <v>21</v>
      </c>
      <c r="F449" s="42" t="s">
        <v>17</v>
      </c>
      <c r="G449" s="42" t="s">
        <v>13</v>
      </c>
      <c r="H449" s="42" t="s">
        <v>113</v>
      </c>
      <c r="I449" s="42" t="s">
        <v>171</v>
      </c>
      <c r="J449" s="10">
        <v>15000</v>
      </c>
      <c r="K449" s="7">
        <v>-15000</v>
      </c>
      <c r="L449" s="1" t="s">
        <v>502</v>
      </c>
    </row>
    <row r="450" spans="1:13">
      <c r="A450" s="21" t="str">
        <f>TEXT(TEXT(B450,"yyyymmdd"),"00000000")&amp;TEXT(COUNTIF($B$2:B450,B450),"00")</f>
        <v>2023022103</v>
      </c>
      <c r="B450" s="21">
        <f t="shared" ref="B450:B513" si="7">DATE(C450,D450,E450)</f>
        <v>44978</v>
      </c>
      <c r="C450" s="22">
        <v>2023</v>
      </c>
      <c r="D450" s="23">
        <v>2</v>
      </c>
      <c r="E450" s="24">
        <v>21</v>
      </c>
      <c r="F450" s="42" t="s">
        <v>17</v>
      </c>
      <c r="G450" s="42" t="s">
        <v>13</v>
      </c>
      <c r="H450" s="42" t="s">
        <v>32</v>
      </c>
      <c r="I450" s="42" t="s">
        <v>141</v>
      </c>
      <c r="J450" s="10">
        <v>90000</v>
      </c>
      <c r="K450" s="7">
        <v>-90000</v>
      </c>
      <c r="L450" s="1" t="s">
        <v>601</v>
      </c>
      <c r="M450" s="2" t="s">
        <v>602</v>
      </c>
    </row>
    <row r="451" spans="1:13">
      <c r="A451" s="21" t="str">
        <f>TEXT(TEXT(B451,"yyyymmdd"),"00000000")&amp;TEXT(COUNTIF($B$2:B451,B451),"00")</f>
        <v>2023022104</v>
      </c>
      <c r="B451" s="21">
        <f t="shared" si="7"/>
        <v>44978</v>
      </c>
      <c r="C451" s="22">
        <v>2023</v>
      </c>
      <c r="D451" s="23">
        <v>2</v>
      </c>
      <c r="E451" s="24">
        <v>21</v>
      </c>
      <c r="F451" s="42" t="s">
        <v>17</v>
      </c>
      <c r="G451" s="42" t="s">
        <v>13</v>
      </c>
      <c r="H451" s="42" t="s">
        <v>32</v>
      </c>
      <c r="I451" s="42" t="s">
        <v>141</v>
      </c>
      <c r="J451" s="10">
        <v>3500</v>
      </c>
      <c r="K451" s="7">
        <v>-3500</v>
      </c>
      <c r="L451" s="1" t="s">
        <v>601</v>
      </c>
    </row>
    <row r="452" spans="1:13">
      <c r="A452" s="21" t="str">
        <f>TEXT(TEXT(B452,"yyyymmdd"),"00000000")&amp;TEXT(COUNTIF($B$2:B452,B452),"00")</f>
        <v>2023022201</v>
      </c>
      <c r="B452" s="21">
        <f t="shared" si="7"/>
        <v>44979</v>
      </c>
      <c r="C452" s="22">
        <v>2023</v>
      </c>
      <c r="D452" s="23">
        <v>2</v>
      </c>
      <c r="E452" s="24">
        <v>22</v>
      </c>
      <c r="F452" s="42" t="s">
        <v>17</v>
      </c>
      <c r="G452" s="42" t="s">
        <v>135</v>
      </c>
      <c r="H452" s="42" t="s">
        <v>135</v>
      </c>
      <c r="I452" s="42" t="s">
        <v>143</v>
      </c>
      <c r="J452" s="10">
        <v>-10000</v>
      </c>
      <c r="K452" s="7">
        <v>10000</v>
      </c>
      <c r="L452" s="1" t="s">
        <v>165</v>
      </c>
    </row>
    <row r="453" spans="1:13">
      <c r="A453" s="21" t="str">
        <f>TEXT(TEXT(B453,"yyyymmdd"),"00000000")&amp;TEXT(COUNTIF($B$2:B453,B453),"00")</f>
        <v>2023022301</v>
      </c>
      <c r="B453" s="21">
        <f t="shared" si="7"/>
        <v>44980</v>
      </c>
      <c r="C453" s="22">
        <v>2023</v>
      </c>
      <c r="D453" s="23">
        <v>2</v>
      </c>
      <c r="E453" s="24">
        <v>23</v>
      </c>
      <c r="F453" s="42" t="s">
        <v>498</v>
      </c>
      <c r="G453" s="42" t="s">
        <v>135</v>
      </c>
      <c r="H453" s="42" t="s">
        <v>135</v>
      </c>
      <c r="I453" s="42" t="s">
        <v>190</v>
      </c>
      <c r="J453" s="10">
        <v>-8671</v>
      </c>
      <c r="K453" s="7">
        <v>8671</v>
      </c>
      <c r="L453" s="1" t="s">
        <v>604</v>
      </c>
    </row>
    <row r="454" spans="1:13">
      <c r="A454" s="21" t="str">
        <f>TEXT(TEXT(B454,"yyyymmdd"),"00000000")&amp;TEXT(COUNTIF($B$2:B454,B454),"00")</f>
        <v>2023022302</v>
      </c>
      <c r="B454" s="21">
        <f t="shared" si="7"/>
        <v>44980</v>
      </c>
      <c r="C454" s="22">
        <v>2023</v>
      </c>
      <c r="D454" s="23">
        <v>2</v>
      </c>
      <c r="E454" s="24">
        <v>23</v>
      </c>
      <c r="F454" s="42" t="s">
        <v>17</v>
      </c>
      <c r="G454" s="42" t="s">
        <v>7</v>
      </c>
      <c r="H454" s="42" t="s">
        <v>113</v>
      </c>
      <c r="I454" s="42" t="s">
        <v>231</v>
      </c>
      <c r="J454" s="10">
        <v>42500</v>
      </c>
      <c r="K454" s="7">
        <v>-42500</v>
      </c>
      <c r="L454" s="1" t="s">
        <v>605</v>
      </c>
    </row>
    <row r="455" spans="1:13">
      <c r="A455" s="21" t="str">
        <f>TEXT(TEXT(B455,"yyyymmdd"),"00000000")&amp;TEXT(COUNTIF($B$2:B455,B455),"00")</f>
        <v>2023022401</v>
      </c>
      <c r="B455" s="21">
        <f t="shared" si="7"/>
        <v>44981</v>
      </c>
      <c r="C455" s="22">
        <v>2023</v>
      </c>
      <c r="D455" s="23">
        <v>2</v>
      </c>
      <c r="E455" s="24">
        <v>24</v>
      </c>
      <c r="F455" s="42" t="s">
        <v>17</v>
      </c>
      <c r="G455" s="42" t="s">
        <v>7</v>
      </c>
      <c r="H455" s="42" t="s">
        <v>119</v>
      </c>
      <c r="I455" s="42" t="s">
        <v>180</v>
      </c>
      <c r="J455" s="10">
        <v>52560</v>
      </c>
      <c r="K455" s="7">
        <v>-52650</v>
      </c>
      <c r="L455" s="1" t="s">
        <v>606</v>
      </c>
      <c r="M455" s="2" t="s">
        <v>607</v>
      </c>
    </row>
    <row r="456" spans="1:13">
      <c r="A456" s="21" t="str">
        <f>TEXT(TEXT(B456,"yyyymmdd"),"00000000")&amp;TEXT(COUNTIF($B$2:B456,B456),"00")</f>
        <v>2023022402</v>
      </c>
      <c r="B456" s="21">
        <f t="shared" si="7"/>
        <v>44981</v>
      </c>
      <c r="C456" s="22">
        <v>2023</v>
      </c>
      <c r="D456" s="23">
        <v>2</v>
      </c>
      <c r="E456" s="24">
        <v>24</v>
      </c>
      <c r="F456" s="42" t="s">
        <v>17</v>
      </c>
      <c r="G456" s="42" t="s">
        <v>11</v>
      </c>
      <c r="H456" s="42" t="s">
        <v>99</v>
      </c>
      <c r="I456" s="42" t="s">
        <v>94</v>
      </c>
      <c r="J456" s="10">
        <v>-300000</v>
      </c>
      <c r="K456" s="7">
        <v>300000</v>
      </c>
      <c r="L456" s="1" t="s">
        <v>503</v>
      </c>
    </row>
    <row r="457" spans="1:13">
      <c r="A457" s="21" t="str">
        <f>TEXT(TEXT(B457,"yyyymmdd"),"00000000")&amp;TEXT(COUNTIF($B$2:B457,B457),"00")</f>
        <v>2023022403</v>
      </c>
      <c r="B457" s="21">
        <f t="shared" si="7"/>
        <v>44981</v>
      </c>
      <c r="C457" s="22">
        <v>2023</v>
      </c>
      <c r="D457" s="23">
        <v>2</v>
      </c>
      <c r="E457" s="24">
        <v>24</v>
      </c>
      <c r="F457" s="42" t="s">
        <v>498</v>
      </c>
      <c r="G457" s="42" t="s">
        <v>11</v>
      </c>
      <c r="H457" s="42" t="s">
        <v>99</v>
      </c>
      <c r="I457" s="42" t="s">
        <v>94</v>
      </c>
      <c r="J457" s="10">
        <v>300000</v>
      </c>
      <c r="K457" s="7">
        <v>-300000</v>
      </c>
      <c r="L457" s="1" t="s">
        <v>573</v>
      </c>
    </row>
    <row r="458" spans="1:13">
      <c r="A458" s="21" t="str">
        <f>TEXT(TEXT(B458,"yyyymmdd"),"00000000")&amp;TEXT(COUNTIF($B$2:B458,B458),"00")</f>
        <v>2023022501</v>
      </c>
      <c r="B458" s="21">
        <f t="shared" si="7"/>
        <v>44982</v>
      </c>
      <c r="C458" s="22">
        <v>2023</v>
      </c>
      <c r="D458" s="23">
        <v>2</v>
      </c>
      <c r="E458" s="24">
        <v>25</v>
      </c>
      <c r="F458" s="42" t="s">
        <v>17</v>
      </c>
      <c r="G458" s="42" t="s">
        <v>7</v>
      </c>
      <c r="H458" s="42" t="s">
        <v>117</v>
      </c>
      <c r="I458" s="42" t="s">
        <v>468</v>
      </c>
      <c r="J458" s="10">
        <v>90000</v>
      </c>
      <c r="K458" s="7">
        <v>-90000</v>
      </c>
      <c r="L458" s="1" t="s">
        <v>654</v>
      </c>
      <c r="M458" s="2" t="s">
        <v>655</v>
      </c>
    </row>
    <row r="459" spans="1:13">
      <c r="A459" s="21" t="str">
        <f>TEXT(TEXT(B459,"yyyymmdd"),"00000000")&amp;TEXT(COUNTIF($B$2:B459,B459),"00")</f>
        <v>2023022502</v>
      </c>
      <c r="B459" s="21">
        <f t="shared" si="7"/>
        <v>44982</v>
      </c>
      <c r="C459" s="22">
        <v>2023</v>
      </c>
      <c r="D459" s="23">
        <v>2</v>
      </c>
      <c r="E459" s="24">
        <v>25</v>
      </c>
      <c r="F459" s="42" t="s">
        <v>17</v>
      </c>
      <c r="G459" s="42" t="s">
        <v>7</v>
      </c>
      <c r="H459" s="42" t="s">
        <v>167</v>
      </c>
      <c r="I459" s="42" t="s">
        <v>608</v>
      </c>
      <c r="J459" s="10">
        <v>27900</v>
      </c>
      <c r="K459" s="7">
        <v>-27900</v>
      </c>
      <c r="L459" s="1" t="s">
        <v>609</v>
      </c>
      <c r="M459" s="2" t="s">
        <v>610</v>
      </c>
    </row>
    <row r="460" spans="1:13">
      <c r="A460" s="21" t="str">
        <f>TEXT(TEXT(B460,"yyyymmdd"),"00000000")&amp;TEXT(COUNTIF($B$2:B460,B460),"00")</f>
        <v>2023022503</v>
      </c>
      <c r="B460" s="21">
        <f t="shared" si="7"/>
        <v>44982</v>
      </c>
      <c r="C460" s="22">
        <v>2023</v>
      </c>
      <c r="D460" s="23">
        <v>2</v>
      </c>
      <c r="E460" s="24">
        <v>25</v>
      </c>
      <c r="F460" s="42" t="s">
        <v>17</v>
      </c>
      <c r="G460" s="42" t="s">
        <v>7</v>
      </c>
      <c r="H460" s="42" t="s">
        <v>111</v>
      </c>
      <c r="I460" s="42" t="s">
        <v>542</v>
      </c>
      <c r="J460" s="10">
        <v>27400</v>
      </c>
      <c r="K460" s="7">
        <v>-27400</v>
      </c>
      <c r="L460" s="1" t="s">
        <v>544</v>
      </c>
      <c r="M460" s="2" t="s">
        <v>611</v>
      </c>
    </row>
    <row r="461" spans="1:13">
      <c r="A461" s="21" t="str">
        <f>TEXT(TEXT(B461,"yyyymmdd"),"00000000")&amp;TEXT(COUNTIF($B$2:B461,B461),"00")</f>
        <v>2023022801</v>
      </c>
      <c r="B461" s="21">
        <f t="shared" si="7"/>
        <v>44985</v>
      </c>
      <c r="C461" s="22">
        <v>2023</v>
      </c>
      <c r="D461" s="23">
        <v>2</v>
      </c>
      <c r="E461" s="24">
        <v>28</v>
      </c>
      <c r="F461" s="42" t="s">
        <v>17</v>
      </c>
      <c r="G461" s="42" t="s">
        <v>170</v>
      </c>
      <c r="H461" s="42" t="s">
        <v>155</v>
      </c>
      <c r="I461" s="42" t="s">
        <v>156</v>
      </c>
      <c r="J461" s="10">
        <v>2672</v>
      </c>
      <c r="K461" s="7">
        <v>-2672</v>
      </c>
      <c r="L461" s="1" t="s">
        <v>303</v>
      </c>
    </row>
    <row r="462" spans="1:13">
      <c r="A462" s="21" t="str">
        <f>TEXT(TEXT(B462,"yyyymmdd"),"00000000")&amp;TEXT(COUNTIF($B$2:B462,B462),"00")</f>
        <v>2023030101</v>
      </c>
      <c r="B462" s="21">
        <f t="shared" si="7"/>
        <v>44986</v>
      </c>
      <c r="C462" s="22">
        <v>2023</v>
      </c>
      <c r="D462" s="23">
        <v>3</v>
      </c>
      <c r="E462" s="24">
        <v>1</v>
      </c>
      <c r="F462" s="42" t="s">
        <v>17</v>
      </c>
      <c r="G462" s="42" t="s">
        <v>7</v>
      </c>
      <c r="H462" s="42" t="s">
        <v>167</v>
      </c>
      <c r="I462" s="42" t="s">
        <v>608</v>
      </c>
      <c r="J462" s="10">
        <v>9000</v>
      </c>
      <c r="K462" s="7">
        <v>-9000</v>
      </c>
      <c r="L462" s="1" t="s">
        <v>603</v>
      </c>
      <c r="M462" s="2" t="s">
        <v>613</v>
      </c>
    </row>
    <row r="463" spans="1:13">
      <c r="A463" s="21" t="str">
        <f>TEXT(TEXT(B463,"yyyymmdd"),"00000000")&amp;TEXT(COUNTIF($B$2:B463,B463),"00")</f>
        <v>2023030102</v>
      </c>
      <c r="B463" s="21">
        <f t="shared" si="7"/>
        <v>44986</v>
      </c>
      <c r="C463" s="22">
        <v>2023</v>
      </c>
      <c r="D463" s="23">
        <v>3</v>
      </c>
      <c r="E463" s="24">
        <v>1</v>
      </c>
      <c r="F463" s="42" t="s">
        <v>17</v>
      </c>
      <c r="G463" s="42" t="s">
        <v>7</v>
      </c>
      <c r="H463" s="42" t="s">
        <v>173</v>
      </c>
      <c r="I463" s="42" t="s">
        <v>174</v>
      </c>
      <c r="J463" s="10">
        <v>1920</v>
      </c>
      <c r="K463" s="7">
        <v>-1920</v>
      </c>
      <c r="L463" s="1" t="s">
        <v>612</v>
      </c>
    </row>
    <row r="464" spans="1:13">
      <c r="A464" s="21" t="str">
        <f>TEXT(TEXT(B464,"yyyymmdd"),"00000000")&amp;TEXT(COUNTIF($B$2:B464,B464),"00")</f>
        <v>2023030103</v>
      </c>
      <c r="B464" s="21">
        <f t="shared" si="7"/>
        <v>44986</v>
      </c>
      <c r="C464" s="22">
        <v>2023</v>
      </c>
      <c r="D464" s="23">
        <v>3</v>
      </c>
      <c r="E464" s="24">
        <v>1</v>
      </c>
      <c r="F464" s="42" t="s">
        <v>17</v>
      </c>
      <c r="G464" s="42" t="s">
        <v>7</v>
      </c>
      <c r="H464" s="42" t="s">
        <v>110</v>
      </c>
      <c r="I464" s="42" t="s">
        <v>120</v>
      </c>
      <c r="J464" s="10">
        <v>7000</v>
      </c>
      <c r="K464" s="7">
        <v>-7000</v>
      </c>
      <c r="L464" s="1" t="s">
        <v>614</v>
      </c>
      <c r="M464" s="2" t="s">
        <v>615</v>
      </c>
    </row>
    <row r="465" spans="1:13">
      <c r="A465" s="21" t="str">
        <f>TEXT(TEXT(B465,"yyyymmdd"),"00000000")&amp;TEXT(COUNTIF($B$2:B465,B465),"00")</f>
        <v>2023030201</v>
      </c>
      <c r="B465" s="21">
        <f t="shared" si="7"/>
        <v>44987</v>
      </c>
      <c r="C465" s="22">
        <v>2023</v>
      </c>
      <c r="D465" s="23">
        <v>3</v>
      </c>
      <c r="E465" s="24">
        <v>2</v>
      </c>
      <c r="F465" s="42" t="s">
        <v>17</v>
      </c>
      <c r="G465" s="42" t="s">
        <v>11</v>
      </c>
      <c r="H465" s="42" t="s">
        <v>99</v>
      </c>
      <c r="I465" s="42" t="s">
        <v>94</v>
      </c>
      <c r="J465" s="10">
        <v>-200000</v>
      </c>
      <c r="K465" s="7">
        <v>200000</v>
      </c>
      <c r="L465" s="1" t="s">
        <v>503</v>
      </c>
    </row>
    <row r="466" spans="1:13">
      <c r="A466" s="21" t="str">
        <f>TEXT(TEXT(B466,"yyyymmdd"),"00000000")&amp;TEXT(COUNTIF($B$2:B466,B466),"00")</f>
        <v>2023030202</v>
      </c>
      <c r="B466" s="21">
        <f t="shared" si="7"/>
        <v>44987</v>
      </c>
      <c r="C466" s="22">
        <v>2023</v>
      </c>
      <c r="D466" s="23">
        <v>3</v>
      </c>
      <c r="E466" s="24">
        <v>2</v>
      </c>
      <c r="F466" s="42" t="s">
        <v>498</v>
      </c>
      <c r="G466" s="42" t="s">
        <v>11</v>
      </c>
      <c r="H466" s="42" t="s">
        <v>99</v>
      </c>
      <c r="I466" s="42" t="s">
        <v>94</v>
      </c>
      <c r="J466" s="10">
        <v>200000</v>
      </c>
      <c r="K466" s="7">
        <v>-200000</v>
      </c>
      <c r="L466" s="1" t="s">
        <v>573</v>
      </c>
    </row>
    <row r="467" spans="1:13">
      <c r="A467" s="21" t="str">
        <f>TEXT(TEXT(B467,"yyyymmdd"),"00000000")&amp;TEXT(COUNTIF($B$2:B467,B467),"00")</f>
        <v>2023030203</v>
      </c>
      <c r="B467" s="21">
        <f t="shared" si="7"/>
        <v>44987</v>
      </c>
      <c r="C467" s="22">
        <v>2023</v>
      </c>
      <c r="D467" s="23">
        <v>3</v>
      </c>
      <c r="E467" s="24">
        <v>2</v>
      </c>
      <c r="F467" s="42" t="s">
        <v>17</v>
      </c>
      <c r="G467" s="42" t="s">
        <v>7</v>
      </c>
      <c r="H467" s="42" t="s">
        <v>155</v>
      </c>
      <c r="I467" s="42" t="s">
        <v>617</v>
      </c>
      <c r="J467" s="10">
        <v>2300</v>
      </c>
      <c r="K467" s="7">
        <v>-2300</v>
      </c>
      <c r="L467" s="1" t="s">
        <v>601</v>
      </c>
      <c r="M467" s="2" t="s">
        <v>616</v>
      </c>
    </row>
    <row r="468" spans="1:13">
      <c r="A468" s="21" t="str">
        <f>TEXT(TEXT(B468,"yyyymmdd"),"00000000")&amp;TEXT(COUNTIF($B$2:B468,B468),"00")</f>
        <v>2023030204</v>
      </c>
      <c r="B468" s="21">
        <f t="shared" si="7"/>
        <v>44987</v>
      </c>
      <c r="C468" s="22">
        <v>2023</v>
      </c>
      <c r="D468" s="23">
        <v>3</v>
      </c>
      <c r="E468" s="24">
        <v>2</v>
      </c>
      <c r="F468" s="42" t="s">
        <v>17</v>
      </c>
      <c r="G468" s="42" t="s">
        <v>13</v>
      </c>
      <c r="H468" s="42" t="s">
        <v>138</v>
      </c>
      <c r="I468" s="42" t="s">
        <v>139</v>
      </c>
      <c r="J468" s="10">
        <v>5000</v>
      </c>
      <c r="K468" s="7">
        <v>-5000</v>
      </c>
      <c r="L468" s="1" t="s">
        <v>619</v>
      </c>
      <c r="M468" s="2" t="s">
        <v>625</v>
      </c>
    </row>
    <row r="469" spans="1:13">
      <c r="A469" s="21" t="str">
        <f>TEXT(TEXT(B469,"yyyymmdd"),"00000000")&amp;TEXT(COUNTIF($B$2:B469,B469),"00")</f>
        <v>2023030205</v>
      </c>
      <c r="B469" s="21">
        <f t="shared" si="7"/>
        <v>44987</v>
      </c>
      <c r="C469" s="22">
        <v>2023</v>
      </c>
      <c r="D469" s="23">
        <v>3</v>
      </c>
      <c r="E469" s="24">
        <v>2</v>
      </c>
      <c r="F469" s="42" t="s">
        <v>17</v>
      </c>
      <c r="G469" s="42" t="s">
        <v>13</v>
      </c>
      <c r="H469" s="42" t="s">
        <v>32</v>
      </c>
      <c r="I469" s="42" t="s">
        <v>620</v>
      </c>
      <c r="J469" s="10">
        <v>64000</v>
      </c>
      <c r="K469" s="7">
        <v>-64000</v>
      </c>
      <c r="L469" s="1" t="s">
        <v>598</v>
      </c>
    </row>
    <row r="470" spans="1:13">
      <c r="A470" s="21" t="str">
        <f>TEXT(TEXT(B470,"yyyymmdd"),"00000000")&amp;TEXT(COUNTIF($B$2:B470,B470),"00")</f>
        <v>2023030301</v>
      </c>
      <c r="B470" s="21">
        <f t="shared" si="7"/>
        <v>44988</v>
      </c>
      <c r="C470" s="22">
        <v>2023</v>
      </c>
      <c r="D470" s="23">
        <v>3</v>
      </c>
      <c r="E470" s="24">
        <v>3</v>
      </c>
      <c r="F470" s="42" t="s">
        <v>17</v>
      </c>
      <c r="G470" s="42" t="s">
        <v>135</v>
      </c>
      <c r="H470" s="42" t="s">
        <v>135</v>
      </c>
      <c r="I470" s="42" t="s">
        <v>143</v>
      </c>
      <c r="J470" s="10">
        <v>-4000</v>
      </c>
      <c r="K470" s="7">
        <v>4000</v>
      </c>
      <c r="L470" s="1" t="s">
        <v>488</v>
      </c>
      <c r="M470" s="2" t="s">
        <v>621</v>
      </c>
    </row>
    <row r="471" spans="1:13">
      <c r="A471" s="21" t="str">
        <f>TEXT(TEXT(B471,"yyyymmdd"),"00000000")&amp;TEXT(COUNTIF($B$2:B471,B471),"00")</f>
        <v>2023030601</v>
      </c>
      <c r="B471" s="21">
        <f t="shared" si="7"/>
        <v>44991</v>
      </c>
      <c r="C471" s="22">
        <v>2023</v>
      </c>
      <c r="D471" s="23">
        <v>3</v>
      </c>
      <c r="E471" s="24">
        <v>6</v>
      </c>
      <c r="F471" s="42" t="s">
        <v>17</v>
      </c>
      <c r="G471" s="42" t="s">
        <v>13</v>
      </c>
      <c r="H471" s="42" t="s">
        <v>138</v>
      </c>
      <c r="I471" s="42" t="s">
        <v>139</v>
      </c>
      <c r="J471" s="10">
        <v>4900</v>
      </c>
      <c r="K471" s="7">
        <v>-4900</v>
      </c>
      <c r="L471" s="1" t="s">
        <v>623</v>
      </c>
      <c r="M471" s="2" t="s">
        <v>625</v>
      </c>
    </row>
    <row r="472" spans="1:13">
      <c r="A472" s="21" t="str">
        <f>TEXT(TEXT(B472,"yyyymmdd"),"00000000")&amp;TEXT(COUNTIF($B$2:B472,B472),"00")</f>
        <v>2023030602</v>
      </c>
      <c r="B472" s="21">
        <f t="shared" si="7"/>
        <v>44991</v>
      </c>
      <c r="C472" s="22">
        <v>2023</v>
      </c>
      <c r="D472" s="23">
        <v>3</v>
      </c>
      <c r="E472" s="24">
        <v>6</v>
      </c>
      <c r="F472" s="42" t="s">
        <v>17</v>
      </c>
      <c r="G472" s="42" t="s">
        <v>135</v>
      </c>
      <c r="H472" s="42" t="s">
        <v>135</v>
      </c>
      <c r="I472" s="42" t="s">
        <v>143</v>
      </c>
      <c r="J472" s="10">
        <v>-15000</v>
      </c>
      <c r="K472" s="7">
        <v>15000</v>
      </c>
      <c r="L472" s="1" t="s">
        <v>488</v>
      </c>
      <c r="M472" s="2" t="s">
        <v>622</v>
      </c>
    </row>
    <row r="473" spans="1:13">
      <c r="A473" s="21" t="str">
        <f>TEXT(TEXT(B473,"yyyymmdd"),"00000000")&amp;TEXT(COUNTIF($B$2:B473,B473),"00")</f>
        <v>2023030603</v>
      </c>
      <c r="B473" s="21">
        <f t="shared" si="7"/>
        <v>44991</v>
      </c>
      <c r="C473" s="22">
        <v>2023</v>
      </c>
      <c r="D473" s="23">
        <v>3</v>
      </c>
      <c r="E473" s="24">
        <v>6</v>
      </c>
      <c r="F473" s="42" t="s">
        <v>17</v>
      </c>
      <c r="G473" s="42" t="s">
        <v>135</v>
      </c>
      <c r="H473" s="42" t="s">
        <v>135</v>
      </c>
      <c r="I473" s="42" t="s">
        <v>143</v>
      </c>
      <c r="J473" s="10">
        <v>-10000</v>
      </c>
      <c r="K473" s="7">
        <v>10000</v>
      </c>
      <c r="L473" s="1" t="s">
        <v>488</v>
      </c>
      <c r="M473" s="2" t="s">
        <v>624</v>
      </c>
    </row>
    <row r="474" spans="1:13">
      <c r="A474" s="21" t="str">
        <f>TEXT(TEXT(B474,"yyyymmdd"),"00000000")&amp;TEXT(COUNTIF($B$2:B474,B474),"00")</f>
        <v>2023030701</v>
      </c>
      <c r="B474" s="21">
        <f t="shared" si="7"/>
        <v>44992</v>
      </c>
      <c r="C474" s="22">
        <v>2023</v>
      </c>
      <c r="D474" s="23">
        <v>3</v>
      </c>
      <c r="E474" s="24">
        <v>7</v>
      </c>
      <c r="F474" s="42" t="s">
        <v>17</v>
      </c>
      <c r="G474" s="42" t="s">
        <v>13</v>
      </c>
      <c r="H474" s="42" t="s">
        <v>167</v>
      </c>
      <c r="I474" s="42" t="s">
        <v>168</v>
      </c>
      <c r="J474" s="10">
        <v>3600</v>
      </c>
      <c r="K474" s="7">
        <v>-3600</v>
      </c>
      <c r="L474" s="1" t="s">
        <v>619</v>
      </c>
      <c r="M474" s="2" t="s">
        <v>625</v>
      </c>
    </row>
    <row r="475" spans="1:13">
      <c r="A475" s="21" t="str">
        <f>TEXT(TEXT(B475,"yyyymmdd"),"00000000")&amp;TEXT(COUNTIF($B$2:B475,B475),"00")</f>
        <v>2023030901</v>
      </c>
      <c r="B475" s="21">
        <f t="shared" si="7"/>
        <v>44994</v>
      </c>
      <c r="C475" s="22">
        <v>2023</v>
      </c>
      <c r="D475" s="23">
        <v>3</v>
      </c>
      <c r="E475" s="24">
        <v>9</v>
      </c>
      <c r="F475" s="42" t="s">
        <v>17</v>
      </c>
      <c r="G475" s="42" t="s">
        <v>13</v>
      </c>
      <c r="H475" s="42" t="s">
        <v>138</v>
      </c>
      <c r="I475" s="42" t="s">
        <v>139</v>
      </c>
      <c r="J475" s="10">
        <v>6000</v>
      </c>
      <c r="K475" s="7">
        <v>-6000</v>
      </c>
      <c r="L475" s="1" t="s">
        <v>628</v>
      </c>
      <c r="M475" s="2" t="s">
        <v>629</v>
      </c>
    </row>
    <row r="476" spans="1:13">
      <c r="A476" s="21" t="str">
        <f>TEXT(TEXT(B476,"yyyymmdd"),"00000000")&amp;TEXT(COUNTIF($B$2:B476,B476),"00")</f>
        <v>2023031001</v>
      </c>
      <c r="B476" s="21">
        <f t="shared" si="7"/>
        <v>44995</v>
      </c>
      <c r="C476" s="22">
        <v>2023</v>
      </c>
      <c r="D476" s="23">
        <v>3</v>
      </c>
      <c r="E476" s="24">
        <v>10</v>
      </c>
      <c r="F476" s="42" t="s">
        <v>17</v>
      </c>
      <c r="G476" s="42" t="s">
        <v>135</v>
      </c>
      <c r="H476" s="42" t="s">
        <v>135</v>
      </c>
      <c r="I476" s="42" t="s">
        <v>152</v>
      </c>
      <c r="J476" s="10">
        <v>-100000</v>
      </c>
      <c r="K476" s="7">
        <v>100000</v>
      </c>
      <c r="L476" s="1" t="s">
        <v>252</v>
      </c>
    </row>
    <row r="477" spans="1:13">
      <c r="A477" s="21" t="str">
        <f>TEXT(TEXT(B477,"yyyymmdd"),"00000000")&amp;TEXT(COUNTIF($B$2:B477,B477),"00")</f>
        <v>2023031301</v>
      </c>
      <c r="B477" s="21">
        <f t="shared" si="7"/>
        <v>44998</v>
      </c>
      <c r="C477" s="22">
        <v>2023</v>
      </c>
      <c r="D477" s="23">
        <v>3</v>
      </c>
      <c r="E477" s="24">
        <v>13</v>
      </c>
      <c r="F477" s="42" t="s">
        <v>17</v>
      </c>
      <c r="G477" s="42" t="s">
        <v>7</v>
      </c>
      <c r="H477" s="42" t="s">
        <v>115</v>
      </c>
      <c r="I477" s="42" t="s">
        <v>630</v>
      </c>
      <c r="J477" s="10">
        <v>3000</v>
      </c>
      <c r="K477" s="7">
        <v>-3000</v>
      </c>
      <c r="L477" s="1" t="s">
        <v>631</v>
      </c>
    </row>
    <row r="478" spans="1:13">
      <c r="A478" s="21" t="str">
        <f>TEXT(TEXT(B478,"yyyymmdd"),"00000000")&amp;TEXT(COUNTIF($B$2:B478,B478),"00")</f>
        <v>2023031302</v>
      </c>
      <c r="B478" s="21">
        <f t="shared" si="7"/>
        <v>44998</v>
      </c>
      <c r="C478" s="22">
        <v>2023</v>
      </c>
      <c r="D478" s="23">
        <v>3</v>
      </c>
      <c r="E478" s="24">
        <v>13</v>
      </c>
      <c r="F478" s="42" t="s">
        <v>17</v>
      </c>
      <c r="G478" s="42" t="s">
        <v>13</v>
      </c>
      <c r="H478" s="42" t="s">
        <v>138</v>
      </c>
      <c r="I478" s="42" t="s">
        <v>139</v>
      </c>
      <c r="J478" s="10">
        <v>5000</v>
      </c>
      <c r="K478" s="7">
        <v>-5000</v>
      </c>
      <c r="L478" s="1" t="s">
        <v>619</v>
      </c>
    </row>
    <row r="479" spans="1:13">
      <c r="A479" s="21" t="str">
        <f>TEXT(TEXT(B479,"yyyymmdd"),"00000000")&amp;TEXT(COUNTIF($B$2:B479,B479),"00")</f>
        <v>2023031401</v>
      </c>
      <c r="B479" s="21">
        <f t="shared" si="7"/>
        <v>44999</v>
      </c>
      <c r="C479" s="22">
        <v>2023</v>
      </c>
      <c r="D479" s="23">
        <v>3</v>
      </c>
      <c r="E479" s="24">
        <v>14</v>
      </c>
      <c r="F479" s="42" t="s">
        <v>17</v>
      </c>
      <c r="G479" s="42" t="s">
        <v>135</v>
      </c>
      <c r="H479" s="42" t="s">
        <v>135</v>
      </c>
      <c r="I479" s="42" t="s">
        <v>143</v>
      </c>
      <c r="J479" s="10">
        <v>-9478</v>
      </c>
      <c r="K479" s="7">
        <v>9478</v>
      </c>
      <c r="L479" s="1" t="s">
        <v>592</v>
      </c>
      <c r="M479" s="2" t="s">
        <v>633</v>
      </c>
    </row>
    <row r="480" spans="1:13">
      <c r="A480" s="21" t="str">
        <f>TEXT(TEXT(B480,"yyyymmdd"),"00000000")&amp;TEXT(COUNTIF($B$2:B480,B480),"00")</f>
        <v>2023031402</v>
      </c>
      <c r="B480" s="21">
        <f t="shared" si="7"/>
        <v>44999</v>
      </c>
      <c r="C480" s="22">
        <v>2023</v>
      </c>
      <c r="D480" s="23">
        <v>3</v>
      </c>
      <c r="E480" s="24">
        <v>14</v>
      </c>
      <c r="F480" s="42" t="s">
        <v>17</v>
      </c>
      <c r="G480" s="42" t="s">
        <v>13</v>
      </c>
      <c r="H480" s="42" t="s">
        <v>138</v>
      </c>
      <c r="I480" s="42" t="s">
        <v>139</v>
      </c>
      <c r="J480" s="10">
        <v>5000</v>
      </c>
      <c r="K480" s="7">
        <v>-5000</v>
      </c>
      <c r="L480" s="1" t="s">
        <v>619</v>
      </c>
    </row>
    <row r="481" spans="1:13">
      <c r="A481" s="21" t="str">
        <f>TEXT(TEXT(B481,"yyyymmdd"),"00000000")&amp;TEXT(COUNTIF($B$2:B481,B481),"00")</f>
        <v>2023031403</v>
      </c>
      <c r="B481" s="21">
        <f t="shared" si="7"/>
        <v>44999</v>
      </c>
      <c r="C481" s="22">
        <v>2023</v>
      </c>
      <c r="D481" s="23">
        <v>3</v>
      </c>
      <c r="E481" s="24">
        <v>14</v>
      </c>
      <c r="F481" s="42" t="s">
        <v>17</v>
      </c>
      <c r="G481" s="42" t="s">
        <v>7</v>
      </c>
      <c r="H481" s="42" t="s">
        <v>110</v>
      </c>
      <c r="I481" s="42" t="s">
        <v>120</v>
      </c>
      <c r="J481" s="10">
        <v>3000</v>
      </c>
      <c r="K481" s="7">
        <v>-3000</v>
      </c>
      <c r="L481" s="1" t="s">
        <v>746</v>
      </c>
      <c r="M481" s="2" t="s">
        <v>632</v>
      </c>
    </row>
    <row r="482" spans="1:13">
      <c r="A482" s="21" t="str">
        <f>TEXT(TEXT(B482,"yyyymmdd"),"00000000")&amp;TEXT(COUNTIF($B$2:B482,B482),"00")</f>
        <v>2023031601</v>
      </c>
      <c r="B482" s="21">
        <f t="shared" si="7"/>
        <v>45001</v>
      </c>
      <c r="C482" s="22">
        <v>2023</v>
      </c>
      <c r="D482" s="23">
        <v>3</v>
      </c>
      <c r="E482" s="24">
        <v>16</v>
      </c>
      <c r="F482" s="42" t="s">
        <v>17</v>
      </c>
      <c r="G482" s="42" t="s">
        <v>13</v>
      </c>
      <c r="H482" s="42" t="s">
        <v>138</v>
      </c>
      <c r="I482" s="42" t="s">
        <v>139</v>
      </c>
      <c r="J482" s="10">
        <v>7200</v>
      </c>
      <c r="K482" s="7">
        <v>-7200</v>
      </c>
      <c r="L482" s="1" t="s">
        <v>634</v>
      </c>
    </row>
    <row r="483" spans="1:13">
      <c r="A483" s="21" t="str">
        <f>TEXT(TEXT(B483,"yyyymmdd"),"00000000")&amp;TEXT(COUNTIF($B$2:B483,B483),"00")</f>
        <v>2023031701</v>
      </c>
      <c r="B483" s="21">
        <f t="shared" si="7"/>
        <v>45002</v>
      </c>
      <c r="C483" s="22">
        <v>2023</v>
      </c>
      <c r="D483" s="23">
        <v>3</v>
      </c>
      <c r="E483" s="24">
        <v>17</v>
      </c>
      <c r="F483" s="42" t="s">
        <v>17</v>
      </c>
      <c r="G483" s="42" t="s">
        <v>13</v>
      </c>
      <c r="H483" s="42" t="s">
        <v>167</v>
      </c>
      <c r="I483" s="42" t="s">
        <v>168</v>
      </c>
      <c r="J483" s="10">
        <v>4970</v>
      </c>
      <c r="K483" s="7">
        <v>-4970</v>
      </c>
      <c r="L483" s="1" t="s">
        <v>532</v>
      </c>
      <c r="M483" s="2" t="s">
        <v>635</v>
      </c>
    </row>
    <row r="484" spans="1:13">
      <c r="A484" s="21" t="str">
        <f>TEXT(TEXT(B484,"yyyymmdd"),"00000000")&amp;TEXT(COUNTIF($B$2:B484,B484),"00")</f>
        <v>2023031702</v>
      </c>
      <c r="B484" s="21">
        <f t="shared" si="7"/>
        <v>45002</v>
      </c>
      <c r="C484" s="22">
        <v>2023</v>
      </c>
      <c r="D484" s="23">
        <v>3</v>
      </c>
      <c r="E484" s="24">
        <v>17</v>
      </c>
      <c r="F484" s="42" t="s">
        <v>17</v>
      </c>
      <c r="G484" s="42" t="s">
        <v>7</v>
      </c>
      <c r="H484" s="42" t="s">
        <v>167</v>
      </c>
      <c r="I484" s="42" t="s">
        <v>168</v>
      </c>
      <c r="J484" s="10">
        <v>9000</v>
      </c>
      <c r="K484" s="7">
        <v>-9000</v>
      </c>
      <c r="L484" s="1" t="s">
        <v>532</v>
      </c>
    </row>
    <row r="485" spans="1:13">
      <c r="A485" s="21" t="str">
        <f>TEXT(TEXT(B485,"yyyymmdd"),"00000000")&amp;TEXT(COUNTIF($B$2:B485,B485),"00")</f>
        <v>2023031703</v>
      </c>
      <c r="B485" s="21">
        <f t="shared" si="7"/>
        <v>45002</v>
      </c>
      <c r="C485" s="22">
        <v>2023</v>
      </c>
      <c r="D485" s="23">
        <v>3</v>
      </c>
      <c r="E485" s="24">
        <v>17</v>
      </c>
      <c r="F485" s="42" t="s">
        <v>17</v>
      </c>
      <c r="G485" s="42" t="s">
        <v>7</v>
      </c>
      <c r="H485" s="42" t="s">
        <v>138</v>
      </c>
      <c r="I485" s="42" t="s">
        <v>139</v>
      </c>
      <c r="J485" s="10">
        <v>29000</v>
      </c>
      <c r="K485" s="7">
        <v>-29000</v>
      </c>
      <c r="L485" s="1" t="s">
        <v>639</v>
      </c>
    </row>
    <row r="486" spans="1:13">
      <c r="A486" s="21" t="str">
        <f>TEXT(TEXT(B486,"yyyymmdd"),"00000000")&amp;TEXT(COUNTIF($B$2:B486,B486),"00")</f>
        <v>2023031704</v>
      </c>
      <c r="B486" s="21">
        <f t="shared" si="7"/>
        <v>45002</v>
      </c>
      <c r="C486" s="22">
        <v>2023</v>
      </c>
      <c r="D486" s="23">
        <v>3</v>
      </c>
      <c r="E486" s="24">
        <v>17</v>
      </c>
      <c r="F486" s="42" t="s">
        <v>17</v>
      </c>
      <c r="G486" s="42" t="s">
        <v>13</v>
      </c>
      <c r="H486" s="42" t="s">
        <v>113</v>
      </c>
      <c r="I486" s="42" t="s">
        <v>171</v>
      </c>
      <c r="J486" s="10">
        <v>15000</v>
      </c>
      <c r="K486" s="7">
        <v>-15000</v>
      </c>
      <c r="L486" s="1" t="s">
        <v>502</v>
      </c>
    </row>
    <row r="487" spans="1:13">
      <c r="A487" s="21" t="str">
        <f>TEXT(TEXT(B487,"yyyymmdd"),"00000000")&amp;TEXT(COUNTIF($B$2:B487,B487),"00")</f>
        <v>2023031705</v>
      </c>
      <c r="B487" s="21">
        <f t="shared" si="7"/>
        <v>45002</v>
      </c>
      <c r="C487" s="22">
        <v>2023</v>
      </c>
      <c r="D487" s="23">
        <v>3</v>
      </c>
      <c r="E487" s="24">
        <v>17</v>
      </c>
      <c r="F487" s="42" t="s">
        <v>17</v>
      </c>
      <c r="G487" s="42" t="s">
        <v>7</v>
      </c>
      <c r="H487" s="42" t="s">
        <v>116</v>
      </c>
      <c r="I487" s="42" t="s">
        <v>217</v>
      </c>
      <c r="J487" s="10">
        <v>1000</v>
      </c>
      <c r="K487" s="7">
        <v>-1000</v>
      </c>
      <c r="L487" s="1" t="s">
        <v>641</v>
      </c>
    </row>
    <row r="488" spans="1:13">
      <c r="A488" s="21" t="str">
        <f>TEXT(TEXT(B488,"yyyymmdd"),"00000000")&amp;TEXT(COUNTIF($B$2:B488,B488),"00")</f>
        <v>2023031706</v>
      </c>
      <c r="B488" s="21">
        <f t="shared" si="7"/>
        <v>45002</v>
      </c>
      <c r="C488" s="22">
        <v>2023</v>
      </c>
      <c r="D488" s="23">
        <v>3</v>
      </c>
      <c r="E488" s="24">
        <v>17</v>
      </c>
      <c r="F488" s="42" t="s">
        <v>17</v>
      </c>
      <c r="G488" s="42" t="s">
        <v>13</v>
      </c>
      <c r="H488" s="42" t="s">
        <v>138</v>
      </c>
      <c r="I488" s="42" t="s">
        <v>139</v>
      </c>
      <c r="J488" s="10">
        <v>7000</v>
      </c>
      <c r="K488" s="7">
        <v>-7000</v>
      </c>
      <c r="L488" s="1" t="s">
        <v>636</v>
      </c>
      <c r="M488" s="2" t="s">
        <v>637</v>
      </c>
    </row>
    <row r="489" spans="1:13">
      <c r="A489" s="21" t="str">
        <f>TEXT(TEXT(B489,"yyyymmdd"),"00000000")&amp;TEXT(COUNTIF($B$2:B489,B489),"00")</f>
        <v>2023031707</v>
      </c>
      <c r="B489" s="21">
        <f t="shared" si="7"/>
        <v>45002</v>
      </c>
      <c r="C489" s="22">
        <v>2023</v>
      </c>
      <c r="D489" s="23">
        <v>3</v>
      </c>
      <c r="E489" s="24">
        <v>17</v>
      </c>
      <c r="F489" s="42" t="s">
        <v>17</v>
      </c>
      <c r="G489" s="42" t="s">
        <v>7</v>
      </c>
      <c r="H489" s="42" t="s">
        <v>110</v>
      </c>
      <c r="I489" s="42" t="s">
        <v>120</v>
      </c>
      <c r="J489" s="10">
        <v>3200</v>
      </c>
      <c r="K489" s="7">
        <v>-3200</v>
      </c>
      <c r="L489" s="1" t="s">
        <v>638</v>
      </c>
      <c r="M489" s="2" t="s">
        <v>637</v>
      </c>
    </row>
    <row r="490" spans="1:13">
      <c r="A490" s="21" t="str">
        <f>TEXT(TEXT(B490,"yyyymmdd"),"00000000")&amp;TEXT(COUNTIF($B$2:B490,B490),"00")</f>
        <v>2023031708</v>
      </c>
      <c r="B490" s="21">
        <f t="shared" si="7"/>
        <v>45002</v>
      </c>
      <c r="C490" s="22">
        <v>2023</v>
      </c>
      <c r="D490" s="23">
        <v>3</v>
      </c>
      <c r="E490" s="24">
        <v>17</v>
      </c>
      <c r="F490" s="42" t="s">
        <v>17</v>
      </c>
      <c r="G490" s="42" t="s">
        <v>13</v>
      </c>
      <c r="H490" s="42" t="s">
        <v>32</v>
      </c>
      <c r="I490" s="42" t="s">
        <v>620</v>
      </c>
      <c r="J490" s="10">
        <v>66000</v>
      </c>
      <c r="K490" s="7">
        <v>-66000</v>
      </c>
      <c r="L490" s="1" t="s">
        <v>598</v>
      </c>
    </row>
    <row r="491" spans="1:13">
      <c r="A491" s="21" t="str">
        <f>TEXT(TEXT(B491,"yyyymmdd"),"00000000")&amp;TEXT(COUNTIF($B$2:B491,B491),"00")</f>
        <v>2023031709</v>
      </c>
      <c r="B491" s="21">
        <f t="shared" si="7"/>
        <v>45002</v>
      </c>
      <c r="C491" s="22">
        <v>2023</v>
      </c>
      <c r="D491" s="23">
        <v>3</v>
      </c>
      <c r="E491" s="24">
        <v>17</v>
      </c>
      <c r="F491" s="42" t="s">
        <v>17</v>
      </c>
      <c r="G491" s="42" t="s">
        <v>7</v>
      </c>
      <c r="H491" s="42" t="s">
        <v>138</v>
      </c>
      <c r="I491" s="42" t="s">
        <v>139</v>
      </c>
      <c r="J491" s="10">
        <v>21000</v>
      </c>
      <c r="K491" s="7">
        <v>-21000</v>
      </c>
      <c r="L491" s="1" t="s">
        <v>640</v>
      </c>
    </row>
    <row r="492" spans="1:13">
      <c r="A492" s="21" t="str">
        <f>TEXT(TEXT(B492,"yyyymmdd"),"00000000")&amp;TEXT(COUNTIF($B$2:B492,B492),"00")</f>
        <v>2023031901</v>
      </c>
      <c r="B492" s="21">
        <f t="shared" si="7"/>
        <v>45004</v>
      </c>
      <c r="C492" s="22">
        <v>2023</v>
      </c>
      <c r="D492" s="23">
        <v>3</v>
      </c>
      <c r="E492" s="24">
        <v>19</v>
      </c>
      <c r="F492" s="42" t="s">
        <v>17</v>
      </c>
      <c r="G492" s="42" t="s">
        <v>7</v>
      </c>
      <c r="H492" s="42" t="s">
        <v>116</v>
      </c>
      <c r="I492" s="42" t="s">
        <v>225</v>
      </c>
      <c r="J492" s="10">
        <v>20400</v>
      </c>
      <c r="K492" s="7">
        <v>-20400</v>
      </c>
      <c r="L492" s="1" t="s">
        <v>583</v>
      </c>
      <c r="M492" s="2" t="s">
        <v>642</v>
      </c>
    </row>
    <row r="493" spans="1:13">
      <c r="A493" s="21" t="str">
        <f>TEXT(TEXT(B493,"yyyymmdd"),"00000000")&amp;TEXT(COUNTIF($B$2:B493,B493),"00")</f>
        <v>2023031902</v>
      </c>
      <c r="B493" s="21">
        <f t="shared" si="7"/>
        <v>45004</v>
      </c>
      <c r="C493" s="22">
        <v>2023</v>
      </c>
      <c r="D493" s="23">
        <v>3</v>
      </c>
      <c r="E493" s="24">
        <v>19</v>
      </c>
      <c r="F493" s="42" t="s">
        <v>17</v>
      </c>
      <c r="G493" s="42" t="s">
        <v>7</v>
      </c>
      <c r="H493" s="42" t="s">
        <v>138</v>
      </c>
      <c r="I493" s="42" t="s">
        <v>139</v>
      </c>
      <c r="J493" s="10">
        <v>16357</v>
      </c>
      <c r="K493" s="7">
        <v>-16357</v>
      </c>
      <c r="L493" s="1" t="s">
        <v>643</v>
      </c>
    </row>
    <row r="494" spans="1:13">
      <c r="A494" s="21" t="str">
        <f>TEXT(TEXT(B494,"yyyymmdd"),"00000000")&amp;TEXT(COUNTIF($B$2:B494,B494),"00")</f>
        <v>2023032001</v>
      </c>
      <c r="B494" s="21">
        <f t="shared" si="7"/>
        <v>45005</v>
      </c>
      <c r="C494" s="22">
        <v>2023</v>
      </c>
      <c r="D494" s="23">
        <v>3</v>
      </c>
      <c r="E494" s="24">
        <v>20</v>
      </c>
      <c r="F494" s="42" t="s">
        <v>498</v>
      </c>
      <c r="G494" s="42" t="s">
        <v>11</v>
      </c>
      <c r="H494" s="42" t="s">
        <v>99</v>
      </c>
      <c r="I494" s="42" t="s">
        <v>94</v>
      </c>
      <c r="J494" s="10">
        <v>-104370</v>
      </c>
      <c r="K494" s="7">
        <v>104370</v>
      </c>
      <c r="L494" s="1" t="s">
        <v>503</v>
      </c>
    </row>
    <row r="495" spans="1:13">
      <c r="A495" s="21" t="str">
        <f>TEXT(TEXT(B495,"yyyymmdd"),"00000000")&amp;TEXT(COUNTIF($B$2:B495,B495),"00")</f>
        <v>2023032002</v>
      </c>
      <c r="B495" s="21">
        <f t="shared" si="7"/>
        <v>45005</v>
      </c>
      <c r="C495" s="22">
        <v>2023</v>
      </c>
      <c r="D495" s="23">
        <v>3</v>
      </c>
      <c r="E495" s="24">
        <v>20</v>
      </c>
      <c r="F495" s="42" t="s">
        <v>19</v>
      </c>
      <c r="G495" s="42" t="s">
        <v>11</v>
      </c>
      <c r="H495" s="42" t="s">
        <v>99</v>
      </c>
      <c r="I495" s="42" t="s">
        <v>94</v>
      </c>
      <c r="J495" s="10">
        <v>104370</v>
      </c>
      <c r="K495" s="7">
        <v>-104370</v>
      </c>
      <c r="L495" s="1" t="s">
        <v>573</v>
      </c>
    </row>
    <row r="496" spans="1:13">
      <c r="A496" s="21" t="str">
        <f>TEXT(TEXT(B496,"yyyymmdd"),"00000000")&amp;TEXT(COUNTIF($B$2:B496,B496),"00")</f>
        <v>2023032003</v>
      </c>
      <c r="B496" s="21">
        <f t="shared" si="7"/>
        <v>45005</v>
      </c>
      <c r="C496" s="22">
        <v>2023</v>
      </c>
      <c r="D496" s="23">
        <v>3</v>
      </c>
      <c r="E496" s="24">
        <v>20</v>
      </c>
      <c r="F496" s="42" t="s">
        <v>17</v>
      </c>
      <c r="G496" s="42" t="s">
        <v>7</v>
      </c>
      <c r="H496" s="42" t="s">
        <v>173</v>
      </c>
      <c r="I496" s="42" t="s">
        <v>207</v>
      </c>
      <c r="J496" s="10">
        <v>4040</v>
      </c>
      <c r="K496" s="7">
        <v>-4040</v>
      </c>
      <c r="L496" s="1" t="s">
        <v>208</v>
      </c>
    </row>
    <row r="497" spans="1:13">
      <c r="A497" s="21" t="str">
        <f>TEXT(TEXT(B497,"yyyymmdd"),"00000000")&amp;TEXT(COUNTIF($B$2:B497,B497),"00")</f>
        <v>2023032004</v>
      </c>
      <c r="B497" s="21">
        <f t="shared" si="7"/>
        <v>45005</v>
      </c>
      <c r="C497" s="22">
        <v>2023</v>
      </c>
      <c r="D497" s="23">
        <v>3</v>
      </c>
      <c r="E497" s="24">
        <v>20</v>
      </c>
      <c r="F497" s="42" t="s">
        <v>17</v>
      </c>
      <c r="G497" s="42" t="s">
        <v>7</v>
      </c>
      <c r="H497" s="42" t="s">
        <v>118</v>
      </c>
      <c r="I497" s="42" t="s">
        <v>644</v>
      </c>
      <c r="J497" s="10">
        <v>7700</v>
      </c>
      <c r="K497" s="7">
        <v>-7700</v>
      </c>
      <c r="L497" s="1" t="s">
        <v>645</v>
      </c>
      <c r="M497" s="2" t="s">
        <v>646</v>
      </c>
    </row>
    <row r="498" spans="1:13">
      <c r="A498" s="21" t="str">
        <f>TEXT(TEXT(B498,"yyyymmdd"),"00000000")&amp;TEXT(COUNTIF($B$2:B498,B498),"00")</f>
        <v>2023032005</v>
      </c>
      <c r="B498" s="21">
        <f t="shared" si="7"/>
        <v>45005</v>
      </c>
      <c r="C498" s="22">
        <v>2023</v>
      </c>
      <c r="D498" s="23">
        <v>3</v>
      </c>
      <c r="E498" s="24">
        <v>20</v>
      </c>
      <c r="F498" s="42" t="s">
        <v>498</v>
      </c>
      <c r="G498" s="42" t="s">
        <v>135</v>
      </c>
      <c r="H498" s="42" t="s">
        <v>135</v>
      </c>
      <c r="I498" s="42" t="s">
        <v>190</v>
      </c>
      <c r="J498" s="10">
        <v>-5640</v>
      </c>
      <c r="K498" s="7">
        <v>5640</v>
      </c>
      <c r="L498" s="1" t="s">
        <v>604</v>
      </c>
    </row>
    <row r="499" spans="1:13">
      <c r="A499" s="21" t="str">
        <f>TEXT(TEXT(B499,"yyyymmdd"),"00000000")&amp;TEXT(COUNTIF($B$2:B499,B499),"00")</f>
        <v>2023032006</v>
      </c>
      <c r="B499" s="21">
        <f t="shared" si="7"/>
        <v>45005</v>
      </c>
      <c r="C499" s="22">
        <v>2023</v>
      </c>
      <c r="D499" s="23">
        <v>3</v>
      </c>
      <c r="E499" s="24">
        <v>20</v>
      </c>
      <c r="F499" s="42" t="s">
        <v>17</v>
      </c>
      <c r="G499" s="42" t="s">
        <v>13</v>
      </c>
      <c r="H499" s="42" t="s">
        <v>138</v>
      </c>
      <c r="I499" s="42" t="s">
        <v>139</v>
      </c>
      <c r="J499" s="10">
        <v>4500</v>
      </c>
      <c r="K499" s="7">
        <v>-4500</v>
      </c>
      <c r="L499" s="1" t="s">
        <v>619</v>
      </c>
      <c r="M499" s="2" t="s">
        <v>648</v>
      </c>
    </row>
    <row r="500" spans="1:13">
      <c r="A500" s="21" t="str">
        <f>TEXT(TEXT(B500,"yyyymmdd"),"00000000")&amp;TEXT(COUNTIF($B$2:B500,B500),"00")</f>
        <v>2023032007</v>
      </c>
      <c r="B500" s="21">
        <f t="shared" si="7"/>
        <v>45005</v>
      </c>
      <c r="C500" s="22">
        <v>2023</v>
      </c>
      <c r="D500" s="23">
        <v>3</v>
      </c>
      <c r="E500" s="24">
        <v>20</v>
      </c>
      <c r="F500" s="42" t="s">
        <v>17</v>
      </c>
      <c r="G500" s="42" t="s">
        <v>7</v>
      </c>
      <c r="H500" s="42" t="s">
        <v>167</v>
      </c>
      <c r="I500" s="42" t="s">
        <v>168</v>
      </c>
      <c r="J500" s="10">
        <v>2800</v>
      </c>
      <c r="K500" s="7">
        <v>-2800</v>
      </c>
      <c r="L500" s="1" t="s">
        <v>747</v>
      </c>
    </row>
    <row r="501" spans="1:13">
      <c r="A501" s="21" t="str">
        <f>TEXT(TEXT(B501,"yyyymmdd"),"00000000")&amp;TEXT(COUNTIF($B$2:B501,B501),"00")</f>
        <v>2023032101</v>
      </c>
      <c r="B501" s="21">
        <f t="shared" si="7"/>
        <v>45006</v>
      </c>
      <c r="C501" s="22">
        <v>2023</v>
      </c>
      <c r="D501" s="23">
        <v>3</v>
      </c>
      <c r="E501" s="24">
        <v>21</v>
      </c>
      <c r="F501" s="42" t="s">
        <v>17</v>
      </c>
      <c r="G501" s="42" t="s">
        <v>13</v>
      </c>
      <c r="H501" s="42" t="s">
        <v>138</v>
      </c>
      <c r="I501" s="42" t="s">
        <v>139</v>
      </c>
      <c r="J501" s="10">
        <v>7000</v>
      </c>
      <c r="K501" s="7">
        <v>-7000</v>
      </c>
      <c r="L501" s="1" t="s">
        <v>636</v>
      </c>
      <c r="M501" s="2" t="s">
        <v>647</v>
      </c>
    </row>
    <row r="502" spans="1:13">
      <c r="A502" s="21" t="str">
        <f>TEXT(TEXT(B502,"yyyymmdd"),"00000000")&amp;TEXT(COUNTIF($B$2:B502,B502),"00")</f>
        <v>2023032201</v>
      </c>
      <c r="B502" s="21">
        <f t="shared" si="7"/>
        <v>45007</v>
      </c>
      <c r="C502" s="22">
        <v>2023</v>
      </c>
      <c r="D502" s="23">
        <v>3</v>
      </c>
      <c r="E502" s="24">
        <v>22</v>
      </c>
      <c r="F502" s="42" t="s">
        <v>17</v>
      </c>
      <c r="G502" s="42" t="s">
        <v>13</v>
      </c>
      <c r="H502" s="42" t="s">
        <v>138</v>
      </c>
      <c r="I502" s="42" t="s">
        <v>139</v>
      </c>
      <c r="J502" s="10">
        <v>5000</v>
      </c>
      <c r="K502" s="7">
        <v>-5000</v>
      </c>
      <c r="L502" s="1" t="s">
        <v>619</v>
      </c>
    </row>
    <row r="503" spans="1:13">
      <c r="A503" s="21" t="str">
        <f>TEXT(TEXT(B503,"yyyymmdd"),"00000000")&amp;TEXT(COUNTIF($B$2:B503,B503),"00")</f>
        <v>2023032202</v>
      </c>
      <c r="B503" s="21">
        <f t="shared" si="7"/>
        <v>45007</v>
      </c>
      <c r="C503" s="22">
        <v>2023</v>
      </c>
      <c r="D503" s="23">
        <v>3</v>
      </c>
      <c r="E503" s="24">
        <v>22</v>
      </c>
      <c r="F503" s="42" t="s">
        <v>17</v>
      </c>
      <c r="G503" s="42" t="s">
        <v>13</v>
      </c>
      <c r="H503" s="42" t="s">
        <v>138</v>
      </c>
      <c r="I503" s="42" t="s">
        <v>139</v>
      </c>
      <c r="J503" s="10">
        <v>5000</v>
      </c>
      <c r="K503" s="7">
        <v>-5000</v>
      </c>
      <c r="L503" s="1" t="s">
        <v>619</v>
      </c>
    </row>
    <row r="504" spans="1:13">
      <c r="A504" s="21" t="str">
        <f>TEXT(TEXT(B504,"yyyymmdd"),"00000000")&amp;TEXT(COUNTIF($B$2:B504,B504),"00")</f>
        <v>2023032301</v>
      </c>
      <c r="B504" s="21">
        <f t="shared" si="7"/>
        <v>45008</v>
      </c>
      <c r="C504" s="22">
        <v>2023</v>
      </c>
      <c r="D504" s="23">
        <v>3</v>
      </c>
      <c r="E504" s="24">
        <v>23</v>
      </c>
      <c r="F504" s="42" t="s">
        <v>17</v>
      </c>
      <c r="G504" s="42" t="s">
        <v>13</v>
      </c>
      <c r="H504" s="42" t="s">
        <v>138</v>
      </c>
      <c r="I504" s="42" t="s">
        <v>139</v>
      </c>
      <c r="J504" s="10">
        <v>7500</v>
      </c>
      <c r="K504" s="7">
        <v>-7500</v>
      </c>
      <c r="L504" s="1" t="s">
        <v>678</v>
      </c>
      <c r="M504" s="2" t="s">
        <v>629</v>
      </c>
    </row>
    <row r="505" spans="1:13">
      <c r="A505" s="21" t="str">
        <f>TEXT(TEXT(B505,"yyyymmdd"),"00000000")&amp;TEXT(COUNTIF($B$2:B505,B505),"00")</f>
        <v>2023032302</v>
      </c>
      <c r="B505" s="21">
        <f t="shared" si="7"/>
        <v>45008</v>
      </c>
      <c r="C505" s="22">
        <v>2023</v>
      </c>
      <c r="D505" s="23">
        <v>3</v>
      </c>
      <c r="E505" s="24">
        <v>23</v>
      </c>
      <c r="F505" s="42" t="s">
        <v>17</v>
      </c>
      <c r="G505" s="42" t="s">
        <v>13</v>
      </c>
      <c r="H505" s="42" t="s">
        <v>167</v>
      </c>
      <c r="I505" s="42" t="s">
        <v>168</v>
      </c>
      <c r="J505" s="10">
        <v>3200</v>
      </c>
      <c r="K505" s="7">
        <v>-3200</v>
      </c>
      <c r="L505" s="1" t="s">
        <v>747</v>
      </c>
    </row>
    <row r="506" spans="1:13">
      <c r="A506" s="21" t="str">
        <f>TEXT(TEXT(B506,"yyyymmdd"),"00000000")&amp;TEXT(COUNTIF($B$2:B506,B506),"00")</f>
        <v>2023032401</v>
      </c>
      <c r="B506" s="21">
        <f t="shared" si="7"/>
        <v>45009</v>
      </c>
      <c r="C506" s="22">
        <v>2023</v>
      </c>
      <c r="D506" s="23">
        <v>3</v>
      </c>
      <c r="E506" s="24">
        <v>24</v>
      </c>
      <c r="F506" s="42" t="s">
        <v>17</v>
      </c>
      <c r="G506" s="42" t="s">
        <v>7</v>
      </c>
      <c r="H506" s="42" t="s">
        <v>116</v>
      </c>
      <c r="I506" s="42" t="s">
        <v>217</v>
      </c>
      <c r="J506" s="10">
        <v>6900</v>
      </c>
      <c r="K506" s="7">
        <v>-6900</v>
      </c>
      <c r="L506" s="1" t="s">
        <v>649</v>
      </c>
    </row>
    <row r="507" spans="1:13">
      <c r="A507" s="21" t="str">
        <f>TEXT(TEXT(B507,"yyyymmdd"),"00000000")&amp;TEXT(COUNTIF($B$2:B507,B507),"00")</f>
        <v>2023032402</v>
      </c>
      <c r="B507" s="21">
        <f t="shared" si="7"/>
        <v>45009</v>
      </c>
      <c r="C507" s="22">
        <v>2023</v>
      </c>
      <c r="D507" s="23">
        <v>3</v>
      </c>
      <c r="E507" s="24">
        <v>24</v>
      </c>
      <c r="F507" s="42" t="s">
        <v>17</v>
      </c>
      <c r="G507" s="42" t="s">
        <v>13</v>
      </c>
      <c r="H507" s="42" t="s">
        <v>138</v>
      </c>
      <c r="I507" s="42" t="s">
        <v>139</v>
      </c>
      <c r="J507" s="10">
        <v>5000</v>
      </c>
      <c r="K507" s="7">
        <v>-5000</v>
      </c>
      <c r="L507" s="1" t="s">
        <v>619</v>
      </c>
    </row>
    <row r="508" spans="1:13">
      <c r="A508" s="21" t="str">
        <f>TEXT(TEXT(B508,"yyyymmdd"),"00000000")&amp;TEXT(COUNTIF($B$2:B508,B508),"00")</f>
        <v>2023032501</v>
      </c>
      <c r="B508" s="21">
        <f t="shared" si="7"/>
        <v>45010</v>
      </c>
      <c r="C508" s="22">
        <v>2023</v>
      </c>
      <c r="D508" s="23">
        <v>3</v>
      </c>
      <c r="E508" s="24">
        <v>25</v>
      </c>
      <c r="F508" s="42" t="s">
        <v>17</v>
      </c>
      <c r="G508" s="42" t="s">
        <v>7</v>
      </c>
      <c r="H508" s="42" t="s">
        <v>32</v>
      </c>
      <c r="I508" s="42" t="s">
        <v>141</v>
      </c>
      <c r="J508" s="10">
        <v>3000</v>
      </c>
      <c r="K508" s="7">
        <v>-3000</v>
      </c>
      <c r="L508" s="1" t="s">
        <v>653</v>
      </c>
    </row>
    <row r="509" spans="1:13">
      <c r="A509" s="21" t="str">
        <f>TEXT(TEXT(B509,"yyyymmdd"),"00000000")&amp;TEXT(COUNTIF($B$2:B509,B509),"00")</f>
        <v>2023032502</v>
      </c>
      <c r="B509" s="21">
        <f t="shared" si="7"/>
        <v>45010</v>
      </c>
      <c r="C509" s="22">
        <v>2023</v>
      </c>
      <c r="D509" s="23">
        <v>3</v>
      </c>
      <c r="E509" s="24">
        <v>25</v>
      </c>
      <c r="F509" s="42" t="s">
        <v>17</v>
      </c>
      <c r="G509" s="42" t="s">
        <v>7</v>
      </c>
      <c r="H509" s="42" t="s">
        <v>138</v>
      </c>
      <c r="I509" s="42" t="s">
        <v>139</v>
      </c>
      <c r="J509" s="10">
        <v>9800</v>
      </c>
      <c r="K509" s="7">
        <v>-9800</v>
      </c>
      <c r="L509" s="1" t="s">
        <v>650</v>
      </c>
    </row>
    <row r="510" spans="1:13">
      <c r="A510" s="21" t="str">
        <f>TEXT(TEXT(B510,"yyyymmdd"),"00000000")&amp;TEXT(COUNTIF($B$2:B510,B510),"00")</f>
        <v>2023032503</v>
      </c>
      <c r="B510" s="21">
        <f t="shared" si="7"/>
        <v>45010</v>
      </c>
      <c r="C510" s="22">
        <v>2023</v>
      </c>
      <c r="D510" s="23">
        <v>3</v>
      </c>
      <c r="E510" s="24">
        <v>25</v>
      </c>
      <c r="F510" s="42" t="s">
        <v>17</v>
      </c>
      <c r="G510" s="42" t="s">
        <v>7</v>
      </c>
      <c r="H510" s="42" t="s">
        <v>110</v>
      </c>
      <c r="I510" s="42" t="s">
        <v>120</v>
      </c>
      <c r="J510" s="10">
        <v>2000</v>
      </c>
      <c r="K510" s="7">
        <v>-2000</v>
      </c>
      <c r="L510" s="1" t="s">
        <v>162</v>
      </c>
      <c r="M510" s="2" t="s">
        <v>653</v>
      </c>
    </row>
    <row r="511" spans="1:13">
      <c r="A511" s="21" t="str">
        <f>TEXT(TEXT(B511,"yyyymmdd"),"00000000")&amp;TEXT(COUNTIF($B$2:B511,B511),"00")</f>
        <v>2023032504</v>
      </c>
      <c r="B511" s="21">
        <f t="shared" si="7"/>
        <v>45010</v>
      </c>
      <c r="C511" s="22">
        <v>2023</v>
      </c>
      <c r="D511" s="23">
        <v>3</v>
      </c>
      <c r="E511" s="24">
        <v>25</v>
      </c>
      <c r="F511" s="42" t="s">
        <v>17</v>
      </c>
      <c r="G511" s="42" t="s">
        <v>7</v>
      </c>
      <c r="H511" s="42" t="s">
        <v>110</v>
      </c>
      <c r="I511" s="42" t="s">
        <v>120</v>
      </c>
      <c r="J511" s="10">
        <v>5499</v>
      </c>
      <c r="K511" s="7">
        <v>-5499</v>
      </c>
      <c r="L511" s="1" t="s">
        <v>651</v>
      </c>
      <c r="M511" s="2" t="s">
        <v>652</v>
      </c>
    </row>
    <row r="512" spans="1:13">
      <c r="A512" s="21" t="str">
        <f>TEXT(TEXT(B512,"yyyymmdd"),"00000000")&amp;TEXT(COUNTIF($B$2:B512,B512),"00")</f>
        <v>2023032701</v>
      </c>
      <c r="B512" s="21">
        <f t="shared" si="7"/>
        <v>45012</v>
      </c>
      <c r="C512" s="22">
        <v>2023</v>
      </c>
      <c r="D512" s="23">
        <v>3</v>
      </c>
      <c r="E512" s="24">
        <v>27</v>
      </c>
      <c r="F512" s="42" t="s">
        <v>17</v>
      </c>
      <c r="G512" s="42" t="s">
        <v>13</v>
      </c>
      <c r="H512" s="42" t="s">
        <v>138</v>
      </c>
      <c r="I512" s="42" t="s">
        <v>139</v>
      </c>
      <c r="J512" s="10">
        <v>8000</v>
      </c>
      <c r="K512" s="7">
        <v>-8000</v>
      </c>
      <c r="L512" s="1" t="s">
        <v>656</v>
      </c>
      <c r="M512" s="2" t="s">
        <v>637</v>
      </c>
    </row>
    <row r="513" spans="1:13">
      <c r="A513" s="21" t="str">
        <f>TEXT(TEXT(B513,"yyyymmdd"),"00000000")&amp;TEXT(COUNTIF($B$2:B513,B513),"00")</f>
        <v>2023032702</v>
      </c>
      <c r="B513" s="21">
        <f t="shared" si="7"/>
        <v>45012</v>
      </c>
      <c r="C513" s="22">
        <v>2023</v>
      </c>
      <c r="D513" s="23">
        <v>3</v>
      </c>
      <c r="E513" s="24">
        <v>27</v>
      </c>
      <c r="F513" s="42" t="s">
        <v>17</v>
      </c>
      <c r="G513" s="42" t="s">
        <v>7</v>
      </c>
      <c r="H513" s="42" t="s">
        <v>111</v>
      </c>
      <c r="I513" s="42" t="s">
        <v>334</v>
      </c>
      <c r="J513" s="10">
        <v>30900</v>
      </c>
      <c r="K513" s="7">
        <v>-30900</v>
      </c>
      <c r="L513" s="1" t="s">
        <v>657</v>
      </c>
      <c r="M513" s="2" t="s">
        <v>658</v>
      </c>
    </row>
    <row r="514" spans="1:13">
      <c r="A514" s="21" t="str">
        <f>TEXT(TEXT(B514,"yyyymmdd"),"00000000")&amp;TEXT(COUNTIF($B$2:B514,B514),"00")</f>
        <v>2023032703</v>
      </c>
      <c r="B514" s="21">
        <f t="shared" ref="B514:B577" si="8">DATE(C514,D514,E514)</f>
        <v>45012</v>
      </c>
      <c r="C514" s="22">
        <v>2023</v>
      </c>
      <c r="D514" s="23">
        <v>3</v>
      </c>
      <c r="E514" s="24">
        <v>27</v>
      </c>
      <c r="F514" s="42" t="s">
        <v>17</v>
      </c>
      <c r="G514" s="42" t="s">
        <v>7</v>
      </c>
      <c r="H514" s="42" t="s">
        <v>167</v>
      </c>
      <c r="I514" s="42" t="s">
        <v>545</v>
      </c>
      <c r="J514" s="10">
        <v>27270</v>
      </c>
      <c r="K514" s="7">
        <v>-27270</v>
      </c>
      <c r="L514" s="1" t="s">
        <v>541</v>
      </c>
      <c r="M514" s="2" t="s">
        <v>659</v>
      </c>
    </row>
    <row r="515" spans="1:13">
      <c r="A515" s="21" t="str">
        <f>TEXT(TEXT(B515,"yyyymmdd"),"00000000")&amp;TEXT(COUNTIF($B$2:B515,B515),"00")</f>
        <v>2023032801</v>
      </c>
      <c r="B515" s="21">
        <f t="shared" si="8"/>
        <v>45013</v>
      </c>
      <c r="C515" s="22">
        <v>2023</v>
      </c>
      <c r="D515" s="23">
        <v>3</v>
      </c>
      <c r="E515" s="24">
        <v>28</v>
      </c>
      <c r="F515" s="42" t="s">
        <v>17</v>
      </c>
      <c r="G515" s="42" t="s">
        <v>13</v>
      </c>
      <c r="H515" s="42" t="s">
        <v>138</v>
      </c>
      <c r="I515" s="42" t="s">
        <v>139</v>
      </c>
      <c r="J515" s="10">
        <v>8500</v>
      </c>
      <c r="K515" s="7">
        <v>-8500</v>
      </c>
      <c r="L515" s="1" t="s">
        <v>660</v>
      </c>
    </row>
    <row r="516" spans="1:13">
      <c r="A516" s="21" t="str">
        <f>TEXT(TEXT(B516,"yyyymmdd"),"00000000")&amp;TEXT(COUNTIF($B$2:B516,B516),"00")</f>
        <v>2023032802</v>
      </c>
      <c r="B516" s="21">
        <f t="shared" si="8"/>
        <v>45013</v>
      </c>
      <c r="C516" s="22">
        <v>2023</v>
      </c>
      <c r="D516" s="23">
        <v>3</v>
      </c>
      <c r="E516" s="24">
        <v>28</v>
      </c>
      <c r="F516" s="42" t="s">
        <v>17</v>
      </c>
      <c r="G516" s="42" t="s">
        <v>13</v>
      </c>
      <c r="H516" s="42" t="s">
        <v>167</v>
      </c>
      <c r="I516" s="42" t="s">
        <v>168</v>
      </c>
      <c r="J516" s="10">
        <v>6900</v>
      </c>
      <c r="K516" s="7">
        <v>-6900</v>
      </c>
      <c r="L516" s="1" t="s">
        <v>747</v>
      </c>
    </row>
    <row r="517" spans="1:13">
      <c r="A517" s="21" t="str">
        <f>TEXT(TEXT(B517,"yyyymmdd"),"00000000")&amp;TEXT(COUNTIF($B$2:B517,B517),"00")</f>
        <v>2023032901</v>
      </c>
      <c r="B517" s="21">
        <f t="shared" si="8"/>
        <v>45014</v>
      </c>
      <c r="C517" s="22">
        <v>2023</v>
      </c>
      <c r="D517" s="23">
        <v>3</v>
      </c>
      <c r="E517" s="24">
        <v>29</v>
      </c>
      <c r="F517" s="42" t="s">
        <v>17</v>
      </c>
      <c r="G517" s="42" t="s">
        <v>13</v>
      </c>
      <c r="H517" s="42" t="s">
        <v>138</v>
      </c>
      <c r="I517" s="42" t="s">
        <v>139</v>
      </c>
      <c r="J517" s="10">
        <v>5000</v>
      </c>
      <c r="K517" s="7">
        <v>-5000</v>
      </c>
      <c r="L517" s="1" t="s">
        <v>619</v>
      </c>
    </row>
    <row r="518" spans="1:13">
      <c r="A518" s="21" t="str">
        <f>TEXT(TEXT(B518,"yyyymmdd"),"00000000")&amp;TEXT(COUNTIF($B$2:B518,B518),"00")</f>
        <v>2023033001</v>
      </c>
      <c r="B518" s="21">
        <f t="shared" si="8"/>
        <v>45015</v>
      </c>
      <c r="C518" s="22">
        <v>2023</v>
      </c>
      <c r="D518" s="23">
        <v>3</v>
      </c>
      <c r="E518" s="24">
        <v>30</v>
      </c>
      <c r="F518" s="42" t="s">
        <v>17</v>
      </c>
      <c r="G518" s="42" t="s">
        <v>13</v>
      </c>
      <c r="H518" s="42" t="s">
        <v>138</v>
      </c>
      <c r="I518" s="42" t="s">
        <v>139</v>
      </c>
      <c r="J518" s="10">
        <v>6700</v>
      </c>
      <c r="K518" s="7">
        <v>-6700</v>
      </c>
      <c r="L518" s="1" t="s">
        <v>661</v>
      </c>
    </row>
    <row r="519" spans="1:13">
      <c r="A519" s="21" t="str">
        <f>TEXT(TEXT(B519,"yyyymmdd"),"00000000")&amp;TEXT(COUNTIF($B$2:B519,B519),"00")</f>
        <v>2023033002</v>
      </c>
      <c r="B519" s="21">
        <f t="shared" si="8"/>
        <v>45015</v>
      </c>
      <c r="C519" s="22">
        <v>2023</v>
      </c>
      <c r="D519" s="23">
        <v>3</v>
      </c>
      <c r="E519" s="24">
        <v>30</v>
      </c>
      <c r="F519" s="42" t="s">
        <v>17</v>
      </c>
      <c r="G519" s="42" t="s">
        <v>170</v>
      </c>
      <c r="H519" s="42" t="s">
        <v>155</v>
      </c>
      <c r="I519" s="42" t="s">
        <v>156</v>
      </c>
      <c r="J519" s="10">
        <v>2478</v>
      </c>
      <c r="K519" s="7">
        <v>-2478</v>
      </c>
      <c r="L519" s="1" t="s">
        <v>303</v>
      </c>
    </row>
    <row r="520" spans="1:13">
      <c r="A520" s="21" t="str">
        <f>TEXT(TEXT(B520,"yyyymmdd"),"00000000")&amp;TEXT(COUNTIF($B$2:B520,B520),"00")</f>
        <v>2023033003</v>
      </c>
      <c r="B520" s="21">
        <f t="shared" si="8"/>
        <v>45015</v>
      </c>
      <c r="C520" s="22">
        <v>2023</v>
      </c>
      <c r="D520" s="23">
        <v>3</v>
      </c>
      <c r="E520" s="24">
        <v>30</v>
      </c>
      <c r="F520" s="42" t="s">
        <v>17</v>
      </c>
      <c r="G520" s="42" t="s">
        <v>14</v>
      </c>
      <c r="H520" s="42" t="s">
        <v>167</v>
      </c>
      <c r="I520" s="42" t="s">
        <v>168</v>
      </c>
      <c r="J520" s="10">
        <v>2500</v>
      </c>
      <c r="K520" s="7">
        <v>-2500</v>
      </c>
      <c r="L520" s="1" t="s">
        <v>747</v>
      </c>
    </row>
    <row r="521" spans="1:13">
      <c r="A521" s="21" t="str">
        <f>TEXT(TEXT(B521,"yyyymmdd"),"00000000")&amp;TEXT(COUNTIF($B$2:B521,B521),"00")</f>
        <v>2023033101</v>
      </c>
      <c r="B521" s="21">
        <f t="shared" si="8"/>
        <v>45016</v>
      </c>
      <c r="C521" s="22">
        <v>2023</v>
      </c>
      <c r="D521" s="23">
        <v>3</v>
      </c>
      <c r="E521" s="24">
        <v>31</v>
      </c>
      <c r="F521" s="42" t="s">
        <v>17</v>
      </c>
      <c r="G521" s="42" t="s">
        <v>11</v>
      </c>
      <c r="H521" s="42" t="s">
        <v>99</v>
      </c>
      <c r="I521" s="42" t="s">
        <v>94</v>
      </c>
      <c r="J521" s="10">
        <v>-400000</v>
      </c>
      <c r="K521" s="7">
        <v>400000</v>
      </c>
      <c r="L521" s="1" t="s">
        <v>503</v>
      </c>
      <c r="M521" s="2" t="s">
        <v>663</v>
      </c>
    </row>
    <row r="522" spans="1:13">
      <c r="A522" s="21" t="str">
        <f>TEXT(TEXT(B522,"yyyymmdd"),"00000000")&amp;TEXT(COUNTIF($B$2:B522,B522),"00")</f>
        <v>2023033102</v>
      </c>
      <c r="B522" s="21">
        <f t="shared" si="8"/>
        <v>45016</v>
      </c>
      <c r="C522" s="22">
        <v>2023</v>
      </c>
      <c r="D522" s="23">
        <v>3</v>
      </c>
      <c r="E522" s="24">
        <v>31</v>
      </c>
      <c r="F522" s="42" t="s">
        <v>498</v>
      </c>
      <c r="G522" s="42" t="s">
        <v>11</v>
      </c>
      <c r="H522" s="42" t="s">
        <v>99</v>
      </c>
      <c r="I522" s="42" t="s">
        <v>94</v>
      </c>
      <c r="J522" s="10">
        <v>400000</v>
      </c>
      <c r="K522" s="7">
        <v>-400000</v>
      </c>
      <c r="L522" s="1" t="s">
        <v>573</v>
      </c>
    </row>
    <row r="523" spans="1:13">
      <c r="A523" s="21" t="str">
        <f>TEXT(TEXT(B523,"yyyymmdd"),"00000000")&amp;TEXT(COUNTIF($B$2:B523,B523),"00")</f>
        <v>2023033103</v>
      </c>
      <c r="B523" s="21">
        <f t="shared" si="8"/>
        <v>45016</v>
      </c>
      <c r="C523" s="22">
        <v>2023</v>
      </c>
      <c r="D523" s="23">
        <v>3</v>
      </c>
      <c r="E523" s="24">
        <v>31</v>
      </c>
      <c r="F523" s="42" t="s">
        <v>17</v>
      </c>
      <c r="G523" s="42" t="s">
        <v>7</v>
      </c>
      <c r="H523" s="42" t="s">
        <v>167</v>
      </c>
      <c r="I523" s="42" t="s">
        <v>168</v>
      </c>
      <c r="J523" s="10">
        <v>2610</v>
      </c>
      <c r="K523" s="7">
        <v>-2610</v>
      </c>
      <c r="L523" s="1" t="s">
        <v>532</v>
      </c>
      <c r="M523" s="2" t="s">
        <v>664</v>
      </c>
    </row>
    <row r="524" spans="1:13">
      <c r="A524" s="21" t="str">
        <f>TEXT(TEXT(B524,"yyyymmdd"),"00000000")&amp;TEXT(COUNTIF($B$2:B524,B524),"00")</f>
        <v>2023033104</v>
      </c>
      <c r="B524" s="21">
        <f t="shared" si="8"/>
        <v>45016</v>
      </c>
      <c r="C524" s="22">
        <v>2023</v>
      </c>
      <c r="D524" s="23">
        <v>3</v>
      </c>
      <c r="E524" s="24">
        <v>31</v>
      </c>
      <c r="F524" s="42" t="s">
        <v>17</v>
      </c>
      <c r="G524" s="42" t="s">
        <v>13</v>
      </c>
      <c r="H524" s="42" t="s">
        <v>138</v>
      </c>
      <c r="I524" s="42" t="s">
        <v>139</v>
      </c>
      <c r="J524" s="10">
        <v>6000</v>
      </c>
      <c r="K524" s="7">
        <v>-6000</v>
      </c>
      <c r="L524" s="1" t="s">
        <v>662</v>
      </c>
    </row>
    <row r="525" spans="1:13">
      <c r="A525" s="21" t="str">
        <f>TEXT(TEXT(B525,"yyyymmdd"),"00000000")&amp;TEXT(COUNTIF($B$2:B525,B525),"00")</f>
        <v>2023033105</v>
      </c>
      <c r="B525" s="21">
        <f t="shared" si="8"/>
        <v>45016</v>
      </c>
      <c r="C525" s="22">
        <v>2023</v>
      </c>
      <c r="D525" s="23">
        <v>3</v>
      </c>
      <c r="E525" s="24">
        <v>31</v>
      </c>
      <c r="F525" s="42" t="s">
        <v>17</v>
      </c>
      <c r="G525" s="42" t="s">
        <v>13</v>
      </c>
      <c r="H525" s="42" t="s">
        <v>32</v>
      </c>
      <c r="I525" s="42" t="s">
        <v>620</v>
      </c>
      <c r="J525" s="10">
        <v>67000</v>
      </c>
      <c r="K525" s="7">
        <v>-67000</v>
      </c>
      <c r="L525" s="1" t="s">
        <v>598</v>
      </c>
    </row>
    <row r="526" spans="1:13">
      <c r="A526" s="21" t="str">
        <f>TEXT(TEXT(B526,"yyyymmdd"),"00000000")&amp;TEXT(COUNTIF($B$2:B526,B526),"00")</f>
        <v>2023040101</v>
      </c>
      <c r="B526" s="21">
        <f t="shared" si="8"/>
        <v>45017</v>
      </c>
      <c r="C526" s="22">
        <v>2023</v>
      </c>
      <c r="D526" s="23">
        <v>4</v>
      </c>
      <c r="E526" s="24">
        <v>1</v>
      </c>
      <c r="F526" s="42" t="s">
        <v>17</v>
      </c>
      <c r="G526" s="42" t="s">
        <v>7</v>
      </c>
      <c r="H526" s="42" t="s">
        <v>110</v>
      </c>
      <c r="I526" s="42" t="s">
        <v>120</v>
      </c>
      <c r="J526" s="10">
        <v>2500</v>
      </c>
      <c r="K526" s="7">
        <v>-2500</v>
      </c>
      <c r="L526" s="1" t="s">
        <v>665</v>
      </c>
    </row>
    <row r="527" spans="1:13">
      <c r="A527" s="21" t="str">
        <f>TEXT(TEXT(B527,"yyyymmdd"),"00000000")&amp;TEXT(COUNTIF($B$2:B527,B527),"00")</f>
        <v>2023040201</v>
      </c>
      <c r="B527" s="21">
        <f t="shared" si="8"/>
        <v>45018</v>
      </c>
      <c r="C527" s="22">
        <v>2023</v>
      </c>
      <c r="D527" s="23">
        <v>4</v>
      </c>
      <c r="E527" s="24">
        <v>2</v>
      </c>
      <c r="F527" s="42" t="s">
        <v>17</v>
      </c>
      <c r="G527" s="42" t="s">
        <v>7</v>
      </c>
      <c r="H527" s="42" t="s">
        <v>117</v>
      </c>
      <c r="I527" s="42" t="s">
        <v>468</v>
      </c>
      <c r="J527" s="10">
        <v>20000</v>
      </c>
      <c r="K527" s="7">
        <v>-20000</v>
      </c>
      <c r="L527" s="1" t="s">
        <v>666</v>
      </c>
    </row>
    <row r="528" spans="1:13">
      <c r="A528" s="21" t="str">
        <f>TEXT(TEXT(B528,"yyyymmdd"),"00000000")&amp;TEXT(COUNTIF($B$2:B528,B528),"00")</f>
        <v>2023040301</v>
      </c>
      <c r="B528" s="21">
        <f t="shared" si="8"/>
        <v>45019</v>
      </c>
      <c r="C528" s="22">
        <v>2023</v>
      </c>
      <c r="D528" s="23">
        <v>4</v>
      </c>
      <c r="E528" s="24">
        <v>3</v>
      </c>
      <c r="F528" s="42" t="s">
        <v>17</v>
      </c>
      <c r="G528" s="42" t="s">
        <v>7</v>
      </c>
      <c r="H528" s="42" t="s">
        <v>138</v>
      </c>
      <c r="I528" s="42" t="s">
        <v>139</v>
      </c>
      <c r="J528" s="10">
        <v>10000</v>
      </c>
      <c r="K528" s="7">
        <v>-10000</v>
      </c>
      <c r="L528" s="1" t="s">
        <v>667</v>
      </c>
    </row>
    <row r="529" spans="1:13">
      <c r="A529" s="21" t="str">
        <f>TEXT(TEXT(B529,"yyyymmdd"),"00000000")&amp;TEXT(COUNTIF($B$2:B529,B529),"00")</f>
        <v>2023040302</v>
      </c>
      <c r="B529" s="21">
        <f t="shared" si="8"/>
        <v>45019</v>
      </c>
      <c r="C529" s="22">
        <v>2023</v>
      </c>
      <c r="D529" s="23">
        <v>4</v>
      </c>
      <c r="E529" s="24">
        <v>3</v>
      </c>
      <c r="F529" s="42" t="s">
        <v>17</v>
      </c>
      <c r="G529" s="42" t="s">
        <v>135</v>
      </c>
      <c r="H529" s="42" t="s">
        <v>135</v>
      </c>
      <c r="I529" s="42" t="s">
        <v>152</v>
      </c>
      <c r="J529" s="10">
        <v>-56840</v>
      </c>
      <c r="K529" s="7">
        <v>56840</v>
      </c>
      <c r="L529" s="1" t="s">
        <v>252</v>
      </c>
      <c r="M529" s="2" t="s">
        <v>668</v>
      </c>
    </row>
    <row r="530" spans="1:13">
      <c r="A530" s="21" t="str">
        <f>TEXT(TEXT(B530,"yyyymmdd"),"00000000")&amp;TEXT(COUNTIF($B$2:B530,B530),"00")</f>
        <v>2023040401</v>
      </c>
      <c r="B530" s="21">
        <f t="shared" si="8"/>
        <v>45020</v>
      </c>
      <c r="C530" s="22">
        <v>2023</v>
      </c>
      <c r="D530" s="23">
        <v>4</v>
      </c>
      <c r="E530" s="24">
        <v>4</v>
      </c>
      <c r="F530" s="42" t="s">
        <v>17</v>
      </c>
      <c r="G530" s="42" t="s">
        <v>13</v>
      </c>
      <c r="H530" s="42" t="s">
        <v>138</v>
      </c>
      <c r="I530" s="42" t="s">
        <v>139</v>
      </c>
      <c r="J530" s="10">
        <v>5000</v>
      </c>
      <c r="K530" s="7">
        <v>-5000</v>
      </c>
      <c r="L530" s="1" t="s">
        <v>676</v>
      </c>
      <c r="M530" s="2" t="s">
        <v>647</v>
      </c>
    </row>
    <row r="531" spans="1:13">
      <c r="A531" s="21" t="str">
        <f>TEXT(TEXT(B531,"yyyymmdd"),"00000000")&amp;TEXT(COUNTIF($B$2:B531,B531),"00")</f>
        <v>2023040402</v>
      </c>
      <c r="B531" s="21">
        <f t="shared" si="8"/>
        <v>45020</v>
      </c>
      <c r="C531" s="22">
        <v>2023</v>
      </c>
      <c r="D531" s="23">
        <v>4</v>
      </c>
      <c r="E531" s="24">
        <v>4</v>
      </c>
      <c r="F531" s="42" t="s">
        <v>17</v>
      </c>
      <c r="G531" s="42" t="s">
        <v>7</v>
      </c>
      <c r="H531" s="42" t="s">
        <v>167</v>
      </c>
      <c r="I531" s="42" t="s">
        <v>168</v>
      </c>
      <c r="J531" s="10">
        <v>1400</v>
      </c>
      <c r="K531" s="7">
        <v>-1400</v>
      </c>
      <c r="L531" s="1" t="s">
        <v>747</v>
      </c>
    </row>
    <row r="532" spans="1:13">
      <c r="A532" s="21" t="str">
        <f>TEXT(TEXT(B532,"yyyymmdd"),"00000000")&amp;TEXT(COUNTIF($B$2:B532,B532),"00")</f>
        <v>2023040501</v>
      </c>
      <c r="B532" s="21">
        <f t="shared" si="8"/>
        <v>45021</v>
      </c>
      <c r="C532" s="22">
        <v>2023</v>
      </c>
      <c r="D532" s="23">
        <v>4</v>
      </c>
      <c r="E532" s="24">
        <v>5</v>
      </c>
      <c r="F532" s="42" t="s">
        <v>17</v>
      </c>
      <c r="G532" s="42" t="s">
        <v>7</v>
      </c>
      <c r="H532" s="42" t="s">
        <v>173</v>
      </c>
      <c r="I532" s="42" t="s">
        <v>207</v>
      </c>
      <c r="J532" s="10">
        <v>5120</v>
      </c>
      <c r="K532" s="7">
        <v>-5120</v>
      </c>
      <c r="L532" s="1" t="s">
        <v>208</v>
      </c>
    </row>
    <row r="533" spans="1:13">
      <c r="A533" s="21" t="str">
        <f>TEXT(TEXT(B533,"yyyymmdd"),"00000000")&amp;TEXT(COUNTIF($B$2:B533,B533),"00")</f>
        <v>2023040502</v>
      </c>
      <c r="B533" s="21">
        <f t="shared" si="8"/>
        <v>45021</v>
      </c>
      <c r="C533" s="22">
        <v>2023</v>
      </c>
      <c r="D533" s="23">
        <v>4</v>
      </c>
      <c r="E533" s="24">
        <v>5</v>
      </c>
      <c r="F533" s="42" t="s">
        <v>17</v>
      </c>
      <c r="G533" s="42" t="s">
        <v>13</v>
      </c>
      <c r="H533" s="42" t="s">
        <v>138</v>
      </c>
      <c r="I533" s="42" t="s">
        <v>139</v>
      </c>
      <c r="J533" s="10">
        <v>11000</v>
      </c>
      <c r="K533" s="7">
        <v>-11000</v>
      </c>
      <c r="L533" s="1" t="s">
        <v>670</v>
      </c>
    </row>
    <row r="534" spans="1:13">
      <c r="A534" s="21" t="str">
        <f>TEXT(TEXT(B534,"yyyymmdd"),"00000000")&amp;TEXT(COUNTIF($B$2:B534,B534),"00")</f>
        <v>2023040503</v>
      </c>
      <c r="B534" s="21">
        <f t="shared" si="8"/>
        <v>45021</v>
      </c>
      <c r="C534" s="22">
        <v>2023</v>
      </c>
      <c r="D534" s="23">
        <v>4</v>
      </c>
      <c r="E534" s="24">
        <v>5</v>
      </c>
      <c r="F534" s="42" t="s">
        <v>17</v>
      </c>
      <c r="G534" s="42" t="s">
        <v>7</v>
      </c>
      <c r="H534" s="42" t="s">
        <v>167</v>
      </c>
      <c r="I534" s="42" t="s">
        <v>168</v>
      </c>
      <c r="J534" s="10">
        <v>2000</v>
      </c>
      <c r="K534" s="7">
        <v>-2000</v>
      </c>
      <c r="L534" s="1" t="s">
        <v>671</v>
      </c>
      <c r="M534" s="2" t="s">
        <v>672</v>
      </c>
    </row>
    <row r="535" spans="1:13">
      <c r="A535" s="21" t="str">
        <f>TEXT(TEXT(B535,"yyyymmdd"),"00000000")&amp;TEXT(COUNTIF($B$2:B535,B535),"00")</f>
        <v>2023040601</v>
      </c>
      <c r="B535" s="21">
        <f t="shared" si="8"/>
        <v>45022</v>
      </c>
      <c r="C535" s="22">
        <v>2023</v>
      </c>
      <c r="D535" s="23">
        <v>4</v>
      </c>
      <c r="E535" s="24">
        <v>6</v>
      </c>
      <c r="F535" s="42" t="s">
        <v>17</v>
      </c>
      <c r="G535" s="42" t="s">
        <v>13</v>
      </c>
      <c r="H535" s="42" t="s">
        <v>138</v>
      </c>
      <c r="I535" s="42" t="s">
        <v>139</v>
      </c>
      <c r="J535" s="10">
        <v>5000</v>
      </c>
      <c r="K535" s="7">
        <v>-5000</v>
      </c>
      <c r="L535" s="1" t="s">
        <v>619</v>
      </c>
    </row>
    <row r="536" spans="1:13">
      <c r="A536" s="21" t="str">
        <f>TEXT(TEXT(B536,"yyyymmdd"),"00000000")&amp;TEXT(COUNTIF($B$2:B536,B536),"00")</f>
        <v>2023040701</v>
      </c>
      <c r="B536" s="21">
        <f t="shared" si="8"/>
        <v>45023</v>
      </c>
      <c r="C536" s="22">
        <v>2023</v>
      </c>
      <c r="D536" s="23">
        <v>4</v>
      </c>
      <c r="E536" s="24">
        <v>7</v>
      </c>
      <c r="F536" s="42" t="s">
        <v>17</v>
      </c>
      <c r="G536" s="42" t="s">
        <v>135</v>
      </c>
      <c r="H536" s="42" t="s">
        <v>135</v>
      </c>
      <c r="I536" s="42" t="s">
        <v>143</v>
      </c>
      <c r="J536" s="10">
        <v>-10000</v>
      </c>
      <c r="K536" s="7">
        <v>10000</v>
      </c>
      <c r="L536" s="1" t="s">
        <v>165</v>
      </c>
    </row>
    <row r="537" spans="1:13">
      <c r="A537" s="21" t="str">
        <f>TEXT(TEXT(B537,"yyyymmdd"),"00000000")&amp;TEXT(COUNTIF($B$2:B537,B537),"00")</f>
        <v>2023041001</v>
      </c>
      <c r="B537" s="21">
        <f t="shared" si="8"/>
        <v>45026</v>
      </c>
      <c r="C537" s="22">
        <v>2023</v>
      </c>
      <c r="D537" s="23">
        <v>4</v>
      </c>
      <c r="E537" s="24">
        <v>10</v>
      </c>
      <c r="F537" s="42" t="s">
        <v>17</v>
      </c>
      <c r="G537" s="42" t="s">
        <v>13</v>
      </c>
      <c r="H537" s="42" t="s">
        <v>138</v>
      </c>
      <c r="I537" s="42" t="s">
        <v>139</v>
      </c>
      <c r="J537" s="10">
        <v>5000</v>
      </c>
      <c r="K537" s="7">
        <v>-5000</v>
      </c>
      <c r="L537" s="1" t="s">
        <v>619</v>
      </c>
    </row>
    <row r="538" spans="1:13">
      <c r="A538" s="21" t="str">
        <f>TEXT(TEXT(B538,"yyyymmdd"),"00000000")&amp;TEXT(COUNTIF($B$2:B538,B538),"00")</f>
        <v>2023041002</v>
      </c>
      <c r="B538" s="21">
        <f t="shared" si="8"/>
        <v>45026</v>
      </c>
      <c r="C538" s="22">
        <v>2023</v>
      </c>
      <c r="D538" s="23">
        <v>4</v>
      </c>
      <c r="E538" s="24">
        <v>10</v>
      </c>
      <c r="F538" s="42" t="s">
        <v>17</v>
      </c>
      <c r="G538" s="42" t="s">
        <v>13</v>
      </c>
      <c r="H538" s="42" t="s">
        <v>138</v>
      </c>
      <c r="I538" s="42" t="s">
        <v>139</v>
      </c>
      <c r="J538" s="10">
        <v>6500</v>
      </c>
      <c r="K538" s="7">
        <v>-6500</v>
      </c>
      <c r="L538" s="1" t="s">
        <v>673</v>
      </c>
      <c r="M538" s="2" t="s">
        <v>674</v>
      </c>
    </row>
    <row r="539" spans="1:13">
      <c r="A539" s="21" t="str">
        <f>TEXT(TEXT(B539,"yyyymmdd"),"00000000")&amp;TEXT(COUNTIF($B$2:B539,B539),"00")</f>
        <v>2023041101</v>
      </c>
      <c r="B539" s="21">
        <f t="shared" si="8"/>
        <v>45027</v>
      </c>
      <c r="C539" s="22">
        <v>2023</v>
      </c>
      <c r="D539" s="23">
        <v>4</v>
      </c>
      <c r="E539" s="24">
        <v>11</v>
      </c>
      <c r="F539" s="42" t="s">
        <v>17</v>
      </c>
      <c r="G539" s="42" t="s">
        <v>13</v>
      </c>
      <c r="H539" s="42" t="s">
        <v>138</v>
      </c>
      <c r="I539" s="42" t="s">
        <v>139</v>
      </c>
      <c r="J539" s="10">
        <v>5000</v>
      </c>
      <c r="K539" s="7">
        <v>-5000</v>
      </c>
      <c r="L539" s="1" t="s">
        <v>619</v>
      </c>
    </row>
    <row r="540" spans="1:13">
      <c r="A540" s="21" t="str">
        <f>TEXT(TEXT(B540,"yyyymmdd"),"00000000")&amp;TEXT(COUNTIF($B$2:B540,B540),"00")</f>
        <v>2023041201</v>
      </c>
      <c r="B540" s="21">
        <f t="shared" si="8"/>
        <v>45028</v>
      </c>
      <c r="C540" s="22">
        <v>2023</v>
      </c>
      <c r="D540" s="23">
        <v>4</v>
      </c>
      <c r="E540" s="24">
        <v>12</v>
      </c>
      <c r="F540" s="42" t="s">
        <v>17</v>
      </c>
      <c r="G540" s="42" t="s">
        <v>13</v>
      </c>
      <c r="H540" s="42" t="s">
        <v>167</v>
      </c>
      <c r="I540" s="42" t="s">
        <v>168</v>
      </c>
      <c r="J540" s="10">
        <v>3600</v>
      </c>
      <c r="K540" s="7">
        <v>-3600</v>
      </c>
      <c r="L540" s="1" t="s">
        <v>747</v>
      </c>
    </row>
    <row r="541" spans="1:13">
      <c r="A541" s="21" t="str">
        <f>TEXT(TEXT(B541,"yyyymmdd"),"00000000")&amp;TEXT(COUNTIF($B$2:B541,B541),"00")</f>
        <v>2023041301</v>
      </c>
      <c r="B541" s="21">
        <f t="shared" si="8"/>
        <v>45029</v>
      </c>
      <c r="C541" s="22">
        <v>2023</v>
      </c>
      <c r="D541" s="23">
        <v>4</v>
      </c>
      <c r="E541" s="24">
        <v>13</v>
      </c>
      <c r="F541" s="42" t="s">
        <v>17</v>
      </c>
      <c r="G541" s="42" t="s">
        <v>135</v>
      </c>
      <c r="H541" s="42" t="s">
        <v>135</v>
      </c>
      <c r="I541" s="42" t="s">
        <v>143</v>
      </c>
      <c r="J541" s="10">
        <v>-2500</v>
      </c>
      <c r="K541" s="7">
        <v>2500</v>
      </c>
      <c r="L541" s="1" t="s">
        <v>592</v>
      </c>
    </row>
    <row r="542" spans="1:13">
      <c r="A542" s="21" t="str">
        <f>TEXT(TEXT(B542,"yyyymmdd"),"00000000")&amp;TEXT(COUNTIF($B$2:B542,B542),"00")</f>
        <v>2023041302</v>
      </c>
      <c r="B542" s="21">
        <f t="shared" si="8"/>
        <v>45029</v>
      </c>
      <c r="C542" s="22">
        <v>2023</v>
      </c>
      <c r="D542" s="23">
        <v>4</v>
      </c>
      <c r="E542" s="24">
        <v>13</v>
      </c>
      <c r="F542" s="42" t="s">
        <v>17</v>
      </c>
      <c r="G542" s="42" t="s">
        <v>13</v>
      </c>
      <c r="H542" s="42" t="s">
        <v>138</v>
      </c>
      <c r="I542" s="42" t="s">
        <v>139</v>
      </c>
      <c r="J542" s="10">
        <v>5000</v>
      </c>
      <c r="K542" s="7">
        <v>-5000</v>
      </c>
      <c r="L542" s="1" t="s">
        <v>676</v>
      </c>
    </row>
    <row r="543" spans="1:13">
      <c r="A543" s="21" t="str">
        <f>TEXT(TEXT(B543,"yyyymmdd"),"00000000")&amp;TEXT(COUNTIF($B$2:B543,B543),"00")</f>
        <v>2023041303</v>
      </c>
      <c r="B543" s="21">
        <f t="shared" si="8"/>
        <v>45029</v>
      </c>
      <c r="C543" s="22">
        <v>2023</v>
      </c>
      <c r="D543" s="23">
        <v>4</v>
      </c>
      <c r="E543" s="24">
        <v>13</v>
      </c>
      <c r="F543" s="42" t="s">
        <v>17</v>
      </c>
      <c r="G543" s="42" t="s">
        <v>13</v>
      </c>
      <c r="H543" s="42" t="s">
        <v>138</v>
      </c>
      <c r="I543" s="42" t="s">
        <v>139</v>
      </c>
      <c r="J543" s="10">
        <v>5500</v>
      </c>
      <c r="K543" s="7">
        <v>-5500</v>
      </c>
      <c r="L543" s="1" t="s">
        <v>675</v>
      </c>
    </row>
    <row r="544" spans="1:13">
      <c r="A544" s="21" t="str">
        <f>TEXT(TEXT(B544,"yyyymmdd"),"00000000")&amp;TEXT(COUNTIF($B$2:B544,B544),"00")</f>
        <v>2023041304</v>
      </c>
      <c r="B544" s="21">
        <f t="shared" si="8"/>
        <v>45029</v>
      </c>
      <c r="C544" s="22">
        <v>2023</v>
      </c>
      <c r="D544" s="23">
        <v>4</v>
      </c>
      <c r="E544" s="24">
        <v>13</v>
      </c>
      <c r="F544" s="42" t="s">
        <v>17</v>
      </c>
      <c r="G544" s="42" t="s">
        <v>13</v>
      </c>
      <c r="H544" s="42" t="s">
        <v>138</v>
      </c>
      <c r="I544" s="42" t="s">
        <v>139</v>
      </c>
      <c r="J544" s="10">
        <v>5000</v>
      </c>
      <c r="K544" s="7">
        <v>-5000</v>
      </c>
      <c r="L544" s="1" t="s">
        <v>619</v>
      </c>
    </row>
    <row r="545" spans="1:13">
      <c r="A545" s="21" t="str">
        <f>TEXT(TEXT(B545,"yyyymmdd"),"00000000")&amp;TEXT(COUNTIF($B$2:B545,B545),"00")</f>
        <v>2023041305</v>
      </c>
      <c r="B545" s="21">
        <f t="shared" si="8"/>
        <v>45029</v>
      </c>
      <c r="C545" s="22">
        <v>2023</v>
      </c>
      <c r="D545" s="23">
        <v>4</v>
      </c>
      <c r="E545" s="24">
        <v>13</v>
      </c>
      <c r="F545" s="42" t="s">
        <v>17</v>
      </c>
      <c r="G545" s="42" t="s">
        <v>7</v>
      </c>
      <c r="H545" s="42" t="s">
        <v>167</v>
      </c>
      <c r="I545" s="42" t="s">
        <v>168</v>
      </c>
      <c r="J545" s="10">
        <v>1300</v>
      </c>
      <c r="K545" s="7">
        <v>-1300</v>
      </c>
      <c r="L545" s="1" t="s">
        <v>747</v>
      </c>
    </row>
    <row r="546" spans="1:13">
      <c r="A546" s="21" t="str">
        <f>TEXT(TEXT(B546,"yyyymmdd"),"00000000")&amp;TEXT(COUNTIF($B$2:B546,B546),"00")</f>
        <v>2023041401</v>
      </c>
      <c r="B546" s="21">
        <f t="shared" si="8"/>
        <v>45030</v>
      </c>
      <c r="C546" s="22">
        <v>2023</v>
      </c>
      <c r="D546" s="23">
        <v>4</v>
      </c>
      <c r="E546" s="24">
        <v>14</v>
      </c>
      <c r="F546" s="42" t="s">
        <v>17</v>
      </c>
      <c r="G546" s="42" t="s">
        <v>13</v>
      </c>
      <c r="H546" s="42" t="s">
        <v>138</v>
      </c>
      <c r="I546" s="42" t="s">
        <v>139</v>
      </c>
      <c r="J546" s="10">
        <v>7500</v>
      </c>
      <c r="K546" s="7">
        <v>-7500</v>
      </c>
      <c r="L546" s="1" t="s">
        <v>677</v>
      </c>
    </row>
    <row r="547" spans="1:13">
      <c r="A547" s="21" t="str">
        <f>TEXT(TEXT(B547,"yyyymmdd"),"00000000")&amp;TEXT(COUNTIF($B$2:B547,B547),"00")</f>
        <v>2023041402</v>
      </c>
      <c r="B547" s="21">
        <f t="shared" si="8"/>
        <v>45030</v>
      </c>
      <c r="C547" s="22">
        <v>2023</v>
      </c>
      <c r="D547" s="23">
        <v>4</v>
      </c>
      <c r="E547" s="24">
        <v>14</v>
      </c>
      <c r="F547" s="42" t="s">
        <v>17</v>
      </c>
      <c r="G547" s="42" t="s">
        <v>13</v>
      </c>
      <c r="H547" s="42" t="s">
        <v>113</v>
      </c>
      <c r="I547" s="42" t="s">
        <v>171</v>
      </c>
      <c r="J547" s="10">
        <v>15000</v>
      </c>
      <c r="K547" s="7">
        <v>-15000</v>
      </c>
      <c r="L547" s="1" t="s">
        <v>502</v>
      </c>
    </row>
    <row r="548" spans="1:13">
      <c r="A548" s="21" t="str">
        <f>TEXT(TEXT(B548,"yyyymmdd"),"00000000")&amp;TEXT(COUNTIF($B$2:B548,B548),"00")</f>
        <v>2023041701</v>
      </c>
      <c r="B548" s="21">
        <f t="shared" si="8"/>
        <v>45033</v>
      </c>
      <c r="C548" s="22">
        <v>2023</v>
      </c>
      <c r="D548" s="23">
        <v>4</v>
      </c>
      <c r="E548" s="24">
        <v>17</v>
      </c>
      <c r="F548" s="42" t="s">
        <v>17</v>
      </c>
      <c r="G548" s="42" t="s">
        <v>13</v>
      </c>
      <c r="H548" s="42" t="s">
        <v>138</v>
      </c>
      <c r="I548" s="42" t="s">
        <v>139</v>
      </c>
      <c r="J548" s="10">
        <v>5000</v>
      </c>
      <c r="K548" s="7">
        <v>-5000</v>
      </c>
      <c r="L548" s="1" t="s">
        <v>619</v>
      </c>
    </row>
    <row r="549" spans="1:13">
      <c r="A549" s="21" t="str">
        <f>TEXT(TEXT(B549,"yyyymmdd"),"00000000")&amp;TEXT(COUNTIF($B$2:B549,B549),"00")</f>
        <v>2023041702</v>
      </c>
      <c r="B549" s="21">
        <f t="shared" si="8"/>
        <v>45033</v>
      </c>
      <c r="C549" s="22">
        <v>2023</v>
      </c>
      <c r="D549" s="23">
        <v>4</v>
      </c>
      <c r="E549" s="24">
        <v>17</v>
      </c>
      <c r="F549" s="42" t="s">
        <v>17</v>
      </c>
      <c r="G549" s="42" t="s">
        <v>13</v>
      </c>
      <c r="H549" s="42" t="s">
        <v>138</v>
      </c>
      <c r="I549" s="42" t="s">
        <v>139</v>
      </c>
      <c r="J549" s="10">
        <v>5000</v>
      </c>
      <c r="K549" s="7">
        <v>-5000</v>
      </c>
      <c r="L549" s="1" t="s">
        <v>619</v>
      </c>
    </row>
    <row r="550" spans="1:13">
      <c r="A550" s="21" t="str">
        <f>TEXT(TEXT(B550,"yyyymmdd"),"00000000")&amp;TEXT(COUNTIF($B$2:B550,B550),"00")</f>
        <v>2023041703</v>
      </c>
      <c r="B550" s="21">
        <f t="shared" si="8"/>
        <v>45033</v>
      </c>
      <c r="C550" s="22">
        <v>2023</v>
      </c>
      <c r="D550" s="23">
        <v>4</v>
      </c>
      <c r="E550" s="24">
        <v>17</v>
      </c>
      <c r="F550" s="42" t="s">
        <v>17</v>
      </c>
      <c r="G550" s="42" t="s">
        <v>7</v>
      </c>
      <c r="H550" s="42" t="s">
        <v>186</v>
      </c>
      <c r="I550" s="42" t="s">
        <v>276</v>
      </c>
      <c r="J550" s="10">
        <v>22</v>
      </c>
      <c r="K550" s="7">
        <v>-22</v>
      </c>
      <c r="L550" s="1" t="s">
        <v>687</v>
      </c>
      <c r="M550" s="2" t="s">
        <v>688</v>
      </c>
    </row>
    <row r="551" spans="1:13">
      <c r="A551" s="21" t="str">
        <f>TEXT(TEXT(B551,"yyyymmdd"),"00000000")&amp;TEXT(COUNTIF($B$2:B551,B551),"00")</f>
        <v>2023041801</v>
      </c>
      <c r="B551" s="21">
        <f t="shared" si="8"/>
        <v>45034</v>
      </c>
      <c r="C551" s="22">
        <v>2023</v>
      </c>
      <c r="D551" s="23">
        <v>4</v>
      </c>
      <c r="E551" s="24">
        <v>18</v>
      </c>
      <c r="F551" s="42" t="s">
        <v>17</v>
      </c>
      <c r="G551" s="42" t="s">
        <v>13</v>
      </c>
      <c r="H551" s="42" t="s">
        <v>138</v>
      </c>
      <c r="I551" s="42" t="s">
        <v>139</v>
      </c>
      <c r="J551" s="10">
        <v>7000</v>
      </c>
      <c r="K551" s="7">
        <v>-7000</v>
      </c>
      <c r="L551" s="1" t="s">
        <v>679</v>
      </c>
      <c r="M551" s="2" t="s">
        <v>647</v>
      </c>
    </row>
    <row r="552" spans="1:13">
      <c r="A552" s="21" t="str">
        <f>TEXT(TEXT(B552,"yyyymmdd"),"00000000")&amp;TEXT(COUNTIF($B$2:B552,B552),"00")</f>
        <v>2023041901</v>
      </c>
      <c r="B552" s="21">
        <f t="shared" si="8"/>
        <v>45035</v>
      </c>
      <c r="C552" s="22">
        <v>2023</v>
      </c>
      <c r="D552" s="23">
        <v>4</v>
      </c>
      <c r="E552" s="24">
        <v>19</v>
      </c>
      <c r="F552" s="42" t="s">
        <v>17</v>
      </c>
      <c r="G552" s="42" t="s">
        <v>7</v>
      </c>
      <c r="H552" s="42" t="s">
        <v>173</v>
      </c>
      <c r="I552" s="42" t="s">
        <v>207</v>
      </c>
      <c r="J552" s="10">
        <v>8400</v>
      </c>
      <c r="K552" s="7">
        <v>-8400</v>
      </c>
      <c r="L552" s="1" t="s">
        <v>208</v>
      </c>
    </row>
    <row r="553" spans="1:13">
      <c r="A553" s="21" t="str">
        <f>TEXT(TEXT(B553,"yyyymmdd"),"00000000")&amp;TEXT(COUNTIF($B$2:B553,B553),"00")</f>
        <v>2023042001</v>
      </c>
      <c r="B553" s="21">
        <f t="shared" si="8"/>
        <v>45036</v>
      </c>
      <c r="C553" s="22">
        <v>2023</v>
      </c>
      <c r="D553" s="23">
        <v>4</v>
      </c>
      <c r="E553" s="24">
        <v>20</v>
      </c>
      <c r="F553" s="42" t="s">
        <v>17</v>
      </c>
      <c r="G553" s="42" t="s">
        <v>13</v>
      </c>
      <c r="H553" s="42" t="s">
        <v>138</v>
      </c>
      <c r="I553" s="42" t="s">
        <v>139</v>
      </c>
      <c r="J553" s="10">
        <v>5000</v>
      </c>
      <c r="K553" s="7">
        <v>-5000</v>
      </c>
      <c r="L553" s="1" t="s">
        <v>619</v>
      </c>
    </row>
    <row r="554" spans="1:13">
      <c r="A554" s="21" t="str">
        <f>TEXT(TEXT(B554,"yyyymmdd"),"00000000")&amp;TEXT(COUNTIF($B$2:B554,B554),"00")</f>
        <v>2023042002</v>
      </c>
      <c r="B554" s="21">
        <f t="shared" si="8"/>
        <v>45036</v>
      </c>
      <c r="C554" s="22">
        <v>2023</v>
      </c>
      <c r="D554" s="23">
        <v>4</v>
      </c>
      <c r="E554" s="24">
        <v>20</v>
      </c>
      <c r="F554" s="42" t="s">
        <v>17</v>
      </c>
      <c r="G554" s="42" t="s">
        <v>13</v>
      </c>
      <c r="H554" s="42" t="s">
        <v>167</v>
      </c>
      <c r="I554" s="42" t="s">
        <v>168</v>
      </c>
      <c r="J554" s="10">
        <v>3700</v>
      </c>
      <c r="K554" s="7">
        <v>-3700</v>
      </c>
      <c r="L554" s="1" t="s">
        <v>747</v>
      </c>
    </row>
    <row r="555" spans="1:13">
      <c r="A555" s="21" t="str">
        <f>TEXT(TEXT(B555,"yyyymmdd"),"00000000")&amp;TEXT(COUNTIF($B$2:B555,B555),"00")</f>
        <v>2023042101</v>
      </c>
      <c r="B555" s="21">
        <f t="shared" si="8"/>
        <v>45037</v>
      </c>
      <c r="C555" s="22">
        <v>2023</v>
      </c>
      <c r="D555" s="23">
        <v>4</v>
      </c>
      <c r="E555" s="24">
        <v>21</v>
      </c>
      <c r="F555" s="42" t="s">
        <v>17</v>
      </c>
      <c r="G555" s="42" t="s">
        <v>13</v>
      </c>
      <c r="H555" s="42" t="s">
        <v>138</v>
      </c>
      <c r="I555" s="42" t="s">
        <v>139</v>
      </c>
      <c r="J555" s="10">
        <v>9500</v>
      </c>
      <c r="K555" s="7">
        <v>-9500</v>
      </c>
      <c r="L555" s="1" t="s">
        <v>680</v>
      </c>
      <c r="M555" s="2" t="s">
        <v>681</v>
      </c>
    </row>
    <row r="556" spans="1:13">
      <c r="A556" s="21" t="str">
        <f>TEXT(TEXT(B556,"yyyymmdd"),"00000000")&amp;TEXT(COUNTIF($B$2:B556,B556),"00")</f>
        <v>2023042102</v>
      </c>
      <c r="B556" s="21">
        <f t="shared" si="8"/>
        <v>45037</v>
      </c>
      <c r="C556" s="22">
        <v>2023</v>
      </c>
      <c r="D556" s="23">
        <v>4</v>
      </c>
      <c r="E556" s="24">
        <v>21</v>
      </c>
      <c r="F556" s="42" t="s">
        <v>17</v>
      </c>
      <c r="G556" s="42" t="s">
        <v>13</v>
      </c>
      <c r="H556" s="42" t="s">
        <v>138</v>
      </c>
      <c r="I556" s="42" t="s">
        <v>139</v>
      </c>
      <c r="J556" s="10">
        <v>7000</v>
      </c>
      <c r="K556" s="7">
        <v>-7000</v>
      </c>
      <c r="L556" s="1" t="s">
        <v>673</v>
      </c>
    </row>
    <row r="557" spans="1:13">
      <c r="A557" s="21" t="str">
        <f>TEXT(TEXT(B557,"yyyymmdd"),"00000000")&amp;TEXT(COUNTIF($B$2:B557,B557),"00")</f>
        <v>2023042401</v>
      </c>
      <c r="B557" s="21">
        <f t="shared" si="8"/>
        <v>45040</v>
      </c>
      <c r="C557" s="22">
        <v>2023</v>
      </c>
      <c r="D557" s="23">
        <v>4</v>
      </c>
      <c r="E557" s="24">
        <v>24</v>
      </c>
      <c r="F557" s="42" t="s">
        <v>17</v>
      </c>
      <c r="G557" s="42" t="s">
        <v>13</v>
      </c>
      <c r="H557" s="42" t="s">
        <v>138</v>
      </c>
      <c r="I557" s="42" t="s">
        <v>139</v>
      </c>
      <c r="J557" s="10">
        <v>5000</v>
      </c>
      <c r="K557" s="7">
        <v>-5000</v>
      </c>
      <c r="L557" s="1" t="s">
        <v>619</v>
      </c>
    </row>
    <row r="558" spans="1:13">
      <c r="A558" s="21" t="str">
        <f>TEXT(TEXT(B558,"yyyymmdd"),"00000000")&amp;TEXT(COUNTIF($B$2:B558,B558),"00")</f>
        <v>2023042402</v>
      </c>
      <c r="B558" s="21">
        <f t="shared" si="8"/>
        <v>45040</v>
      </c>
      <c r="C558" s="22">
        <v>2023</v>
      </c>
      <c r="D558" s="23">
        <v>4</v>
      </c>
      <c r="E558" s="24">
        <v>24</v>
      </c>
      <c r="F558" s="42" t="s">
        <v>17</v>
      </c>
      <c r="G558" s="42" t="s">
        <v>7</v>
      </c>
      <c r="H558" s="42" t="s">
        <v>119</v>
      </c>
      <c r="I558" s="42" t="s">
        <v>180</v>
      </c>
      <c r="J558" s="10">
        <v>18542</v>
      </c>
      <c r="K558" s="7">
        <v>-18542</v>
      </c>
      <c r="L558" s="1" t="s">
        <v>181</v>
      </c>
      <c r="M558" s="2" t="s">
        <v>684</v>
      </c>
    </row>
    <row r="559" spans="1:13">
      <c r="A559" s="21" t="str">
        <f>TEXT(TEXT(B559,"yyyymmdd"),"00000000")&amp;TEXT(COUNTIF($B$2:B559,B559),"00")</f>
        <v>2023042403</v>
      </c>
      <c r="B559" s="21">
        <f t="shared" si="8"/>
        <v>45040</v>
      </c>
      <c r="C559" s="22">
        <v>2023</v>
      </c>
      <c r="D559" s="23">
        <v>4</v>
      </c>
      <c r="E559" s="24">
        <v>24</v>
      </c>
      <c r="F559" s="42" t="s">
        <v>17</v>
      </c>
      <c r="G559" s="42" t="s">
        <v>7</v>
      </c>
      <c r="H559" s="42" t="s">
        <v>115</v>
      </c>
      <c r="I559" s="42" t="s">
        <v>630</v>
      </c>
      <c r="J559" s="10">
        <v>3000</v>
      </c>
      <c r="K559" s="7">
        <v>-3000</v>
      </c>
      <c r="L559" s="1" t="s">
        <v>682</v>
      </c>
      <c r="M559" s="2" t="s">
        <v>683</v>
      </c>
    </row>
    <row r="560" spans="1:13">
      <c r="A560" s="21" t="str">
        <f>TEXT(TEXT(B560,"yyyymmdd"),"00000000")&amp;TEXT(COUNTIF($B$2:B560,B560),"00")</f>
        <v>2023042501</v>
      </c>
      <c r="B560" s="21">
        <f t="shared" si="8"/>
        <v>45041</v>
      </c>
      <c r="C560" s="22">
        <v>2023</v>
      </c>
      <c r="D560" s="23">
        <v>4</v>
      </c>
      <c r="E560" s="24">
        <v>25</v>
      </c>
      <c r="F560" s="42" t="s">
        <v>17</v>
      </c>
      <c r="G560" s="42" t="s">
        <v>13</v>
      </c>
      <c r="H560" s="42" t="s">
        <v>138</v>
      </c>
      <c r="I560" s="42" t="s">
        <v>139</v>
      </c>
      <c r="J560" s="10">
        <v>10700</v>
      </c>
      <c r="K560" s="7">
        <v>-10700</v>
      </c>
      <c r="L560" s="1" t="s">
        <v>689</v>
      </c>
      <c r="M560" s="2" t="s">
        <v>686</v>
      </c>
    </row>
    <row r="561" spans="1:13">
      <c r="A561" s="21" t="str">
        <f>TEXT(TEXT(B561,"yyyymmdd"),"00000000")&amp;TEXT(COUNTIF($B$2:B561,B561),"00")</f>
        <v>2023042502</v>
      </c>
      <c r="B561" s="21">
        <f t="shared" si="8"/>
        <v>45041</v>
      </c>
      <c r="C561" s="22">
        <v>2023</v>
      </c>
      <c r="D561" s="23">
        <v>4</v>
      </c>
      <c r="E561" s="24">
        <v>25</v>
      </c>
      <c r="F561" s="42" t="s">
        <v>17</v>
      </c>
      <c r="G561" s="42" t="s">
        <v>13</v>
      </c>
      <c r="H561" s="42" t="s">
        <v>138</v>
      </c>
      <c r="I561" s="42" t="s">
        <v>139</v>
      </c>
      <c r="J561" s="10">
        <v>6000</v>
      </c>
      <c r="K561" s="7">
        <v>-6000</v>
      </c>
      <c r="L561" s="1" t="s">
        <v>619</v>
      </c>
    </row>
    <row r="562" spans="1:13">
      <c r="A562" s="21" t="str">
        <f>TEXT(TEXT(B562,"yyyymmdd"),"00000000")&amp;TEXT(COUNTIF($B$2:B562,B562),"00")</f>
        <v>2023042503</v>
      </c>
      <c r="B562" s="21">
        <f t="shared" si="8"/>
        <v>45041</v>
      </c>
      <c r="C562" s="22">
        <v>2023</v>
      </c>
      <c r="D562" s="23">
        <v>4</v>
      </c>
      <c r="E562" s="24">
        <v>25</v>
      </c>
      <c r="F562" s="42" t="s">
        <v>17</v>
      </c>
      <c r="G562" s="42" t="s">
        <v>13</v>
      </c>
      <c r="H562" s="42" t="s">
        <v>138</v>
      </c>
      <c r="I562" s="42" t="s">
        <v>139</v>
      </c>
      <c r="J562" s="10">
        <v>8000</v>
      </c>
      <c r="K562" s="7">
        <v>-8000</v>
      </c>
      <c r="L562" s="1" t="s">
        <v>685</v>
      </c>
    </row>
    <row r="563" spans="1:13">
      <c r="A563" s="21" t="str">
        <f>TEXT(TEXT(B563,"yyyymmdd"),"00000000")&amp;TEXT(COUNTIF($B$2:B563,B563),"00")</f>
        <v>2023042701</v>
      </c>
      <c r="B563" s="21">
        <f t="shared" si="8"/>
        <v>45043</v>
      </c>
      <c r="C563" s="22">
        <v>2023</v>
      </c>
      <c r="D563" s="23">
        <v>4</v>
      </c>
      <c r="E563" s="24">
        <v>27</v>
      </c>
      <c r="F563" s="42" t="s">
        <v>17</v>
      </c>
      <c r="G563" s="42" t="s">
        <v>13</v>
      </c>
      <c r="H563" s="42" t="s">
        <v>138</v>
      </c>
      <c r="I563" s="42" t="s">
        <v>139</v>
      </c>
      <c r="J563" s="10">
        <v>7000</v>
      </c>
      <c r="K563" s="7">
        <v>-7000</v>
      </c>
      <c r="L563" s="1" t="s">
        <v>1226</v>
      </c>
    </row>
    <row r="564" spans="1:13">
      <c r="A564" s="21" t="str">
        <f>TEXT(TEXT(B564,"yyyymmdd"),"00000000")&amp;TEXT(COUNTIF($B$2:B564,B564),"00")</f>
        <v>2023042702</v>
      </c>
      <c r="B564" s="21">
        <f t="shared" si="8"/>
        <v>45043</v>
      </c>
      <c r="C564" s="22">
        <v>2023</v>
      </c>
      <c r="D564" s="23">
        <v>4</v>
      </c>
      <c r="E564" s="24">
        <v>27</v>
      </c>
      <c r="F564" s="42" t="s">
        <v>17</v>
      </c>
      <c r="G564" s="42" t="s">
        <v>11</v>
      </c>
      <c r="H564" s="42" t="s">
        <v>99</v>
      </c>
      <c r="I564" s="42" t="s">
        <v>94</v>
      </c>
      <c r="J564" s="10">
        <v>-1951</v>
      </c>
      <c r="K564" s="7">
        <v>1951</v>
      </c>
      <c r="L564" s="1" t="s">
        <v>344</v>
      </c>
      <c r="M564" s="2" t="s">
        <v>690</v>
      </c>
    </row>
    <row r="565" spans="1:13">
      <c r="A565" s="21" t="str">
        <f>TEXT(TEXT(B565,"yyyymmdd"),"00000000")&amp;TEXT(COUNTIF($B$2:B565,B565),"00")</f>
        <v>2023042801</v>
      </c>
      <c r="B565" s="21">
        <f t="shared" si="8"/>
        <v>45044</v>
      </c>
      <c r="C565" s="22">
        <v>2023</v>
      </c>
      <c r="D565" s="23">
        <v>4</v>
      </c>
      <c r="E565" s="24">
        <v>28</v>
      </c>
      <c r="F565" s="42" t="s">
        <v>17</v>
      </c>
      <c r="G565" s="42" t="s">
        <v>7</v>
      </c>
      <c r="H565" s="42" t="s">
        <v>167</v>
      </c>
      <c r="I565" s="42" t="s">
        <v>168</v>
      </c>
      <c r="J565" s="10">
        <v>1800</v>
      </c>
      <c r="K565" s="7">
        <v>-1800</v>
      </c>
      <c r="L565" s="1" t="s">
        <v>532</v>
      </c>
    </row>
    <row r="566" spans="1:13">
      <c r="A566" s="21" t="str">
        <f>TEXT(TEXT(B566,"yyyymmdd"),"00000000")&amp;TEXT(COUNTIF($B$2:B566,B566),"00")</f>
        <v>2023042802</v>
      </c>
      <c r="B566" s="21">
        <f t="shared" si="8"/>
        <v>45044</v>
      </c>
      <c r="C566" s="22">
        <v>2023</v>
      </c>
      <c r="D566" s="23">
        <v>4</v>
      </c>
      <c r="E566" s="24">
        <v>28</v>
      </c>
      <c r="F566" s="42" t="s">
        <v>17</v>
      </c>
      <c r="G566" s="42" t="s">
        <v>13</v>
      </c>
      <c r="H566" s="42" t="s">
        <v>138</v>
      </c>
      <c r="I566" s="42" t="s">
        <v>139</v>
      </c>
      <c r="J566" s="10">
        <v>8000</v>
      </c>
      <c r="K566" s="7">
        <v>-8000</v>
      </c>
      <c r="L566" s="1" t="s">
        <v>693</v>
      </c>
    </row>
    <row r="567" spans="1:13">
      <c r="A567" s="21" t="str">
        <f>TEXT(TEXT(B567,"yyyymmdd"),"00000000")&amp;TEXT(COUNTIF($B$2:B567,B567),"00")</f>
        <v>2023042803</v>
      </c>
      <c r="B567" s="21">
        <f t="shared" si="8"/>
        <v>45044</v>
      </c>
      <c r="C567" s="22">
        <v>2023</v>
      </c>
      <c r="D567" s="23">
        <v>4</v>
      </c>
      <c r="E567" s="24">
        <v>28</v>
      </c>
      <c r="F567" s="42" t="s">
        <v>17</v>
      </c>
      <c r="G567" s="42" t="s">
        <v>7</v>
      </c>
      <c r="H567" s="42" t="s">
        <v>173</v>
      </c>
      <c r="I567" s="42" t="s">
        <v>207</v>
      </c>
      <c r="J567" s="10">
        <v>10000</v>
      </c>
      <c r="K567" s="7">
        <v>-10000</v>
      </c>
      <c r="L567" s="1" t="s">
        <v>691</v>
      </c>
      <c r="M567" s="2" t="s">
        <v>692</v>
      </c>
    </row>
    <row r="568" spans="1:13">
      <c r="A568" s="21" t="str">
        <f>TEXT(TEXT(B568,"yyyymmdd"),"00000000")&amp;TEXT(COUNTIF($B$2:B568,B568),"00")</f>
        <v>2023042901</v>
      </c>
      <c r="B568" s="21">
        <f t="shared" si="8"/>
        <v>45045</v>
      </c>
      <c r="C568" s="22">
        <v>2023</v>
      </c>
      <c r="D568" s="23">
        <v>4</v>
      </c>
      <c r="E568" s="24">
        <v>29</v>
      </c>
      <c r="F568" s="42" t="s">
        <v>17</v>
      </c>
      <c r="G568" s="42" t="s">
        <v>13</v>
      </c>
      <c r="H568" s="42" t="s">
        <v>138</v>
      </c>
      <c r="I568" s="42" t="s">
        <v>139</v>
      </c>
      <c r="J568" s="10">
        <v>13000</v>
      </c>
      <c r="K568" s="7">
        <v>-13000</v>
      </c>
      <c r="L568" s="1" t="s">
        <v>670</v>
      </c>
    </row>
    <row r="569" spans="1:13">
      <c r="A569" s="21" t="str">
        <f>TEXT(TEXT(B569,"yyyymmdd"),"00000000")&amp;TEXT(COUNTIF($B$2:B569,B569),"00")</f>
        <v>2023042902</v>
      </c>
      <c r="B569" s="21">
        <f t="shared" si="8"/>
        <v>45045</v>
      </c>
      <c r="C569" s="22">
        <v>2023</v>
      </c>
      <c r="D569" s="23">
        <v>4</v>
      </c>
      <c r="E569" s="24">
        <v>29</v>
      </c>
      <c r="F569" s="42" t="s">
        <v>17</v>
      </c>
      <c r="G569" s="42" t="s">
        <v>7</v>
      </c>
      <c r="H569" s="42" t="s">
        <v>116</v>
      </c>
      <c r="I569" s="42" t="s">
        <v>695</v>
      </c>
      <c r="J569" s="10">
        <v>10000</v>
      </c>
      <c r="K569" s="7">
        <v>-10000</v>
      </c>
      <c r="L569" s="1" t="s">
        <v>564</v>
      </c>
      <c r="M569" s="2" t="s">
        <v>696</v>
      </c>
    </row>
    <row r="570" spans="1:13">
      <c r="A570" s="21" t="str">
        <f>TEXT(TEXT(B570,"yyyymmdd"),"00000000")&amp;TEXT(COUNTIF($B$2:B570,B570),"00")</f>
        <v>2023042903</v>
      </c>
      <c r="B570" s="21">
        <f t="shared" si="8"/>
        <v>45045</v>
      </c>
      <c r="C570" s="22">
        <v>2023</v>
      </c>
      <c r="D570" s="23">
        <v>4</v>
      </c>
      <c r="E570" s="24">
        <v>29</v>
      </c>
      <c r="F570" s="42" t="s">
        <v>17</v>
      </c>
      <c r="G570" s="42" t="s">
        <v>7</v>
      </c>
      <c r="H570" s="42" t="s">
        <v>155</v>
      </c>
      <c r="I570" s="42" t="s">
        <v>221</v>
      </c>
      <c r="J570" s="10">
        <v>5130</v>
      </c>
      <c r="K570" s="7">
        <v>-5130</v>
      </c>
      <c r="L570" s="1" t="s">
        <v>698</v>
      </c>
      <c r="M570" s="2" t="s">
        <v>699</v>
      </c>
    </row>
    <row r="571" spans="1:13">
      <c r="A571" s="21" t="str">
        <f>TEXT(TEXT(B571,"yyyymmdd"),"00000000")&amp;TEXT(COUNTIF($B$2:B571,B571),"00")</f>
        <v>2023043001</v>
      </c>
      <c r="B571" s="21">
        <f t="shared" si="8"/>
        <v>45046</v>
      </c>
      <c r="C571" s="22">
        <v>2023</v>
      </c>
      <c r="D571" s="23">
        <v>4</v>
      </c>
      <c r="E571" s="24">
        <v>30</v>
      </c>
      <c r="F571" s="42" t="s">
        <v>17</v>
      </c>
      <c r="G571" s="42" t="s">
        <v>170</v>
      </c>
      <c r="H571" s="42" t="s">
        <v>155</v>
      </c>
      <c r="I571" s="42" t="s">
        <v>156</v>
      </c>
      <c r="J571" s="10">
        <v>2405</v>
      </c>
      <c r="K571" s="7">
        <v>-2405</v>
      </c>
      <c r="L571" s="1" t="s">
        <v>303</v>
      </c>
      <c r="M571" s="2" t="s">
        <v>697</v>
      </c>
    </row>
    <row r="572" spans="1:13">
      <c r="A572" s="21" t="str">
        <f>TEXT(TEXT(B572,"yyyymmdd"),"00000000")&amp;TEXT(COUNTIF($B$2:B572,B572),"00")</f>
        <v>2023050101</v>
      </c>
      <c r="B572" s="21">
        <f t="shared" si="8"/>
        <v>45047</v>
      </c>
      <c r="C572" s="22">
        <v>2023</v>
      </c>
      <c r="D572" s="23">
        <v>5</v>
      </c>
      <c r="E572" s="24">
        <v>1</v>
      </c>
      <c r="F572" s="42" t="s">
        <v>17</v>
      </c>
      <c r="G572" s="42" t="s">
        <v>13</v>
      </c>
      <c r="H572" s="42" t="s">
        <v>138</v>
      </c>
      <c r="I572" s="42" t="s">
        <v>139</v>
      </c>
      <c r="J572" s="10">
        <v>11000</v>
      </c>
      <c r="K572" s="7">
        <v>-11000</v>
      </c>
      <c r="L572" s="1" t="s">
        <v>701</v>
      </c>
      <c r="M572" s="2" t="s">
        <v>637</v>
      </c>
    </row>
    <row r="573" spans="1:13">
      <c r="A573" s="21" t="str">
        <f>TEXT(TEXT(B573,"yyyymmdd"),"00000000")&amp;TEXT(COUNTIF($B$2:B573,B573),"00")</f>
        <v>2023050102</v>
      </c>
      <c r="B573" s="21">
        <f t="shared" si="8"/>
        <v>45047</v>
      </c>
      <c r="C573" s="22">
        <v>2023</v>
      </c>
      <c r="D573" s="23">
        <v>5</v>
      </c>
      <c r="E573" s="24">
        <v>1</v>
      </c>
      <c r="F573" s="42" t="s">
        <v>17</v>
      </c>
      <c r="G573" s="42" t="s">
        <v>13</v>
      </c>
      <c r="H573" s="42" t="s">
        <v>138</v>
      </c>
      <c r="I573" s="42" t="s">
        <v>139</v>
      </c>
      <c r="J573" s="10">
        <v>9000</v>
      </c>
      <c r="K573" s="7">
        <v>-9000</v>
      </c>
      <c r="L573" s="1" t="s">
        <v>700</v>
      </c>
    </row>
    <row r="574" spans="1:13">
      <c r="A574" s="21" t="str">
        <f>TEXT(TEXT(B574,"yyyymmdd"),"00000000")&amp;TEXT(COUNTIF($B$2:B574,B574),"00")</f>
        <v>2023050201</v>
      </c>
      <c r="B574" s="21">
        <f t="shared" si="8"/>
        <v>45048</v>
      </c>
      <c r="C574" s="22">
        <v>2023</v>
      </c>
      <c r="D574" s="23">
        <v>5</v>
      </c>
      <c r="E574" s="24">
        <v>2</v>
      </c>
      <c r="F574" s="42" t="s">
        <v>17</v>
      </c>
      <c r="G574" s="42" t="s">
        <v>11</v>
      </c>
      <c r="H574" s="42" t="s">
        <v>99</v>
      </c>
      <c r="I574" s="42" t="s">
        <v>94</v>
      </c>
      <c r="J574" s="10">
        <v>-500000</v>
      </c>
      <c r="K574" s="7">
        <v>500000</v>
      </c>
      <c r="L574" s="1" t="s">
        <v>503</v>
      </c>
    </row>
    <row r="575" spans="1:13">
      <c r="A575" s="21" t="str">
        <f>TEXT(TEXT(B575,"yyyymmdd"),"00000000")&amp;TEXT(COUNTIF($B$2:B575,B575),"00")</f>
        <v>2023050202</v>
      </c>
      <c r="B575" s="21">
        <f t="shared" si="8"/>
        <v>45048</v>
      </c>
      <c r="C575" s="22">
        <v>2023</v>
      </c>
      <c r="D575" s="23">
        <v>5</v>
      </c>
      <c r="E575" s="24">
        <v>2</v>
      </c>
      <c r="F575" s="42" t="s">
        <v>498</v>
      </c>
      <c r="G575" s="42" t="s">
        <v>11</v>
      </c>
      <c r="H575" s="42" t="s">
        <v>99</v>
      </c>
      <c r="I575" s="42" t="s">
        <v>94</v>
      </c>
      <c r="J575" s="10">
        <v>500000</v>
      </c>
      <c r="K575" s="7">
        <v>-500000</v>
      </c>
      <c r="L575" s="1" t="s">
        <v>573</v>
      </c>
    </row>
    <row r="576" spans="1:13">
      <c r="A576" s="21" t="str">
        <f>TEXT(TEXT(B576,"yyyymmdd"),"00000000")&amp;TEXT(COUNTIF($B$2:B576,B576),"00")</f>
        <v>2023050203</v>
      </c>
      <c r="B576" s="21">
        <f t="shared" si="8"/>
        <v>45048</v>
      </c>
      <c r="C576" s="22">
        <v>2023</v>
      </c>
      <c r="D576" s="23">
        <v>5</v>
      </c>
      <c r="E576" s="24">
        <v>2</v>
      </c>
      <c r="F576" s="42" t="s">
        <v>17</v>
      </c>
      <c r="G576" s="42" t="s">
        <v>7</v>
      </c>
      <c r="H576" s="42" t="s">
        <v>138</v>
      </c>
      <c r="I576" s="42" t="s">
        <v>139</v>
      </c>
      <c r="J576" s="10">
        <v>21000</v>
      </c>
      <c r="K576" s="7">
        <v>-21000</v>
      </c>
      <c r="L576" s="1" t="s">
        <v>413</v>
      </c>
      <c r="M576" s="2" t="s">
        <v>708</v>
      </c>
    </row>
    <row r="577" spans="1:13">
      <c r="A577" s="21" t="str">
        <f>TEXT(TEXT(B577,"yyyymmdd"),"00000000")&amp;TEXT(COUNTIF($B$2:B577,B577),"00")</f>
        <v>2023050204</v>
      </c>
      <c r="B577" s="21">
        <f t="shared" si="8"/>
        <v>45048</v>
      </c>
      <c r="C577" s="22">
        <v>2023</v>
      </c>
      <c r="D577" s="23">
        <v>5</v>
      </c>
      <c r="E577" s="24">
        <v>2</v>
      </c>
      <c r="F577" s="42" t="s">
        <v>17</v>
      </c>
      <c r="G577" s="42" t="s">
        <v>7</v>
      </c>
      <c r="H577" s="42" t="s">
        <v>116</v>
      </c>
      <c r="I577" s="42" t="s">
        <v>225</v>
      </c>
      <c r="J577" s="10">
        <v>12000</v>
      </c>
      <c r="K577" s="7">
        <v>-12000</v>
      </c>
      <c r="L577" s="1" t="s">
        <v>702</v>
      </c>
    </row>
    <row r="578" spans="1:13">
      <c r="A578" s="21" t="str">
        <f>TEXT(TEXT(B578,"yyyymmdd"),"00000000")&amp;TEXT(COUNTIF($B$2:B578,B578),"00")</f>
        <v>2023050205</v>
      </c>
      <c r="B578" s="21">
        <f t="shared" ref="B578:B641" si="9">DATE(C578,D578,E578)</f>
        <v>45048</v>
      </c>
      <c r="C578" s="22">
        <v>2023</v>
      </c>
      <c r="D578" s="23">
        <v>5</v>
      </c>
      <c r="E578" s="24">
        <v>2</v>
      </c>
      <c r="F578" s="42" t="s">
        <v>17</v>
      </c>
      <c r="G578" s="42" t="s">
        <v>7</v>
      </c>
      <c r="H578" s="42" t="s">
        <v>173</v>
      </c>
      <c r="I578" s="42" t="s">
        <v>262</v>
      </c>
      <c r="J578" s="10">
        <v>1550</v>
      </c>
      <c r="K578" s="7">
        <v>-1550</v>
      </c>
      <c r="L578" s="1" t="s">
        <v>262</v>
      </c>
      <c r="M578" s="2" t="s">
        <v>704</v>
      </c>
    </row>
    <row r="579" spans="1:13">
      <c r="A579" s="21" t="str">
        <f>TEXT(TEXT(B579,"yyyymmdd"),"00000000")&amp;TEXT(COUNTIF($B$2:B579,B579),"00")</f>
        <v>2023050206</v>
      </c>
      <c r="B579" s="21">
        <f t="shared" si="9"/>
        <v>45048</v>
      </c>
      <c r="C579" s="22">
        <v>2023</v>
      </c>
      <c r="D579" s="23">
        <v>5</v>
      </c>
      <c r="E579" s="24">
        <v>2</v>
      </c>
      <c r="F579" s="42" t="s">
        <v>17</v>
      </c>
      <c r="G579" s="42" t="s">
        <v>7</v>
      </c>
      <c r="H579" s="42" t="s">
        <v>116</v>
      </c>
      <c r="I579" s="42" t="s">
        <v>212</v>
      </c>
      <c r="J579" s="10">
        <v>2000</v>
      </c>
      <c r="K579" s="7">
        <v>-2000</v>
      </c>
      <c r="L579" s="1" t="s">
        <v>703</v>
      </c>
      <c r="M579" s="2" t="s">
        <v>647</v>
      </c>
    </row>
    <row r="580" spans="1:13">
      <c r="A580" s="21" t="str">
        <f>TEXT(TEXT(B580,"yyyymmdd"),"00000000")&amp;TEXT(COUNTIF($B$2:B580,B580),"00")</f>
        <v>2023050301</v>
      </c>
      <c r="B580" s="21">
        <f t="shared" si="9"/>
        <v>45049</v>
      </c>
      <c r="C580" s="22">
        <v>2023</v>
      </c>
      <c r="D580" s="23">
        <v>5</v>
      </c>
      <c r="E580" s="24">
        <v>3</v>
      </c>
      <c r="F580" s="42" t="s">
        <v>17</v>
      </c>
      <c r="G580" s="42" t="s">
        <v>135</v>
      </c>
      <c r="H580" s="42" t="s">
        <v>135</v>
      </c>
      <c r="I580" s="42" t="s">
        <v>152</v>
      </c>
      <c r="J580" s="10">
        <v>-50</v>
      </c>
      <c r="K580" s="7">
        <v>50</v>
      </c>
      <c r="L580" s="1" t="s">
        <v>252</v>
      </c>
      <c r="M580" s="2" t="s">
        <v>707</v>
      </c>
    </row>
    <row r="581" spans="1:13">
      <c r="A581" s="21" t="str">
        <f>TEXT(TEXT(B581,"yyyymmdd"),"00000000")&amp;TEXT(COUNTIF($B$2:B581,B581),"00")</f>
        <v>2023050302</v>
      </c>
      <c r="B581" s="21">
        <f t="shared" si="9"/>
        <v>45049</v>
      </c>
      <c r="C581" s="22">
        <v>2023</v>
      </c>
      <c r="D581" s="23">
        <v>5</v>
      </c>
      <c r="E581" s="24">
        <v>3</v>
      </c>
      <c r="F581" s="42" t="s">
        <v>17</v>
      </c>
      <c r="G581" s="42" t="s">
        <v>13</v>
      </c>
      <c r="H581" s="42" t="s">
        <v>138</v>
      </c>
      <c r="I581" s="42" t="s">
        <v>139</v>
      </c>
      <c r="J581" s="10">
        <v>5000</v>
      </c>
      <c r="K581" s="7">
        <v>-5000</v>
      </c>
      <c r="L581" s="1" t="s">
        <v>619</v>
      </c>
    </row>
    <row r="582" spans="1:13">
      <c r="A582" s="21" t="str">
        <f>TEXT(TEXT(B582,"yyyymmdd"),"00000000")&amp;TEXT(COUNTIF($B$2:B582,B582),"00")</f>
        <v>2023050303</v>
      </c>
      <c r="B582" s="21">
        <f t="shared" si="9"/>
        <v>45049</v>
      </c>
      <c r="C582" s="22">
        <v>2023</v>
      </c>
      <c r="D582" s="23">
        <v>5</v>
      </c>
      <c r="E582" s="24">
        <v>3</v>
      </c>
      <c r="F582" s="42" t="s">
        <v>17</v>
      </c>
      <c r="G582" s="42" t="s">
        <v>13</v>
      </c>
      <c r="H582" s="42" t="s">
        <v>138</v>
      </c>
      <c r="I582" s="42" t="s">
        <v>139</v>
      </c>
      <c r="J582" s="10">
        <v>10500</v>
      </c>
      <c r="K582" s="7">
        <v>-10500</v>
      </c>
      <c r="L582" s="1" t="s">
        <v>709</v>
      </c>
      <c r="M582" s="2" t="s">
        <v>637</v>
      </c>
    </row>
    <row r="583" spans="1:13">
      <c r="A583" s="21" t="str">
        <f>TEXT(TEXT(B583,"yyyymmdd"),"00000000")&amp;TEXT(COUNTIF($B$2:B583,B583),"00")</f>
        <v>2023050304</v>
      </c>
      <c r="B583" s="21">
        <f t="shared" si="9"/>
        <v>45049</v>
      </c>
      <c r="C583" s="22">
        <v>2023</v>
      </c>
      <c r="D583" s="23">
        <v>5</v>
      </c>
      <c r="E583" s="24">
        <v>3</v>
      </c>
      <c r="F583" s="42" t="s">
        <v>17</v>
      </c>
      <c r="G583" s="42" t="s">
        <v>135</v>
      </c>
      <c r="H583" s="42" t="s">
        <v>135</v>
      </c>
      <c r="I583" s="42" t="s">
        <v>143</v>
      </c>
      <c r="J583" s="10">
        <v>-8000</v>
      </c>
      <c r="K583" s="7">
        <v>8000</v>
      </c>
      <c r="L583" s="1" t="s">
        <v>705</v>
      </c>
    </row>
    <row r="584" spans="1:13">
      <c r="A584" s="21" t="str">
        <f>TEXT(TEXT(B584,"yyyymmdd"),"00000000")&amp;TEXT(COUNTIF($B$2:B584,B584),"00")</f>
        <v>2023050305</v>
      </c>
      <c r="B584" s="21">
        <f t="shared" si="9"/>
        <v>45049</v>
      </c>
      <c r="C584" s="22">
        <v>2023</v>
      </c>
      <c r="D584" s="23">
        <v>5</v>
      </c>
      <c r="E584" s="24">
        <v>3</v>
      </c>
      <c r="F584" s="42" t="s">
        <v>17</v>
      </c>
      <c r="G584" s="42" t="s">
        <v>7</v>
      </c>
      <c r="H584" s="42" t="s">
        <v>110</v>
      </c>
      <c r="I584" s="42" t="s">
        <v>124</v>
      </c>
      <c r="J584" s="10">
        <v>7000</v>
      </c>
      <c r="K584" s="7">
        <v>-7000</v>
      </c>
      <c r="L584" s="1" t="s">
        <v>706</v>
      </c>
    </row>
    <row r="585" spans="1:13">
      <c r="A585" s="21" t="str">
        <f>TEXT(TEXT(B585,"yyyymmdd"),"00000000")&amp;TEXT(COUNTIF($B$2:B585,B585),"00")</f>
        <v>2023050401</v>
      </c>
      <c r="B585" s="21">
        <f t="shared" si="9"/>
        <v>45050</v>
      </c>
      <c r="C585" s="22">
        <v>2023</v>
      </c>
      <c r="D585" s="23">
        <v>5</v>
      </c>
      <c r="E585" s="24">
        <v>4</v>
      </c>
      <c r="F585" s="42" t="s">
        <v>17</v>
      </c>
      <c r="G585" s="42" t="s">
        <v>7</v>
      </c>
      <c r="H585" s="42" t="s">
        <v>173</v>
      </c>
      <c r="I585" s="42" t="s">
        <v>207</v>
      </c>
      <c r="J585" s="10">
        <v>5600</v>
      </c>
      <c r="K585" s="7">
        <v>-5600</v>
      </c>
      <c r="L585" s="1" t="s">
        <v>208</v>
      </c>
    </row>
    <row r="586" spans="1:13">
      <c r="A586" s="21" t="str">
        <f>TEXT(TEXT(B586,"yyyymmdd"),"00000000")&amp;TEXT(COUNTIF($B$2:B586,B586),"00")</f>
        <v>2023050402</v>
      </c>
      <c r="B586" s="21">
        <f t="shared" si="9"/>
        <v>45050</v>
      </c>
      <c r="C586" s="22">
        <v>2023</v>
      </c>
      <c r="D586" s="23">
        <v>5</v>
      </c>
      <c r="E586" s="24">
        <v>4</v>
      </c>
      <c r="F586" s="42" t="s">
        <v>17</v>
      </c>
      <c r="G586" s="42" t="s">
        <v>7</v>
      </c>
      <c r="H586" s="42" t="s">
        <v>32</v>
      </c>
      <c r="I586" s="42" t="s">
        <v>141</v>
      </c>
      <c r="J586" s="10">
        <v>500</v>
      </c>
      <c r="K586" s="7">
        <v>-500</v>
      </c>
      <c r="L586" s="1" t="s">
        <v>711</v>
      </c>
    </row>
    <row r="587" spans="1:13">
      <c r="A587" s="21" t="str">
        <f>TEXT(TEXT(B587,"yyyymmdd"),"00000000")&amp;TEXT(COUNTIF($B$2:B587,B587),"00")</f>
        <v>2023050403</v>
      </c>
      <c r="B587" s="21">
        <f t="shared" si="9"/>
        <v>45050</v>
      </c>
      <c r="C587" s="22">
        <v>2023</v>
      </c>
      <c r="D587" s="23">
        <v>5</v>
      </c>
      <c r="E587" s="24">
        <v>4</v>
      </c>
      <c r="F587" s="42" t="s">
        <v>17</v>
      </c>
      <c r="G587" s="42" t="s">
        <v>13</v>
      </c>
      <c r="H587" s="42" t="s">
        <v>138</v>
      </c>
      <c r="I587" s="42" t="s">
        <v>139</v>
      </c>
      <c r="J587" s="10">
        <v>10200</v>
      </c>
      <c r="K587" s="7">
        <v>-10200</v>
      </c>
      <c r="L587" s="1" t="s">
        <v>710</v>
      </c>
    </row>
    <row r="588" spans="1:13">
      <c r="A588" s="21" t="str">
        <f>TEXT(TEXT(B588,"yyyymmdd"),"00000000")&amp;TEXT(COUNTIF($B$2:B588,B588),"00")</f>
        <v>2023050501</v>
      </c>
      <c r="B588" s="21">
        <f t="shared" si="9"/>
        <v>45051</v>
      </c>
      <c r="C588" s="22">
        <v>2023</v>
      </c>
      <c r="D588" s="23">
        <v>5</v>
      </c>
      <c r="E588" s="24">
        <v>5</v>
      </c>
      <c r="F588" s="42" t="s">
        <v>17</v>
      </c>
      <c r="G588" s="42" t="s">
        <v>13</v>
      </c>
      <c r="H588" s="42" t="s">
        <v>138</v>
      </c>
      <c r="I588" s="42" t="s">
        <v>139</v>
      </c>
      <c r="J588" s="10">
        <v>7500</v>
      </c>
      <c r="K588" s="7">
        <v>-7500</v>
      </c>
      <c r="L588" s="1" t="s">
        <v>677</v>
      </c>
    </row>
    <row r="589" spans="1:13">
      <c r="A589" s="21" t="str">
        <f>TEXT(TEXT(B589,"yyyymmdd"),"00000000")&amp;TEXT(COUNTIF($B$2:B589,B589),"00")</f>
        <v>2023050502</v>
      </c>
      <c r="B589" s="21">
        <f t="shared" si="9"/>
        <v>45051</v>
      </c>
      <c r="C589" s="22">
        <v>2023</v>
      </c>
      <c r="D589" s="23">
        <v>5</v>
      </c>
      <c r="E589" s="24">
        <v>5</v>
      </c>
      <c r="F589" s="42" t="s">
        <v>17</v>
      </c>
      <c r="G589" s="42" t="s">
        <v>7</v>
      </c>
      <c r="H589" s="42" t="s">
        <v>110</v>
      </c>
      <c r="I589" s="42" t="s">
        <v>120</v>
      </c>
      <c r="J589" s="10">
        <v>2500</v>
      </c>
      <c r="K589" s="7">
        <v>-2500</v>
      </c>
      <c r="L589" s="1" t="s">
        <v>712</v>
      </c>
    </row>
    <row r="590" spans="1:13">
      <c r="A590" s="21" t="str">
        <f>TEXT(TEXT(B590,"yyyymmdd"),"00000000")&amp;TEXT(COUNTIF($B$2:B590,B590),"00")</f>
        <v>2023050601</v>
      </c>
      <c r="B590" s="21">
        <f t="shared" si="9"/>
        <v>45052</v>
      </c>
      <c r="C590" s="22">
        <v>2023</v>
      </c>
      <c r="D590" s="23">
        <v>5</v>
      </c>
      <c r="E590" s="24">
        <v>6</v>
      </c>
      <c r="F590" s="42" t="s">
        <v>17</v>
      </c>
      <c r="G590" s="42" t="s">
        <v>7</v>
      </c>
      <c r="H590" s="42" t="s">
        <v>116</v>
      </c>
      <c r="I590" s="42" t="s">
        <v>217</v>
      </c>
      <c r="J590" s="10">
        <v>45360</v>
      </c>
      <c r="K590" s="7">
        <v>-45360</v>
      </c>
      <c r="L590" s="1" t="s">
        <v>713</v>
      </c>
      <c r="M590" s="2" t="s">
        <v>714</v>
      </c>
    </row>
    <row r="591" spans="1:13">
      <c r="A591" s="21" t="str">
        <f>TEXT(TEXT(B591,"yyyymmdd"),"00000000")&amp;TEXT(COUNTIF($B$2:B591,B591),"00")</f>
        <v>2023050801</v>
      </c>
      <c r="B591" s="21">
        <f t="shared" si="9"/>
        <v>45054</v>
      </c>
      <c r="C591" s="22">
        <v>2023</v>
      </c>
      <c r="D591" s="23">
        <v>5</v>
      </c>
      <c r="E591" s="24">
        <v>8</v>
      </c>
      <c r="F591" s="42" t="s">
        <v>17</v>
      </c>
      <c r="G591" s="42" t="s">
        <v>13</v>
      </c>
      <c r="H591" s="42" t="s">
        <v>32</v>
      </c>
      <c r="I591" s="42" t="s">
        <v>620</v>
      </c>
      <c r="J591" s="10">
        <v>50000</v>
      </c>
      <c r="K591" s="7">
        <v>-50000</v>
      </c>
      <c r="L591" s="1" t="s">
        <v>715</v>
      </c>
    </row>
    <row r="592" spans="1:13">
      <c r="A592" s="21" t="str">
        <f>TEXT(TEXT(B592,"yyyymmdd"),"00000000")&amp;TEXT(COUNTIF($B$2:B592,B592),"00")</f>
        <v>2023050802</v>
      </c>
      <c r="B592" s="21">
        <f t="shared" si="9"/>
        <v>45054</v>
      </c>
      <c r="C592" s="22">
        <v>2023</v>
      </c>
      <c r="D592" s="23">
        <v>5</v>
      </c>
      <c r="E592" s="24">
        <v>8</v>
      </c>
      <c r="F592" s="42" t="s">
        <v>17</v>
      </c>
      <c r="G592" s="42" t="s">
        <v>13</v>
      </c>
      <c r="H592" s="42" t="s">
        <v>138</v>
      </c>
      <c r="I592" s="42" t="s">
        <v>139</v>
      </c>
      <c r="J592" s="10">
        <v>5000</v>
      </c>
      <c r="K592" s="7">
        <v>-5000</v>
      </c>
      <c r="L592" s="1" t="s">
        <v>619</v>
      </c>
    </row>
    <row r="593" spans="1:13">
      <c r="A593" s="21" t="str">
        <f>TEXT(TEXT(B593,"yyyymmdd"),"00000000")&amp;TEXT(COUNTIF($B$2:B593,B593),"00")</f>
        <v>2023050803</v>
      </c>
      <c r="B593" s="21">
        <f t="shared" si="9"/>
        <v>45054</v>
      </c>
      <c r="C593" s="22">
        <v>2023</v>
      </c>
      <c r="D593" s="23">
        <v>5</v>
      </c>
      <c r="E593" s="24">
        <v>8</v>
      </c>
      <c r="F593" s="42" t="s">
        <v>17</v>
      </c>
      <c r="G593" s="42" t="s">
        <v>7</v>
      </c>
      <c r="H593" s="42" t="s">
        <v>119</v>
      </c>
      <c r="I593" s="42" t="s">
        <v>180</v>
      </c>
      <c r="J593" s="10">
        <v>100000</v>
      </c>
      <c r="K593" s="7">
        <v>-100000</v>
      </c>
      <c r="L593" s="1" t="s">
        <v>716</v>
      </c>
    </row>
    <row r="594" spans="1:13">
      <c r="A594" s="21" t="str">
        <f>TEXT(TEXT(B594,"yyyymmdd"),"00000000")&amp;TEXT(COUNTIF($B$2:B594,B594),"00")</f>
        <v>2023050804</v>
      </c>
      <c r="B594" s="21">
        <f t="shared" si="9"/>
        <v>45054</v>
      </c>
      <c r="C594" s="22">
        <v>2023</v>
      </c>
      <c r="D594" s="23">
        <v>5</v>
      </c>
      <c r="E594" s="24">
        <v>8</v>
      </c>
      <c r="F594" s="42" t="s">
        <v>17</v>
      </c>
      <c r="G594" s="42" t="s">
        <v>7</v>
      </c>
      <c r="H594" s="42" t="s">
        <v>110</v>
      </c>
      <c r="I594" s="42" t="s">
        <v>120</v>
      </c>
      <c r="J594" s="10">
        <v>1000</v>
      </c>
      <c r="K594" s="7">
        <v>-1000</v>
      </c>
      <c r="L594" s="1" t="s">
        <v>651</v>
      </c>
    </row>
    <row r="595" spans="1:13">
      <c r="A595" s="21" t="str">
        <f>TEXT(TEXT(B595,"yyyymmdd"),"00000000")&amp;TEXT(COUNTIF($B$2:B595,B595),"00")</f>
        <v>2023050805</v>
      </c>
      <c r="B595" s="21">
        <f t="shared" si="9"/>
        <v>45054</v>
      </c>
      <c r="C595" s="22">
        <v>2023</v>
      </c>
      <c r="D595" s="23">
        <v>5</v>
      </c>
      <c r="E595" s="24">
        <v>8</v>
      </c>
      <c r="F595" s="42" t="s">
        <v>17</v>
      </c>
      <c r="G595" s="42" t="s">
        <v>13</v>
      </c>
      <c r="H595" s="42" t="s">
        <v>138</v>
      </c>
      <c r="I595" s="42" t="s">
        <v>139</v>
      </c>
      <c r="J595" s="10">
        <v>7000</v>
      </c>
      <c r="K595" s="7">
        <v>-7000</v>
      </c>
      <c r="L595" s="1" t="s">
        <v>673</v>
      </c>
      <c r="M595" s="2" t="s">
        <v>647</v>
      </c>
    </row>
    <row r="596" spans="1:13">
      <c r="A596" s="21" t="str">
        <f>TEXT(TEXT(B596,"yyyymmdd"),"00000000")&amp;TEXT(COUNTIF($B$2:B596,B596),"00")</f>
        <v>2023050901</v>
      </c>
      <c r="B596" s="21">
        <f t="shared" si="9"/>
        <v>45055</v>
      </c>
      <c r="C596" s="22">
        <v>2023</v>
      </c>
      <c r="D596" s="23">
        <v>5</v>
      </c>
      <c r="E596" s="24">
        <v>9</v>
      </c>
      <c r="F596" s="42" t="s">
        <v>17</v>
      </c>
      <c r="G596" s="42" t="s">
        <v>13</v>
      </c>
      <c r="H596" s="42" t="s">
        <v>138</v>
      </c>
      <c r="I596" s="42" t="s">
        <v>139</v>
      </c>
      <c r="J596" s="10">
        <v>7500</v>
      </c>
      <c r="K596" s="7">
        <v>-7500</v>
      </c>
      <c r="L596" s="1" t="s">
        <v>300</v>
      </c>
    </row>
    <row r="597" spans="1:13">
      <c r="A597" s="21" t="str">
        <f>TEXT(TEXT(B597,"yyyymmdd"),"00000000")&amp;TEXT(COUNTIF($B$2:B597,B597),"00")</f>
        <v>2023050902</v>
      </c>
      <c r="B597" s="21">
        <f t="shared" si="9"/>
        <v>45055</v>
      </c>
      <c r="C597" s="22">
        <v>2023</v>
      </c>
      <c r="D597" s="23">
        <v>5</v>
      </c>
      <c r="E597" s="24">
        <v>9</v>
      </c>
      <c r="F597" s="42" t="s">
        <v>17</v>
      </c>
      <c r="G597" s="42" t="s">
        <v>13</v>
      </c>
      <c r="H597" s="42" t="s">
        <v>138</v>
      </c>
      <c r="I597" s="42" t="s">
        <v>139</v>
      </c>
      <c r="J597" s="10">
        <v>9000</v>
      </c>
      <c r="K597" s="7">
        <v>-9000</v>
      </c>
      <c r="L597" s="1" t="s">
        <v>700</v>
      </c>
    </row>
    <row r="598" spans="1:13">
      <c r="A598" s="21" t="str">
        <f>TEXT(TEXT(B598,"yyyymmdd"),"00000000")&amp;TEXT(COUNTIF($B$2:B598,B598),"00")</f>
        <v>2023051001</v>
      </c>
      <c r="B598" s="21">
        <f t="shared" si="9"/>
        <v>45056</v>
      </c>
      <c r="C598" s="22">
        <v>2023</v>
      </c>
      <c r="D598" s="23">
        <v>5</v>
      </c>
      <c r="E598" s="24">
        <v>10</v>
      </c>
      <c r="F598" s="42" t="s">
        <v>17</v>
      </c>
      <c r="G598" s="42" t="s">
        <v>13</v>
      </c>
      <c r="H598" s="42" t="s">
        <v>113</v>
      </c>
      <c r="I598" s="42" t="s">
        <v>171</v>
      </c>
      <c r="J598" s="10">
        <v>15000</v>
      </c>
      <c r="K598" s="7">
        <v>-15000</v>
      </c>
      <c r="L598" s="1" t="s">
        <v>502</v>
      </c>
    </row>
    <row r="599" spans="1:13">
      <c r="A599" s="21" t="str">
        <f>TEXT(TEXT(B599,"yyyymmdd"),"00000000")&amp;TEXT(COUNTIF($B$2:B599,B599),"00")</f>
        <v>2023051002</v>
      </c>
      <c r="B599" s="21">
        <f t="shared" si="9"/>
        <v>45056</v>
      </c>
      <c r="C599" s="22">
        <v>2023</v>
      </c>
      <c r="D599" s="23">
        <v>5</v>
      </c>
      <c r="E599" s="24">
        <v>10</v>
      </c>
      <c r="F599" s="42" t="s">
        <v>17</v>
      </c>
      <c r="G599" s="42" t="s">
        <v>7</v>
      </c>
      <c r="H599" s="42" t="s">
        <v>173</v>
      </c>
      <c r="I599" s="42" t="s">
        <v>174</v>
      </c>
      <c r="J599" s="10">
        <v>150</v>
      </c>
      <c r="K599" s="7">
        <v>-150</v>
      </c>
      <c r="L599" s="1" t="s">
        <v>694</v>
      </c>
    </row>
    <row r="600" spans="1:13">
      <c r="A600" s="21" t="str">
        <f>TEXT(TEXT(B600,"yyyymmdd"),"00000000")&amp;TEXT(COUNTIF($B$2:B600,B600),"00")</f>
        <v>2023051003</v>
      </c>
      <c r="B600" s="21">
        <f t="shared" si="9"/>
        <v>45056</v>
      </c>
      <c r="C600" s="22">
        <v>2023</v>
      </c>
      <c r="D600" s="23">
        <v>5</v>
      </c>
      <c r="E600" s="24">
        <v>10</v>
      </c>
      <c r="F600" s="42" t="s">
        <v>17</v>
      </c>
      <c r="G600" s="42" t="s">
        <v>13</v>
      </c>
      <c r="H600" s="42" t="s">
        <v>138</v>
      </c>
      <c r="I600" s="42" t="s">
        <v>139</v>
      </c>
      <c r="J600" s="10">
        <v>8000</v>
      </c>
      <c r="K600" s="7">
        <v>-8000</v>
      </c>
      <c r="L600" s="1" t="s">
        <v>717</v>
      </c>
    </row>
    <row r="601" spans="1:13">
      <c r="A601" s="21" t="str">
        <f>TEXT(TEXT(B601,"yyyymmdd"),"00000000")&amp;TEXT(COUNTIF($B$2:B601,B601),"00")</f>
        <v>2023051004</v>
      </c>
      <c r="B601" s="21">
        <f t="shared" si="9"/>
        <v>45056</v>
      </c>
      <c r="C601" s="22">
        <v>2023</v>
      </c>
      <c r="D601" s="23">
        <v>5</v>
      </c>
      <c r="E601" s="24">
        <v>10</v>
      </c>
      <c r="F601" s="42" t="s">
        <v>17</v>
      </c>
      <c r="G601" s="42" t="s">
        <v>7</v>
      </c>
      <c r="H601" s="42" t="s">
        <v>110</v>
      </c>
      <c r="I601" s="42" t="s">
        <v>120</v>
      </c>
      <c r="J601" s="10">
        <v>5500</v>
      </c>
      <c r="K601" s="7">
        <v>-5500</v>
      </c>
      <c r="L601" s="1" t="s">
        <v>651</v>
      </c>
    </row>
    <row r="602" spans="1:13">
      <c r="A602" s="21" t="str">
        <f>TEXT(TEXT(B602,"yyyymmdd"),"00000000")&amp;TEXT(COUNTIF($B$2:B602,B602),"00")</f>
        <v>2023051005</v>
      </c>
      <c r="B602" s="21">
        <f t="shared" si="9"/>
        <v>45056</v>
      </c>
      <c r="C602" s="22">
        <v>2023</v>
      </c>
      <c r="D602" s="23">
        <v>5</v>
      </c>
      <c r="E602" s="24">
        <v>10</v>
      </c>
      <c r="F602" s="42" t="s">
        <v>17</v>
      </c>
      <c r="G602" s="42" t="s">
        <v>13</v>
      </c>
      <c r="H602" s="42" t="s">
        <v>138</v>
      </c>
      <c r="I602" s="42" t="s">
        <v>139</v>
      </c>
      <c r="J602" s="10">
        <v>7000</v>
      </c>
      <c r="K602" s="7">
        <v>-7000</v>
      </c>
      <c r="L602" s="1" t="s">
        <v>673</v>
      </c>
    </row>
    <row r="603" spans="1:13">
      <c r="A603" s="21" t="str">
        <f>TEXT(TEXT(B603,"yyyymmdd"),"00000000")&amp;TEXT(COUNTIF($B$2:B603,B603),"00")</f>
        <v>2023051101</v>
      </c>
      <c r="B603" s="21">
        <f t="shared" si="9"/>
        <v>45057</v>
      </c>
      <c r="C603" s="22">
        <v>2023</v>
      </c>
      <c r="D603" s="23">
        <v>5</v>
      </c>
      <c r="E603" s="24">
        <v>11</v>
      </c>
      <c r="F603" s="42" t="s">
        <v>17</v>
      </c>
      <c r="G603" s="42" t="s">
        <v>13</v>
      </c>
      <c r="H603" s="42" t="s">
        <v>138</v>
      </c>
      <c r="I603" s="42" t="s">
        <v>139</v>
      </c>
      <c r="J603" s="10">
        <v>9500</v>
      </c>
      <c r="K603" s="7">
        <v>-9500</v>
      </c>
      <c r="L603" s="1" t="s">
        <v>680</v>
      </c>
    </row>
    <row r="604" spans="1:13">
      <c r="A604" s="21" t="str">
        <f>TEXT(TEXT(B604,"yyyymmdd"),"00000000")&amp;TEXT(COUNTIF($B$2:B604,B604),"00")</f>
        <v>2023051102</v>
      </c>
      <c r="B604" s="21">
        <f t="shared" si="9"/>
        <v>45057</v>
      </c>
      <c r="C604" s="22">
        <v>2023</v>
      </c>
      <c r="D604" s="23">
        <v>5</v>
      </c>
      <c r="E604" s="24">
        <v>11</v>
      </c>
      <c r="F604" s="42" t="s">
        <v>17</v>
      </c>
      <c r="G604" s="42" t="s">
        <v>7</v>
      </c>
      <c r="H604" s="42" t="s">
        <v>167</v>
      </c>
      <c r="I604" s="42" t="s">
        <v>168</v>
      </c>
      <c r="J604" s="10">
        <v>2200</v>
      </c>
      <c r="K604" s="7">
        <v>-2200</v>
      </c>
      <c r="L604" s="1" t="s">
        <v>747</v>
      </c>
      <c r="M604" s="2" t="s">
        <v>718</v>
      </c>
    </row>
    <row r="605" spans="1:13">
      <c r="A605" s="21" t="str">
        <f>TEXT(TEXT(B605,"yyyymmdd"),"00000000")&amp;TEXT(COUNTIF($B$2:B605,B605),"00")</f>
        <v>2023051201</v>
      </c>
      <c r="B605" s="21">
        <f t="shared" si="9"/>
        <v>45058</v>
      </c>
      <c r="C605" s="22">
        <v>2023</v>
      </c>
      <c r="D605" s="23">
        <v>5</v>
      </c>
      <c r="E605" s="24">
        <v>12</v>
      </c>
      <c r="F605" s="42" t="s">
        <v>17</v>
      </c>
      <c r="G605" s="42" t="s">
        <v>135</v>
      </c>
      <c r="H605" s="42" t="s">
        <v>135</v>
      </c>
      <c r="I605" s="42" t="s">
        <v>190</v>
      </c>
      <c r="J605" s="10">
        <v>-69</v>
      </c>
      <c r="K605" s="7">
        <v>69</v>
      </c>
      <c r="L605" s="1" t="s">
        <v>210</v>
      </c>
    </row>
    <row r="606" spans="1:13">
      <c r="A606" s="21" t="str">
        <f>TEXT(TEXT(B606,"yyyymmdd"),"00000000")&amp;TEXT(COUNTIF($B$2:B606,B606),"00")</f>
        <v>2023051202</v>
      </c>
      <c r="B606" s="21">
        <f t="shared" si="9"/>
        <v>45058</v>
      </c>
      <c r="C606" s="22">
        <v>2023</v>
      </c>
      <c r="D606" s="23">
        <v>5</v>
      </c>
      <c r="E606" s="24">
        <v>12</v>
      </c>
      <c r="F606" s="42" t="s">
        <v>17</v>
      </c>
      <c r="G606" s="42" t="s">
        <v>13</v>
      </c>
      <c r="H606" s="42" t="s">
        <v>138</v>
      </c>
      <c r="I606" s="42" t="s">
        <v>139</v>
      </c>
      <c r="J606" s="10">
        <v>4900</v>
      </c>
      <c r="K606" s="7">
        <v>-4900</v>
      </c>
      <c r="L606" s="1" t="s">
        <v>623</v>
      </c>
    </row>
    <row r="607" spans="1:13">
      <c r="A607" s="21" t="str">
        <f>TEXT(TEXT(B607,"yyyymmdd"),"00000000")&amp;TEXT(COUNTIF($B$2:B607,B607),"00")</f>
        <v>2023051203</v>
      </c>
      <c r="B607" s="21">
        <f t="shared" si="9"/>
        <v>45058</v>
      </c>
      <c r="C607" s="22">
        <v>2023</v>
      </c>
      <c r="D607" s="23">
        <v>5</v>
      </c>
      <c r="E607" s="24">
        <v>12</v>
      </c>
      <c r="F607" s="42" t="s">
        <v>17</v>
      </c>
      <c r="G607" s="42" t="s">
        <v>13</v>
      </c>
      <c r="H607" s="42" t="s">
        <v>138</v>
      </c>
      <c r="I607" s="42" t="s">
        <v>139</v>
      </c>
      <c r="J607" s="10">
        <v>10000</v>
      </c>
      <c r="K607" s="7">
        <v>-10000</v>
      </c>
      <c r="L607" s="1" t="s">
        <v>717</v>
      </c>
      <c r="M607" s="2" t="s">
        <v>719</v>
      </c>
    </row>
    <row r="608" spans="1:13">
      <c r="A608" s="21" t="str">
        <f>TEXT(TEXT(B608,"yyyymmdd"),"00000000")&amp;TEXT(COUNTIF($B$2:B608,B608),"00")</f>
        <v>2023051501</v>
      </c>
      <c r="B608" s="21">
        <f t="shared" si="9"/>
        <v>45061</v>
      </c>
      <c r="C608" s="22">
        <v>2023</v>
      </c>
      <c r="D608" s="23">
        <v>5</v>
      </c>
      <c r="E608" s="24">
        <v>15</v>
      </c>
      <c r="F608" s="42" t="s">
        <v>17</v>
      </c>
      <c r="G608" s="42" t="s">
        <v>13</v>
      </c>
      <c r="H608" s="42" t="s">
        <v>138</v>
      </c>
      <c r="I608" s="42" t="s">
        <v>139</v>
      </c>
      <c r="J608" s="10">
        <v>5000</v>
      </c>
      <c r="K608" s="7">
        <v>-5000</v>
      </c>
      <c r="L608" s="1" t="s">
        <v>619</v>
      </c>
    </row>
    <row r="609" spans="1:13">
      <c r="A609" s="21" t="str">
        <f>TEXT(TEXT(B609,"yyyymmdd"),"00000000")&amp;TEXT(COUNTIF($B$2:B609,B609),"00")</f>
        <v>2023051502</v>
      </c>
      <c r="B609" s="21">
        <f t="shared" si="9"/>
        <v>45061</v>
      </c>
      <c r="C609" s="22">
        <v>2023</v>
      </c>
      <c r="D609" s="23">
        <v>5</v>
      </c>
      <c r="E609" s="24">
        <v>15</v>
      </c>
      <c r="F609" s="42" t="s">
        <v>17</v>
      </c>
      <c r="G609" s="42" t="s">
        <v>13</v>
      </c>
      <c r="H609" s="42" t="s">
        <v>167</v>
      </c>
      <c r="I609" s="42" t="s">
        <v>168</v>
      </c>
      <c r="J609" s="10">
        <v>4500</v>
      </c>
      <c r="K609" s="7">
        <v>-4500</v>
      </c>
      <c r="L609" s="1" t="s">
        <v>747</v>
      </c>
    </row>
    <row r="610" spans="1:13">
      <c r="A610" s="21" t="str">
        <f>TEXT(TEXT(B610,"yyyymmdd"),"00000000")&amp;TEXT(COUNTIF($B$2:B610,B610),"00")</f>
        <v>2023051601</v>
      </c>
      <c r="B610" s="21">
        <f t="shared" si="9"/>
        <v>45062</v>
      </c>
      <c r="C610" s="22">
        <v>2023</v>
      </c>
      <c r="D610" s="23">
        <v>5</v>
      </c>
      <c r="E610" s="24">
        <v>16</v>
      </c>
      <c r="F610" s="42" t="s">
        <v>17</v>
      </c>
      <c r="G610" s="42" t="s">
        <v>13</v>
      </c>
      <c r="H610" s="42" t="s">
        <v>138</v>
      </c>
      <c r="I610" s="42" t="s">
        <v>139</v>
      </c>
      <c r="J610" s="10">
        <v>8000</v>
      </c>
      <c r="K610" s="7">
        <v>-8000</v>
      </c>
      <c r="L610" s="1" t="s">
        <v>709</v>
      </c>
    </row>
    <row r="611" spans="1:13">
      <c r="A611" s="21" t="str">
        <f>TEXT(TEXT(B611,"yyyymmdd"),"00000000")&amp;TEXT(COUNTIF($B$2:B611,B611),"00")</f>
        <v>2023051602</v>
      </c>
      <c r="B611" s="21">
        <f t="shared" si="9"/>
        <v>45062</v>
      </c>
      <c r="C611" s="22">
        <v>2023</v>
      </c>
      <c r="D611" s="23">
        <v>5</v>
      </c>
      <c r="E611" s="24">
        <v>16</v>
      </c>
      <c r="F611" s="42" t="s">
        <v>17</v>
      </c>
      <c r="G611" s="42" t="s">
        <v>13</v>
      </c>
      <c r="H611" s="42" t="s">
        <v>138</v>
      </c>
      <c r="I611" s="42" t="s">
        <v>139</v>
      </c>
      <c r="J611" s="10">
        <v>7500</v>
      </c>
      <c r="K611" s="7">
        <v>-7500</v>
      </c>
      <c r="L611" s="1" t="s">
        <v>680</v>
      </c>
    </row>
    <row r="612" spans="1:13">
      <c r="A612" s="21" t="str">
        <f>TEXT(TEXT(B612,"yyyymmdd"),"00000000")&amp;TEXT(COUNTIF($B$2:B612,B612),"00")</f>
        <v>2023051603</v>
      </c>
      <c r="B612" s="21">
        <f t="shared" si="9"/>
        <v>45062</v>
      </c>
      <c r="C612" s="22">
        <v>2023</v>
      </c>
      <c r="D612" s="23">
        <v>5</v>
      </c>
      <c r="E612" s="24">
        <v>16</v>
      </c>
      <c r="F612" s="42" t="s">
        <v>17</v>
      </c>
      <c r="G612" s="42" t="s">
        <v>7</v>
      </c>
      <c r="H612" s="42" t="s">
        <v>119</v>
      </c>
      <c r="I612" s="42" t="s">
        <v>180</v>
      </c>
      <c r="J612" s="10">
        <v>24000</v>
      </c>
      <c r="K612" s="7">
        <v>-24000</v>
      </c>
      <c r="L612" s="1" t="s">
        <v>181</v>
      </c>
      <c r="M612" s="2" t="s">
        <v>721</v>
      </c>
    </row>
    <row r="613" spans="1:13">
      <c r="A613" s="21" t="str">
        <f>TEXT(TEXT(B613,"yyyymmdd"),"00000000")&amp;TEXT(COUNTIF($B$2:B613,B613),"00")</f>
        <v>2023051701</v>
      </c>
      <c r="B613" s="21">
        <f t="shared" si="9"/>
        <v>45063</v>
      </c>
      <c r="C613" s="22">
        <v>2023</v>
      </c>
      <c r="D613" s="23">
        <v>5</v>
      </c>
      <c r="E613" s="24">
        <v>17</v>
      </c>
      <c r="F613" s="42" t="s">
        <v>17</v>
      </c>
      <c r="G613" s="42" t="s">
        <v>13</v>
      </c>
      <c r="H613" s="42" t="s">
        <v>138</v>
      </c>
      <c r="I613" s="42" t="s">
        <v>139</v>
      </c>
      <c r="J613" s="10">
        <v>7500</v>
      </c>
      <c r="K613" s="7">
        <v>-7500</v>
      </c>
      <c r="L613" s="1" t="s">
        <v>677</v>
      </c>
    </row>
    <row r="614" spans="1:13">
      <c r="A614" s="21" t="str">
        <f>TEXT(TEXT(B614,"yyyymmdd"),"00000000")&amp;TEXT(COUNTIF($B$2:B614,B614),"00")</f>
        <v>2023051801</v>
      </c>
      <c r="B614" s="21">
        <f t="shared" si="9"/>
        <v>45064</v>
      </c>
      <c r="C614" s="22">
        <v>2023</v>
      </c>
      <c r="D614" s="23">
        <v>5</v>
      </c>
      <c r="E614" s="24">
        <v>18</v>
      </c>
      <c r="F614" s="42" t="s">
        <v>17</v>
      </c>
      <c r="G614" s="42" t="s">
        <v>7</v>
      </c>
      <c r="H614" s="42" t="s">
        <v>173</v>
      </c>
      <c r="I614" s="42" t="s">
        <v>207</v>
      </c>
      <c r="J614" s="10">
        <v>6120</v>
      </c>
      <c r="K614" s="7">
        <v>-6120</v>
      </c>
      <c r="L614" s="1" t="s">
        <v>208</v>
      </c>
    </row>
    <row r="615" spans="1:13">
      <c r="A615" s="21" t="str">
        <f>TEXT(TEXT(B615,"yyyymmdd"),"00000000")&amp;TEXT(COUNTIF($B$2:B615,B615),"00")</f>
        <v>2023051802</v>
      </c>
      <c r="B615" s="21">
        <f t="shared" si="9"/>
        <v>45064</v>
      </c>
      <c r="C615" s="22">
        <v>2023</v>
      </c>
      <c r="D615" s="23">
        <v>5</v>
      </c>
      <c r="E615" s="24">
        <v>18</v>
      </c>
      <c r="F615" s="42" t="s">
        <v>17</v>
      </c>
      <c r="G615" s="42" t="s">
        <v>13</v>
      </c>
      <c r="H615" s="42" t="s">
        <v>138</v>
      </c>
      <c r="I615" s="42" t="s">
        <v>139</v>
      </c>
      <c r="J615" s="10">
        <v>7000</v>
      </c>
      <c r="K615" s="7">
        <v>-7000</v>
      </c>
      <c r="L615" s="1" t="s">
        <v>679</v>
      </c>
    </row>
    <row r="616" spans="1:13">
      <c r="A616" s="21" t="str">
        <f>TEXT(TEXT(B616,"yyyymmdd"),"00000000")&amp;TEXT(COUNTIF($B$2:B616,B616),"00")</f>
        <v>2023051803</v>
      </c>
      <c r="B616" s="21">
        <f t="shared" si="9"/>
        <v>45064</v>
      </c>
      <c r="C616" s="22">
        <v>2023</v>
      </c>
      <c r="D616" s="23">
        <v>5</v>
      </c>
      <c r="E616" s="24">
        <v>18</v>
      </c>
      <c r="F616" s="42" t="s">
        <v>17</v>
      </c>
      <c r="G616" s="42" t="s">
        <v>13</v>
      </c>
      <c r="H616" s="42" t="s">
        <v>138</v>
      </c>
      <c r="I616" s="42" t="s">
        <v>139</v>
      </c>
      <c r="J616" s="10">
        <v>7000</v>
      </c>
      <c r="K616" s="7">
        <v>-7000</v>
      </c>
      <c r="L616" s="1" t="s">
        <v>709</v>
      </c>
    </row>
    <row r="617" spans="1:13">
      <c r="A617" s="21" t="str">
        <f>TEXT(TEXT(B617,"yyyymmdd"),"00000000")&amp;TEXT(COUNTIF($B$2:B617,B617),"00")</f>
        <v>2023051901</v>
      </c>
      <c r="B617" s="21">
        <f t="shared" si="9"/>
        <v>45065</v>
      </c>
      <c r="C617" s="22">
        <v>2023</v>
      </c>
      <c r="D617" s="23">
        <v>5</v>
      </c>
      <c r="E617" s="24">
        <v>19</v>
      </c>
      <c r="F617" s="42" t="s">
        <v>17</v>
      </c>
      <c r="G617" s="42" t="s">
        <v>7</v>
      </c>
      <c r="H617" s="42" t="s">
        <v>138</v>
      </c>
      <c r="I617" s="42" t="s">
        <v>197</v>
      </c>
      <c r="J617" s="10">
        <v>17148</v>
      </c>
      <c r="K617" s="7">
        <v>-17148</v>
      </c>
      <c r="L617" s="1" t="s">
        <v>236</v>
      </c>
      <c r="M617" s="2" t="s">
        <v>724</v>
      </c>
    </row>
    <row r="618" spans="1:13">
      <c r="A618" s="21" t="str">
        <f>TEXT(TEXT(B618,"yyyymmdd"),"00000000")&amp;TEXT(COUNTIF($B$2:B618,B618),"00")</f>
        <v>2023051902</v>
      </c>
      <c r="B618" s="21">
        <f t="shared" si="9"/>
        <v>45065</v>
      </c>
      <c r="C618" s="22">
        <v>2023</v>
      </c>
      <c r="D618" s="23">
        <v>5</v>
      </c>
      <c r="E618" s="24">
        <v>19</v>
      </c>
      <c r="F618" s="42" t="s">
        <v>17</v>
      </c>
      <c r="G618" s="42" t="s">
        <v>13</v>
      </c>
      <c r="H618" s="42" t="s">
        <v>138</v>
      </c>
      <c r="I618" s="42" t="s">
        <v>139</v>
      </c>
      <c r="J618" s="10">
        <v>5800</v>
      </c>
      <c r="K618" s="7">
        <v>-5800</v>
      </c>
      <c r="L618" s="1" t="s">
        <v>300</v>
      </c>
    </row>
    <row r="619" spans="1:13">
      <c r="A619" s="21" t="str">
        <f>TEXT(TEXT(B619,"yyyymmdd"),"00000000")&amp;TEXT(COUNTIF($B$2:B619,B619),"00")</f>
        <v>2023051903</v>
      </c>
      <c r="B619" s="21">
        <f t="shared" si="9"/>
        <v>45065</v>
      </c>
      <c r="C619" s="22">
        <v>2023</v>
      </c>
      <c r="D619" s="23">
        <v>5</v>
      </c>
      <c r="E619" s="24">
        <v>19</v>
      </c>
      <c r="F619" s="42" t="s">
        <v>17</v>
      </c>
      <c r="G619" s="42" t="s">
        <v>7</v>
      </c>
      <c r="H619" s="42" t="s">
        <v>32</v>
      </c>
      <c r="I619" s="42" t="s">
        <v>141</v>
      </c>
      <c r="J619" s="10">
        <v>7700</v>
      </c>
      <c r="K619" s="7">
        <v>-7700</v>
      </c>
      <c r="L619" s="1" t="s">
        <v>723</v>
      </c>
    </row>
    <row r="620" spans="1:13">
      <c r="A620" s="21" t="str">
        <f>TEXT(TEXT(B620,"yyyymmdd"),"00000000")&amp;TEXT(COUNTIF($B$2:B620,B620),"00")</f>
        <v>2023051904</v>
      </c>
      <c r="B620" s="21">
        <f t="shared" si="9"/>
        <v>45065</v>
      </c>
      <c r="C620" s="22">
        <v>2023</v>
      </c>
      <c r="D620" s="23">
        <v>5</v>
      </c>
      <c r="E620" s="24">
        <v>19</v>
      </c>
      <c r="F620" s="42" t="s">
        <v>17</v>
      </c>
      <c r="G620" s="42" t="s">
        <v>135</v>
      </c>
      <c r="H620" s="42" t="s">
        <v>135</v>
      </c>
      <c r="I620" s="42" t="s">
        <v>152</v>
      </c>
      <c r="J620" s="10">
        <v>-50000</v>
      </c>
      <c r="K620" s="7">
        <v>50000</v>
      </c>
      <c r="L620" s="1" t="s">
        <v>557</v>
      </c>
      <c r="M620" s="2" t="s">
        <v>722</v>
      </c>
    </row>
    <row r="621" spans="1:13">
      <c r="A621" s="21" t="str">
        <f>TEXT(TEXT(B621,"yyyymmdd"),"00000000")&amp;TEXT(COUNTIF($B$2:B621,B621),"00")</f>
        <v>2023052101</v>
      </c>
      <c r="B621" s="21">
        <f t="shared" si="9"/>
        <v>45067</v>
      </c>
      <c r="C621" s="22">
        <v>2023</v>
      </c>
      <c r="D621" s="23">
        <v>5</v>
      </c>
      <c r="E621" s="24">
        <v>21</v>
      </c>
      <c r="F621" s="42" t="s">
        <v>17</v>
      </c>
      <c r="G621" s="42" t="s">
        <v>7</v>
      </c>
      <c r="H621" s="42" t="s">
        <v>32</v>
      </c>
      <c r="I621" s="42" t="s">
        <v>620</v>
      </c>
      <c r="J621" s="10">
        <v>40000</v>
      </c>
      <c r="K621" s="7">
        <v>-40000</v>
      </c>
      <c r="L621" s="1" t="s">
        <v>725</v>
      </c>
    </row>
    <row r="622" spans="1:13">
      <c r="A622" s="21" t="str">
        <f>TEXT(TEXT(B622,"yyyymmdd"),"00000000")&amp;TEXT(COUNTIF($B$2:B622,B622),"00")</f>
        <v>2023052102</v>
      </c>
      <c r="B622" s="21">
        <f t="shared" si="9"/>
        <v>45067</v>
      </c>
      <c r="C622" s="22">
        <v>2023</v>
      </c>
      <c r="D622" s="23">
        <v>5</v>
      </c>
      <c r="E622" s="24">
        <v>21</v>
      </c>
      <c r="F622" s="42" t="s">
        <v>17</v>
      </c>
      <c r="G622" s="42" t="s">
        <v>7</v>
      </c>
      <c r="H622" s="42" t="s">
        <v>138</v>
      </c>
      <c r="I622" s="42" t="s">
        <v>139</v>
      </c>
      <c r="J622" s="10">
        <v>51000</v>
      </c>
      <c r="K622" s="7">
        <v>-51000</v>
      </c>
      <c r="L622" s="1" t="s">
        <v>726</v>
      </c>
      <c r="M622" s="2" t="s">
        <v>727</v>
      </c>
    </row>
    <row r="623" spans="1:13">
      <c r="A623" s="21" t="str">
        <f>TEXT(TEXT(B623,"yyyymmdd"),"00000000")&amp;TEXT(COUNTIF($B$2:B623,B623),"00")</f>
        <v>2023052103</v>
      </c>
      <c r="B623" s="21">
        <f t="shared" si="9"/>
        <v>45067</v>
      </c>
      <c r="C623" s="22">
        <v>2023</v>
      </c>
      <c r="D623" s="23">
        <v>5</v>
      </c>
      <c r="E623" s="24">
        <v>21</v>
      </c>
      <c r="F623" s="42" t="s">
        <v>17</v>
      </c>
      <c r="G623" s="42" t="s">
        <v>7</v>
      </c>
      <c r="H623" s="42" t="s">
        <v>110</v>
      </c>
      <c r="I623" s="42" t="s">
        <v>374</v>
      </c>
      <c r="J623" s="10">
        <v>19000</v>
      </c>
      <c r="K623" s="7">
        <v>-19000</v>
      </c>
      <c r="L623" s="1" t="s">
        <v>728</v>
      </c>
    </row>
    <row r="624" spans="1:13">
      <c r="A624" s="21" t="str">
        <f>TEXT(TEXT(B624,"yyyymmdd"),"00000000")&amp;TEXT(COUNTIF($B$2:B624,B624),"00")</f>
        <v>2023052201</v>
      </c>
      <c r="B624" s="21">
        <f t="shared" si="9"/>
        <v>45068</v>
      </c>
      <c r="C624" s="22">
        <v>2023</v>
      </c>
      <c r="D624" s="23">
        <v>5</v>
      </c>
      <c r="E624" s="24">
        <v>22</v>
      </c>
      <c r="F624" s="42" t="s">
        <v>17</v>
      </c>
      <c r="G624" s="42" t="s">
        <v>13</v>
      </c>
      <c r="H624" s="42" t="s">
        <v>138</v>
      </c>
      <c r="I624" s="42" t="s">
        <v>139</v>
      </c>
      <c r="J624" s="10">
        <v>13000</v>
      </c>
      <c r="K624" s="7">
        <v>-13000</v>
      </c>
      <c r="L624" s="1" t="s">
        <v>731</v>
      </c>
    </row>
    <row r="625" spans="1:13">
      <c r="A625" s="21" t="str">
        <f>TEXT(TEXT(B625,"yyyymmdd"),"00000000")&amp;TEXT(COUNTIF($B$2:B625,B625),"00")</f>
        <v>2023052202</v>
      </c>
      <c r="B625" s="21">
        <f t="shared" si="9"/>
        <v>45068</v>
      </c>
      <c r="C625" s="22">
        <v>2023</v>
      </c>
      <c r="D625" s="23">
        <v>5</v>
      </c>
      <c r="E625" s="24">
        <v>22</v>
      </c>
      <c r="F625" s="42" t="s">
        <v>17</v>
      </c>
      <c r="G625" s="42" t="s">
        <v>7</v>
      </c>
      <c r="H625" s="42" t="s">
        <v>119</v>
      </c>
      <c r="I625" s="42" t="s">
        <v>180</v>
      </c>
      <c r="J625" s="10">
        <v>13000</v>
      </c>
      <c r="K625" s="7">
        <v>-13000</v>
      </c>
      <c r="L625" s="1" t="s">
        <v>731</v>
      </c>
      <c r="M625" s="2" t="s">
        <v>732</v>
      </c>
    </row>
    <row r="626" spans="1:13">
      <c r="A626" s="21" t="str">
        <f>TEXT(TEXT(B626,"yyyymmdd"),"00000000")&amp;TEXT(COUNTIF($B$2:B626,B626),"00")</f>
        <v>2023052203</v>
      </c>
      <c r="B626" s="21">
        <f t="shared" si="9"/>
        <v>45068</v>
      </c>
      <c r="C626" s="22">
        <v>2023</v>
      </c>
      <c r="D626" s="23">
        <v>5</v>
      </c>
      <c r="E626" s="24">
        <v>22</v>
      </c>
      <c r="F626" s="42" t="s">
        <v>17</v>
      </c>
      <c r="G626" s="42" t="s">
        <v>13</v>
      </c>
      <c r="H626" s="42" t="s">
        <v>138</v>
      </c>
      <c r="I626" s="42" t="s">
        <v>139</v>
      </c>
      <c r="J626" s="10">
        <v>5000</v>
      </c>
      <c r="K626" s="7">
        <v>-5000</v>
      </c>
      <c r="L626" s="1" t="s">
        <v>619</v>
      </c>
    </row>
    <row r="627" spans="1:13">
      <c r="A627" s="21" t="str">
        <f>TEXT(TEXT(B627,"yyyymmdd"),"00000000")&amp;TEXT(COUNTIF($B$2:B627,B627),"00")</f>
        <v>2023052204</v>
      </c>
      <c r="B627" s="21">
        <f t="shared" si="9"/>
        <v>45068</v>
      </c>
      <c r="C627" s="22">
        <v>2023</v>
      </c>
      <c r="D627" s="23">
        <v>5</v>
      </c>
      <c r="E627" s="24">
        <v>22</v>
      </c>
      <c r="F627" s="42" t="s">
        <v>17</v>
      </c>
      <c r="G627" s="42" t="s">
        <v>7</v>
      </c>
      <c r="H627" s="42" t="s">
        <v>32</v>
      </c>
      <c r="I627" s="42" t="s">
        <v>141</v>
      </c>
      <c r="J627" s="10">
        <v>1600</v>
      </c>
      <c r="K627" s="7">
        <v>-1600</v>
      </c>
      <c r="L627" s="1" t="s">
        <v>733</v>
      </c>
    </row>
    <row r="628" spans="1:13">
      <c r="A628" s="21" t="str">
        <f>TEXT(TEXT(B628,"yyyymmdd"),"00000000")&amp;TEXT(COUNTIF($B$2:B628,B628),"00")</f>
        <v>2023052205</v>
      </c>
      <c r="B628" s="21">
        <f t="shared" si="9"/>
        <v>45068</v>
      </c>
      <c r="C628" s="22">
        <v>2023</v>
      </c>
      <c r="D628" s="23">
        <v>5</v>
      </c>
      <c r="E628" s="24">
        <v>22</v>
      </c>
      <c r="F628" s="42" t="s">
        <v>17</v>
      </c>
      <c r="G628" s="42" t="s">
        <v>7</v>
      </c>
      <c r="H628" s="42" t="s">
        <v>115</v>
      </c>
      <c r="I628" s="42" t="s">
        <v>630</v>
      </c>
      <c r="J628" s="10">
        <v>4000</v>
      </c>
      <c r="K628" s="7">
        <v>-4000</v>
      </c>
      <c r="L628" s="1" t="s">
        <v>729</v>
      </c>
      <c r="M628" s="2" t="s">
        <v>730</v>
      </c>
    </row>
    <row r="629" spans="1:13">
      <c r="A629" s="21" t="str">
        <f>TEXT(TEXT(B629,"yyyymmdd"),"00000000")&amp;TEXT(COUNTIF($B$2:B629,B629),"00")</f>
        <v>2023052301</v>
      </c>
      <c r="B629" s="21">
        <f t="shared" si="9"/>
        <v>45069</v>
      </c>
      <c r="C629" s="22">
        <v>2023</v>
      </c>
      <c r="D629" s="23">
        <v>5</v>
      </c>
      <c r="E629" s="24">
        <v>23</v>
      </c>
      <c r="F629" s="42" t="s">
        <v>17</v>
      </c>
      <c r="G629" s="42" t="s">
        <v>13</v>
      </c>
      <c r="H629" s="42" t="s">
        <v>138</v>
      </c>
      <c r="I629" s="42" t="s">
        <v>139</v>
      </c>
      <c r="J629" s="10">
        <v>12000</v>
      </c>
      <c r="K629" s="7">
        <v>-12000</v>
      </c>
      <c r="L629" s="1" t="s">
        <v>734</v>
      </c>
    </row>
    <row r="630" spans="1:13">
      <c r="A630" s="21" t="str">
        <f>TEXT(TEXT(B630,"yyyymmdd"),"00000000")&amp;TEXT(COUNTIF($B$2:B630,B630),"00")</f>
        <v>2023052302</v>
      </c>
      <c r="B630" s="21">
        <f t="shared" si="9"/>
        <v>45069</v>
      </c>
      <c r="C630" s="22">
        <v>2023</v>
      </c>
      <c r="D630" s="23">
        <v>5</v>
      </c>
      <c r="E630" s="24">
        <v>23</v>
      </c>
      <c r="F630" s="42" t="s">
        <v>17</v>
      </c>
      <c r="G630" s="42" t="s">
        <v>13</v>
      </c>
      <c r="H630" s="42" t="s">
        <v>138</v>
      </c>
      <c r="I630" s="42" t="s">
        <v>139</v>
      </c>
      <c r="J630" s="10">
        <v>8500</v>
      </c>
      <c r="K630" s="7">
        <v>-8500</v>
      </c>
      <c r="L630" s="1" t="s">
        <v>904</v>
      </c>
    </row>
    <row r="631" spans="1:13">
      <c r="A631" s="21" t="str">
        <f>TEXT(TEXT(B631,"yyyymmdd"),"00000000")&amp;TEXT(COUNTIF($B$2:B631,B631),"00")</f>
        <v>2023052401</v>
      </c>
      <c r="B631" s="21">
        <f t="shared" si="9"/>
        <v>45070</v>
      </c>
      <c r="C631" s="22">
        <v>2023</v>
      </c>
      <c r="D631" s="23">
        <v>5</v>
      </c>
      <c r="E631" s="24">
        <v>24</v>
      </c>
      <c r="F631" s="42" t="s">
        <v>17</v>
      </c>
      <c r="G631" s="42" t="s">
        <v>13</v>
      </c>
      <c r="H631" s="42" t="s">
        <v>138</v>
      </c>
      <c r="I631" s="42" t="s">
        <v>139</v>
      </c>
      <c r="J631" s="10">
        <v>8000</v>
      </c>
      <c r="K631" s="7">
        <v>-8000</v>
      </c>
      <c r="L631" s="1" t="s">
        <v>700</v>
      </c>
    </row>
    <row r="632" spans="1:13">
      <c r="A632" s="21" t="str">
        <f>TEXT(TEXT(B632,"yyyymmdd"),"00000000")&amp;TEXT(COUNTIF($B$2:B632,B632),"00")</f>
        <v>2023052402</v>
      </c>
      <c r="B632" s="21">
        <f t="shared" si="9"/>
        <v>45070</v>
      </c>
      <c r="C632" s="22">
        <v>2023</v>
      </c>
      <c r="D632" s="23">
        <v>5</v>
      </c>
      <c r="E632" s="24">
        <v>24</v>
      </c>
      <c r="F632" s="42" t="s">
        <v>17</v>
      </c>
      <c r="G632" s="42" t="s">
        <v>13</v>
      </c>
      <c r="H632" s="42" t="s">
        <v>138</v>
      </c>
      <c r="I632" s="42" t="s">
        <v>139</v>
      </c>
      <c r="J632" s="10">
        <v>8000</v>
      </c>
      <c r="K632" s="7">
        <v>-8000</v>
      </c>
      <c r="L632" s="1" t="s">
        <v>735</v>
      </c>
    </row>
    <row r="633" spans="1:13">
      <c r="A633" s="21" t="str">
        <f>TEXT(TEXT(B633,"yyyymmdd"),"00000000")&amp;TEXT(COUNTIF($B$2:B633,B633),"00")</f>
        <v>2023052501</v>
      </c>
      <c r="B633" s="21">
        <f t="shared" si="9"/>
        <v>45071</v>
      </c>
      <c r="C633" s="22">
        <v>2023</v>
      </c>
      <c r="D633" s="23">
        <v>5</v>
      </c>
      <c r="E633" s="24">
        <v>25</v>
      </c>
      <c r="F633" s="42" t="s">
        <v>17</v>
      </c>
      <c r="G633" s="42" t="s">
        <v>13</v>
      </c>
      <c r="H633" s="42" t="s">
        <v>138</v>
      </c>
      <c r="I633" s="42" t="s">
        <v>139</v>
      </c>
      <c r="J633" s="10">
        <v>5500</v>
      </c>
      <c r="K633" s="7">
        <v>-5500</v>
      </c>
      <c r="L633" s="1" t="s">
        <v>675</v>
      </c>
    </row>
    <row r="634" spans="1:13">
      <c r="A634" s="21" t="str">
        <f>TEXT(TEXT(B634,"yyyymmdd"),"00000000")&amp;TEXT(COUNTIF($B$2:B634,B634),"00")</f>
        <v>2023052502</v>
      </c>
      <c r="B634" s="21">
        <f t="shared" si="9"/>
        <v>45071</v>
      </c>
      <c r="C634" s="22">
        <v>2023</v>
      </c>
      <c r="D634" s="23">
        <v>5</v>
      </c>
      <c r="E634" s="24">
        <v>25</v>
      </c>
      <c r="F634" s="42" t="s">
        <v>498</v>
      </c>
      <c r="G634" s="42" t="s">
        <v>135</v>
      </c>
      <c r="H634" s="42" t="s">
        <v>135</v>
      </c>
      <c r="I634" s="42" t="s">
        <v>190</v>
      </c>
      <c r="J634" s="10">
        <v>-11828</v>
      </c>
      <c r="K634" s="7">
        <v>11828</v>
      </c>
      <c r="L634" s="1" t="s">
        <v>604</v>
      </c>
    </row>
    <row r="635" spans="1:13">
      <c r="A635" s="21" t="str">
        <f>TEXT(TEXT(B635,"yyyymmdd"),"00000000")&amp;TEXT(COUNTIF($B$2:B635,B635),"00")</f>
        <v>2023052503</v>
      </c>
      <c r="B635" s="21">
        <f t="shared" si="9"/>
        <v>45071</v>
      </c>
      <c r="C635" s="22">
        <v>2023</v>
      </c>
      <c r="D635" s="23">
        <v>5</v>
      </c>
      <c r="E635" s="24">
        <v>25</v>
      </c>
      <c r="F635" s="42" t="s">
        <v>17</v>
      </c>
      <c r="G635" s="42" t="s">
        <v>13</v>
      </c>
      <c r="H635" s="42" t="s">
        <v>138</v>
      </c>
      <c r="I635" s="42" t="s">
        <v>139</v>
      </c>
      <c r="J635" s="10">
        <v>6000</v>
      </c>
      <c r="K635" s="7">
        <v>-6000</v>
      </c>
      <c r="L635" s="1" t="s">
        <v>619</v>
      </c>
    </row>
    <row r="636" spans="1:13">
      <c r="A636" s="21" t="str">
        <f>TEXT(TEXT(B636,"yyyymmdd"),"00000000")&amp;TEXT(COUNTIF($B$2:B636,B636),"00")</f>
        <v>2023052504</v>
      </c>
      <c r="B636" s="21">
        <f t="shared" si="9"/>
        <v>45071</v>
      </c>
      <c r="C636" s="22">
        <v>2023</v>
      </c>
      <c r="D636" s="23">
        <v>5</v>
      </c>
      <c r="E636" s="24">
        <v>25</v>
      </c>
      <c r="F636" s="42" t="s">
        <v>17</v>
      </c>
      <c r="G636" s="42" t="s">
        <v>7</v>
      </c>
      <c r="H636" s="42" t="s">
        <v>110</v>
      </c>
      <c r="I636" s="42" t="s">
        <v>120</v>
      </c>
      <c r="J636" s="10">
        <v>1100</v>
      </c>
      <c r="K636" s="7">
        <v>-1100</v>
      </c>
      <c r="L636" s="1" t="s">
        <v>162</v>
      </c>
    </row>
    <row r="637" spans="1:13">
      <c r="A637" s="21" t="str">
        <f>TEXT(TEXT(B637,"yyyymmdd"),"00000000")&amp;TEXT(COUNTIF($B$2:B637,B637),"00")</f>
        <v>2023052601</v>
      </c>
      <c r="B637" s="21">
        <f t="shared" si="9"/>
        <v>45072</v>
      </c>
      <c r="C637" s="22">
        <v>2023</v>
      </c>
      <c r="D637" s="23">
        <v>5</v>
      </c>
      <c r="E637" s="24">
        <v>26</v>
      </c>
      <c r="F637" s="42" t="s">
        <v>17</v>
      </c>
      <c r="G637" s="42" t="s">
        <v>135</v>
      </c>
      <c r="H637" s="42" t="s">
        <v>135</v>
      </c>
      <c r="I637" s="42" t="s">
        <v>152</v>
      </c>
      <c r="J637" s="10">
        <v>-50000</v>
      </c>
      <c r="K637" s="7">
        <v>50000</v>
      </c>
      <c r="L637" s="1" t="s">
        <v>252</v>
      </c>
    </row>
    <row r="638" spans="1:13">
      <c r="A638" s="21" t="str">
        <f>TEXT(TEXT(B638,"yyyymmdd"),"00000000")&amp;TEXT(COUNTIF($B$2:B638,B638),"00")</f>
        <v>2023052602</v>
      </c>
      <c r="B638" s="21">
        <f t="shared" si="9"/>
        <v>45072</v>
      </c>
      <c r="C638" s="22">
        <v>2023</v>
      </c>
      <c r="D638" s="23">
        <v>5</v>
      </c>
      <c r="E638" s="24">
        <v>26</v>
      </c>
      <c r="F638" s="42" t="s">
        <v>17</v>
      </c>
      <c r="G638" s="42" t="s">
        <v>13</v>
      </c>
      <c r="H638" s="42" t="s">
        <v>138</v>
      </c>
      <c r="I638" s="42" t="s">
        <v>139</v>
      </c>
      <c r="J638" s="10">
        <v>13250</v>
      </c>
      <c r="K638" s="7">
        <v>-13250</v>
      </c>
      <c r="L638" s="1" t="s">
        <v>736</v>
      </c>
    </row>
    <row r="639" spans="1:13">
      <c r="A639" s="21" t="str">
        <f>TEXT(TEXT(B639,"yyyymmdd"),"00000000")&amp;TEXT(COUNTIF($B$2:B639,B639),"00")</f>
        <v>2023052603</v>
      </c>
      <c r="B639" s="21">
        <f t="shared" si="9"/>
        <v>45072</v>
      </c>
      <c r="C639" s="22">
        <v>2023</v>
      </c>
      <c r="D639" s="23">
        <v>5</v>
      </c>
      <c r="E639" s="24">
        <v>26</v>
      </c>
      <c r="F639" s="42" t="s">
        <v>17</v>
      </c>
      <c r="G639" s="42" t="s">
        <v>13</v>
      </c>
      <c r="H639" s="42" t="s">
        <v>138</v>
      </c>
      <c r="I639" s="42" t="s">
        <v>139</v>
      </c>
      <c r="J639" s="10">
        <v>7900</v>
      </c>
      <c r="K639" s="7">
        <v>-7900</v>
      </c>
      <c r="L639" s="1" t="s">
        <v>738</v>
      </c>
    </row>
    <row r="640" spans="1:13">
      <c r="A640" s="21" t="str">
        <f>TEXT(TEXT(B640,"yyyymmdd"),"00000000")&amp;TEXT(COUNTIF($B$2:B640,B640),"00")</f>
        <v>2023052701</v>
      </c>
      <c r="B640" s="21">
        <f t="shared" si="9"/>
        <v>45073</v>
      </c>
      <c r="C640" s="22">
        <v>2023</v>
      </c>
      <c r="D640" s="23">
        <v>5</v>
      </c>
      <c r="E640" s="24">
        <v>27</v>
      </c>
      <c r="F640" s="42" t="s">
        <v>17</v>
      </c>
      <c r="G640" s="42" t="s">
        <v>7</v>
      </c>
      <c r="H640" s="42" t="s">
        <v>167</v>
      </c>
      <c r="I640" s="42" t="s">
        <v>168</v>
      </c>
      <c r="J640" s="10">
        <v>1800</v>
      </c>
      <c r="K640" s="7">
        <v>-1800</v>
      </c>
      <c r="L640" s="1" t="s">
        <v>532</v>
      </c>
    </row>
    <row r="641" spans="1:13">
      <c r="A641" s="21" t="str">
        <f>TEXT(TEXT(B641,"yyyymmdd"),"00000000")&amp;TEXT(COUNTIF($B$2:B641,B641),"00")</f>
        <v>2023052801</v>
      </c>
      <c r="B641" s="21">
        <f t="shared" si="9"/>
        <v>45074</v>
      </c>
      <c r="C641" s="22">
        <v>2023</v>
      </c>
      <c r="D641" s="23">
        <v>5</v>
      </c>
      <c r="E641" s="24">
        <v>28</v>
      </c>
      <c r="F641" s="42" t="s">
        <v>17</v>
      </c>
      <c r="G641" s="42" t="s">
        <v>7</v>
      </c>
      <c r="H641" s="42" t="s">
        <v>111</v>
      </c>
      <c r="I641" s="42" t="s">
        <v>334</v>
      </c>
      <c r="J641" s="10">
        <v>38000</v>
      </c>
      <c r="K641" s="7">
        <v>-38000</v>
      </c>
      <c r="L641" s="1" t="s">
        <v>739</v>
      </c>
    </row>
    <row r="642" spans="1:13">
      <c r="A642" s="21" t="str">
        <f>TEXT(TEXT(B642,"yyyymmdd"),"00000000")&amp;TEXT(COUNTIF($B$2:B642,B642),"00")</f>
        <v>2023053001</v>
      </c>
      <c r="B642" s="21">
        <f t="shared" ref="B642:B705" si="10">DATE(C642,D642,E642)</f>
        <v>45076</v>
      </c>
      <c r="C642" s="22">
        <v>2023</v>
      </c>
      <c r="D642" s="23">
        <v>5</v>
      </c>
      <c r="E642" s="24">
        <v>30</v>
      </c>
      <c r="F642" s="42" t="s">
        <v>17</v>
      </c>
      <c r="G642" s="42" t="s">
        <v>135</v>
      </c>
      <c r="H642" s="42" t="s">
        <v>135</v>
      </c>
      <c r="I642" s="42" t="s">
        <v>152</v>
      </c>
      <c r="J642" s="10">
        <v>-50000</v>
      </c>
      <c r="K642" s="7">
        <v>50000</v>
      </c>
      <c r="L642" s="1" t="s">
        <v>742</v>
      </c>
    </row>
    <row r="643" spans="1:13">
      <c r="A643" s="21" t="str">
        <f>TEXT(TEXT(B643,"yyyymmdd"),"00000000")&amp;TEXT(COUNTIF($B$2:B643,B643),"00")</f>
        <v>2023053002</v>
      </c>
      <c r="B643" s="21">
        <f t="shared" si="10"/>
        <v>45076</v>
      </c>
      <c r="C643" s="22">
        <v>2023</v>
      </c>
      <c r="D643" s="23">
        <v>5</v>
      </c>
      <c r="E643" s="24">
        <v>30</v>
      </c>
      <c r="F643" s="42" t="s">
        <v>17</v>
      </c>
      <c r="G643" s="42" t="s">
        <v>13</v>
      </c>
      <c r="H643" s="42" t="s">
        <v>138</v>
      </c>
      <c r="I643" s="42" t="s">
        <v>139</v>
      </c>
      <c r="J643" s="10">
        <v>4500</v>
      </c>
      <c r="K643" s="7">
        <v>-4500</v>
      </c>
      <c r="L643" s="1" t="s">
        <v>741</v>
      </c>
    </row>
    <row r="644" spans="1:13">
      <c r="A644" s="21" t="str">
        <f>TEXT(TEXT(B644,"yyyymmdd"),"00000000")&amp;TEXT(COUNTIF($B$2:B644,B644),"00")</f>
        <v>2023053003</v>
      </c>
      <c r="B644" s="21">
        <f t="shared" si="10"/>
        <v>45076</v>
      </c>
      <c r="C644" s="22">
        <v>2023</v>
      </c>
      <c r="D644" s="23">
        <v>5</v>
      </c>
      <c r="E644" s="24">
        <v>30</v>
      </c>
      <c r="F644" s="42" t="s">
        <v>17</v>
      </c>
      <c r="G644" s="42" t="s">
        <v>170</v>
      </c>
      <c r="H644" s="42" t="s">
        <v>155</v>
      </c>
      <c r="I644" s="42" t="s">
        <v>156</v>
      </c>
      <c r="J644" s="10">
        <v>2207</v>
      </c>
      <c r="K644" s="7">
        <v>-2207</v>
      </c>
      <c r="L644" s="1" t="s">
        <v>303</v>
      </c>
    </row>
    <row r="645" spans="1:13">
      <c r="A645" s="21" t="str">
        <f>TEXT(TEXT(B645,"yyyymmdd"),"00000000")&amp;TEXT(COUNTIF($B$2:B645,B645),"00")</f>
        <v>2023053004</v>
      </c>
      <c r="B645" s="21">
        <f t="shared" si="10"/>
        <v>45076</v>
      </c>
      <c r="C645" s="22">
        <v>2023</v>
      </c>
      <c r="D645" s="23">
        <v>5</v>
      </c>
      <c r="E645" s="24">
        <v>30</v>
      </c>
      <c r="F645" s="42" t="s">
        <v>17</v>
      </c>
      <c r="G645" s="42" t="s">
        <v>7</v>
      </c>
      <c r="H645" s="42" t="s">
        <v>167</v>
      </c>
      <c r="I645" s="42" t="s">
        <v>168</v>
      </c>
      <c r="J645" s="10">
        <v>2600</v>
      </c>
      <c r="K645" s="7">
        <v>-2600</v>
      </c>
      <c r="L645" s="1" t="s">
        <v>747</v>
      </c>
    </row>
    <row r="646" spans="1:13">
      <c r="A646" s="21" t="str">
        <f>TEXT(TEXT(B646,"yyyymmdd"),"00000000")&amp;TEXT(COUNTIF($B$2:B646,B646),"00")</f>
        <v>2023053005</v>
      </c>
      <c r="B646" s="21">
        <f t="shared" si="10"/>
        <v>45076</v>
      </c>
      <c r="C646" s="22">
        <v>2023</v>
      </c>
      <c r="D646" s="23">
        <v>5</v>
      </c>
      <c r="E646" s="24">
        <v>30</v>
      </c>
      <c r="F646" s="42" t="s">
        <v>17</v>
      </c>
      <c r="G646" s="42" t="s">
        <v>13</v>
      </c>
      <c r="H646" s="42" t="s">
        <v>138</v>
      </c>
      <c r="I646" s="42" t="s">
        <v>139</v>
      </c>
      <c r="J646" s="10">
        <v>6500</v>
      </c>
      <c r="K646" s="7">
        <v>-6500</v>
      </c>
      <c r="L646" s="1" t="s">
        <v>673</v>
      </c>
    </row>
    <row r="647" spans="1:13">
      <c r="A647" s="21" t="str">
        <f>TEXT(TEXT(B647,"yyyymmdd"),"00000000")&amp;TEXT(COUNTIF($B$2:B647,B647),"00")</f>
        <v>2023053101</v>
      </c>
      <c r="B647" s="21">
        <f t="shared" si="10"/>
        <v>45077</v>
      </c>
      <c r="C647" s="22">
        <v>2023</v>
      </c>
      <c r="D647" s="23">
        <v>5</v>
      </c>
      <c r="E647" s="24">
        <v>31</v>
      </c>
      <c r="F647" s="42" t="s">
        <v>17</v>
      </c>
      <c r="G647" s="42" t="s">
        <v>13</v>
      </c>
      <c r="H647" s="42" t="s">
        <v>138</v>
      </c>
      <c r="I647" s="42" t="s">
        <v>139</v>
      </c>
      <c r="J647" s="10">
        <v>5000</v>
      </c>
      <c r="K647" s="7">
        <v>-5000</v>
      </c>
      <c r="L647" s="1" t="s">
        <v>300</v>
      </c>
    </row>
    <row r="648" spans="1:13">
      <c r="A648" s="21" t="str">
        <f>TEXT(TEXT(B648,"yyyymmdd"),"00000000")&amp;TEXT(COUNTIF($B$2:B648,B648),"00")</f>
        <v>2023053102</v>
      </c>
      <c r="B648" s="21">
        <f t="shared" si="10"/>
        <v>45077</v>
      </c>
      <c r="C648" s="22">
        <v>2023</v>
      </c>
      <c r="D648" s="23">
        <v>5</v>
      </c>
      <c r="E648" s="24">
        <v>31</v>
      </c>
      <c r="F648" s="42" t="s">
        <v>17</v>
      </c>
      <c r="G648" s="42" t="s">
        <v>13</v>
      </c>
      <c r="H648" s="42" t="s">
        <v>138</v>
      </c>
      <c r="I648" s="42" t="s">
        <v>139</v>
      </c>
      <c r="J648" s="10">
        <v>7500</v>
      </c>
      <c r="K648" s="7">
        <v>-7500</v>
      </c>
      <c r="L648" s="1" t="s">
        <v>673</v>
      </c>
    </row>
    <row r="649" spans="1:13">
      <c r="A649" s="21" t="str">
        <f>TEXT(TEXT(B649,"yyyymmdd"),"00000000")&amp;TEXT(COUNTIF($B$2:B649,B649),"00")</f>
        <v>2023060101</v>
      </c>
      <c r="B649" s="21">
        <f t="shared" si="10"/>
        <v>45078</v>
      </c>
      <c r="C649" s="22">
        <v>2023</v>
      </c>
      <c r="D649" s="23">
        <v>6</v>
      </c>
      <c r="E649" s="24">
        <v>1</v>
      </c>
      <c r="F649" s="42" t="s">
        <v>17</v>
      </c>
      <c r="G649" s="42" t="s">
        <v>11</v>
      </c>
      <c r="H649" s="42" t="s">
        <v>99</v>
      </c>
      <c r="I649" s="42" t="s">
        <v>94</v>
      </c>
      <c r="J649" s="10">
        <v>-700000</v>
      </c>
      <c r="K649" s="7">
        <v>700000</v>
      </c>
      <c r="L649" s="1" t="s">
        <v>503</v>
      </c>
      <c r="M649" s="2" t="s">
        <v>740</v>
      </c>
    </row>
    <row r="650" spans="1:13">
      <c r="A650" s="21" t="str">
        <f>TEXT(TEXT(B650,"yyyymmdd"),"00000000")&amp;TEXT(COUNTIF($B$2:B650,B650),"00")</f>
        <v>2023060102</v>
      </c>
      <c r="B650" s="21">
        <f t="shared" si="10"/>
        <v>45078</v>
      </c>
      <c r="C650" s="22">
        <v>2023</v>
      </c>
      <c r="D650" s="23">
        <v>6</v>
      </c>
      <c r="E650" s="24">
        <v>1</v>
      </c>
      <c r="F650" s="42" t="s">
        <v>498</v>
      </c>
      <c r="G650" s="42" t="s">
        <v>11</v>
      </c>
      <c r="H650" s="42" t="s">
        <v>99</v>
      </c>
      <c r="I650" s="42" t="s">
        <v>94</v>
      </c>
      <c r="J650" s="10">
        <v>700000</v>
      </c>
      <c r="K650" s="7">
        <v>-700000</v>
      </c>
      <c r="L650" s="1" t="s">
        <v>573</v>
      </c>
    </row>
    <row r="651" spans="1:13">
      <c r="A651" s="21" t="str">
        <f>TEXT(TEXT(B651,"yyyymmdd"),"00000000")&amp;TEXT(COUNTIF($B$2:B651,B651),"00")</f>
        <v>2023060103</v>
      </c>
      <c r="B651" s="21">
        <f t="shared" si="10"/>
        <v>45078</v>
      </c>
      <c r="C651" s="22">
        <v>2023</v>
      </c>
      <c r="D651" s="23">
        <v>6</v>
      </c>
      <c r="E651" s="24">
        <v>1</v>
      </c>
      <c r="F651" s="42" t="s">
        <v>17</v>
      </c>
      <c r="G651" s="42" t="s">
        <v>13</v>
      </c>
      <c r="H651" s="42" t="s">
        <v>138</v>
      </c>
      <c r="I651" s="42" t="s">
        <v>139</v>
      </c>
      <c r="J651" s="10">
        <v>8500</v>
      </c>
      <c r="K651" s="7">
        <v>-8500</v>
      </c>
      <c r="L651" s="1" t="s">
        <v>685</v>
      </c>
    </row>
    <row r="652" spans="1:13">
      <c r="A652" s="21" t="str">
        <f>TEXT(TEXT(B652,"yyyymmdd"),"00000000")&amp;TEXT(COUNTIF($B$2:B652,B652),"00")</f>
        <v>2023060201</v>
      </c>
      <c r="B652" s="21">
        <f t="shared" si="10"/>
        <v>45079</v>
      </c>
      <c r="C652" s="22">
        <v>2023</v>
      </c>
      <c r="D652" s="23">
        <v>6</v>
      </c>
      <c r="E652" s="24">
        <v>2</v>
      </c>
      <c r="F652" s="42" t="s">
        <v>17</v>
      </c>
      <c r="G652" s="42" t="s">
        <v>13</v>
      </c>
      <c r="H652" s="42" t="s">
        <v>32</v>
      </c>
      <c r="I652" s="42" t="s">
        <v>620</v>
      </c>
      <c r="J652" s="10">
        <v>64000</v>
      </c>
      <c r="K652" s="7">
        <v>-64000</v>
      </c>
      <c r="L652" s="1" t="s">
        <v>743</v>
      </c>
    </row>
    <row r="653" spans="1:13">
      <c r="A653" s="21" t="str">
        <f>TEXT(TEXT(B653,"yyyymmdd"),"00000000")&amp;TEXT(COUNTIF($B$2:B653,B653),"00")</f>
        <v>2023060202</v>
      </c>
      <c r="B653" s="21">
        <f t="shared" si="10"/>
        <v>45079</v>
      </c>
      <c r="C653" s="22">
        <v>2023</v>
      </c>
      <c r="D653" s="23">
        <v>6</v>
      </c>
      <c r="E653" s="24">
        <v>2</v>
      </c>
      <c r="F653" s="42" t="s">
        <v>17</v>
      </c>
      <c r="G653" s="42" t="s">
        <v>13</v>
      </c>
      <c r="H653" s="42" t="s">
        <v>138</v>
      </c>
      <c r="I653" s="42" t="s">
        <v>139</v>
      </c>
      <c r="J653" s="10">
        <v>5900</v>
      </c>
      <c r="K653" s="7">
        <v>-5900</v>
      </c>
      <c r="L653" s="1" t="s">
        <v>623</v>
      </c>
    </row>
    <row r="654" spans="1:13">
      <c r="A654" s="21" t="str">
        <f>TEXT(TEXT(B654,"yyyymmdd"),"00000000")&amp;TEXT(COUNTIF($B$2:B654,B654),"00")</f>
        <v>2023060203</v>
      </c>
      <c r="B654" s="21">
        <f t="shared" si="10"/>
        <v>45079</v>
      </c>
      <c r="C654" s="22">
        <v>2023</v>
      </c>
      <c r="D654" s="23">
        <v>6</v>
      </c>
      <c r="E654" s="24">
        <v>2</v>
      </c>
      <c r="F654" s="42" t="s">
        <v>17</v>
      </c>
      <c r="G654" s="42" t="s">
        <v>13</v>
      </c>
      <c r="H654" s="42" t="s">
        <v>138</v>
      </c>
      <c r="I654" s="42" t="s">
        <v>139</v>
      </c>
      <c r="J654" s="10">
        <v>6500</v>
      </c>
      <c r="K654" s="7">
        <v>-6500</v>
      </c>
      <c r="L654" s="1" t="s">
        <v>679</v>
      </c>
    </row>
    <row r="655" spans="1:13">
      <c r="A655" s="21" t="str">
        <f>TEXT(TEXT(B655,"yyyymmdd"),"00000000")&amp;TEXT(COUNTIF($B$2:B655,B655),"00")</f>
        <v>2023060204</v>
      </c>
      <c r="B655" s="21">
        <f t="shared" si="10"/>
        <v>45079</v>
      </c>
      <c r="C655" s="22">
        <v>2023</v>
      </c>
      <c r="D655" s="23">
        <v>6</v>
      </c>
      <c r="E655" s="24">
        <v>2</v>
      </c>
      <c r="F655" s="42" t="s">
        <v>17</v>
      </c>
      <c r="G655" s="42" t="s">
        <v>7</v>
      </c>
      <c r="H655" s="42" t="s">
        <v>167</v>
      </c>
      <c r="I655" s="42" t="s">
        <v>168</v>
      </c>
      <c r="J655" s="10">
        <v>4400</v>
      </c>
      <c r="K655" s="7">
        <v>-4400</v>
      </c>
      <c r="L655" s="1" t="s">
        <v>747</v>
      </c>
    </row>
    <row r="656" spans="1:13">
      <c r="A656" s="21" t="str">
        <f>TEXT(TEXT(B656,"yyyymmdd"),"00000000")&amp;TEXT(COUNTIF($B$2:B656,B656),"00")</f>
        <v>2023060301</v>
      </c>
      <c r="B656" s="21">
        <f t="shared" si="10"/>
        <v>45080</v>
      </c>
      <c r="C656" s="22">
        <v>2023</v>
      </c>
      <c r="D656" s="23">
        <v>6</v>
      </c>
      <c r="E656" s="24">
        <v>3</v>
      </c>
      <c r="F656" s="42" t="s">
        <v>17</v>
      </c>
      <c r="G656" s="42" t="s">
        <v>13</v>
      </c>
      <c r="H656" s="42" t="s">
        <v>138</v>
      </c>
      <c r="I656" s="42" t="s">
        <v>139</v>
      </c>
      <c r="J656" s="10">
        <v>7000</v>
      </c>
      <c r="K656" s="7">
        <v>-7000</v>
      </c>
      <c r="L656" s="1" t="s">
        <v>709</v>
      </c>
    </row>
    <row r="657" spans="1:13">
      <c r="A657" s="21" t="str">
        <f>TEXT(TEXT(B657,"yyyymmdd"),"00000000")&amp;TEXT(COUNTIF($B$2:B657,B657),"00")</f>
        <v>2023060302</v>
      </c>
      <c r="B657" s="21">
        <f t="shared" si="10"/>
        <v>45080</v>
      </c>
      <c r="C657" s="22">
        <v>2023</v>
      </c>
      <c r="D657" s="23">
        <v>6</v>
      </c>
      <c r="E657" s="24">
        <v>3</v>
      </c>
      <c r="F657" s="42" t="s">
        <v>17</v>
      </c>
      <c r="G657" s="42" t="s">
        <v>7</v>
      </c>
      <c r="H657" s="42" t="s">
        <v>32</v>
      </c>
      <c r="I657" s="42" t="s">
        <v>141</v>
      </c>
      <c r="J657" s="10">
        <v>150</v>
      </c>
      <c r="K657" s="7">
        <v>-150</v>
      </c>
      <c r="L657" s="1" t="s">
        <v>745</v>
      </c>
    </row>
    <row r="658" spans="1:13">
      <c r="A658" s="21" t="str">
        <f>TEXT(TEXT(B658,"yyyymmdd"),"00000000")&amp;TEXT(COUNTIF($B$2:B658,B658),"00")</f>
        <v>2023060501</v>
      </c>
      <c r="B658" s="21">
        <f t="shared" si="10"/>
        <v>45082</v>
      </c>
      <c r="C658" s="22">
        <v>2023</v>
      </c>
      <c r="D658" s="23">
        <v>6</v>
      </c>
      <c r="E658" s="24">
        <v>5</v>
      </c>
      <c r="F658" s="42" t="s">
        <v>17</v>
      </c>
      <c r="G658" s="42" t="s">
        <v>7</v>
      </c>
      <c r="H658" s="42" t="s">
        <v>167</v>
      </c>
      <c r="I658" s="42" t="s">
        <v>214</v>
      </c>
      <c r="J658" s="10">
        <v>4000</v>
      </c>
      <c r="K658" s="7">
        <v>-4000</v>
      </c>
      <c r="L658" s="1" t="s">
        <v>603</v>
      </c>
    </row>
    <row r="659" spans="1:13">
      <c r="A659" s="21" t="str">
        <f>TEXT(TEXT(B659,"yyyymmdd"),"00000000")&amp;TEXT(COUNTIF($B$2:B659,B659),"00")</f>
        <v>2023060502</v>
      </c>
      <c r="B659" s="21">
        <f t="shared" si="10"/>
        <v>45082</v>
      </c>
      <c r="C659" s="22">
        <v>2023</v>
      </c>
      <c r="D659" s="23">
        <v>6</v>
      </c>
      <c r="E659" s="24">
        <v>5</v>
      </c>
      <c r="F659" s="42" t="s">
        <v>17</v>
      </c>
      <c r="G659" s="42" t="s">
        <v>13</v>
      </c>
      <c r="H659" s="42" t="s">
        <v>138</v>
      </c>
      <c r="I659" s="42" t="s">
        <v>139</v>
      </c>
      <c r="J659" s="10">
        <v>7500</v>
      </c>
      <c r="K659" s="7">
        <v>-7500</v>
      </c>
      <c r="L659" s="1" t="s">
        <v>677</v>
      </c>
    </row>
    <row r="660" spans="1:13">
      <c r="A660" s="21" t="str">
        <f>TEXT(TEXT(B660,"yyyymmdd"),"00000000")&amp;TEXT(COUNTIF($B$2:B660,B660),"00")</f>
        <v>2023060503</v>
      </c>
      <c r="B660" s="21">
        <f t="shared" si="10"/>
        <v>45082</v>
      </c>
      <c r="C660" s="22">
        <v>2023</v>
      </c>
      <c r="D660" s="23">
        <v>6</v>
      </c>
      <c r="E660" s="24">
        <v>5</v>
      </c>
      <c r="F660" s="42" t="s">
        <v>17</v>
      </c>
      <c r="G660" s="42" t="s">
        <v>13</v>
      </c>
      <c r="H660" s="42" t="s">
        <v>138</v>
      </c>
      <c r="I660" s="42" t="s">
        <v>139</v>
      </c>
      <c r="J660" s="10">
        <v>7000</v>
      </c>
      <c r="K660" s="7">
        <v>-7000</v>
      </c>
      <c r="L660" s="1" t="s">
        <v>634</v>
      </c>
    </row>
    <row r="661" spans="1:13">
      <c r="A661" s="21" t="str">
        <f>TEXT(TEXT(B661,"yyyymmdd"),"00000000")&amp;TEXT(COUNTIF($B$2:B661,B661),"00")</f>
        <v>2023060504</v>
      </c>
      <c r="B661" s="21">
        <f t="shared" si="10"/>
        <v>45082</v>
      </c>
      <c r="C661" s="22">
        <v>2023</v>
      </c>
      <c r="D661" s="23">
        <v>6</v>
      </c>
      <c r="E661" s="24">
        <v>5</v>
      </c>
      <c r="F661" s="42" t="s">
        <v>17</v>
      </c>
      <c r="G661" s="42" t="s">
        <v>13</v>
      </c>
      <c r="H661" s="42" t="s">
        <v>113</v>
      </c>
      <c r="I661" s="42" t="s">
        <v>171</v>
      </c>
      <c r="J661" s="10">
        <v>15000</v>
      </c>
      <c r="K661" s="7">
        <v>-15000</v>
      </c>
      <c r="L661" s="1" t="s">
        <v>502</v>
      </c>
    </row>
    <row r="662" spans="1:13">
      <c r="A662" s="21" t="str">
        <f>TEXT(TEXT(B662,"yyyymmdd"),"00000000")&amp;TEXT(COUNTIF($B$2:B662,B662),"00")</f>
        <v>2023060505</v>
      </c>
      <c r="B662" s="21">
        <f t="shared" si="10"/>
        <v>45082</v>
      </c>
      <c r="C662" s="22">
        <v>2023</v>
      </c>
      <c r="D662" s="23">
        <v>6</v>
      </c>
      <c r="E662" s="24">
        <v>5</v>
      </c>
      <c r="F662" s="42" t="s">
        <v>17</v>
      </c>
      <c r="G662" s="42" t="s">
        <v>7</v>
      </c>
      <c r="H662" s="42" t="s">
        <v>110</v>
      </c>
      <c r="I662" s="42" t="s">
        <v>120</v>
      </c>
      <c r="J662" s="10">
        <v>5700</v>
      </c>
      <c r="K662" s="7">
        <v>-5700</v>
      </c>
      <c r="L662" s="1" t="s">
        <v>480</v>
      </c>
    </row>
    <row r="663" spans="1:13">
      <c r="A663" s="21" t="str">
        <f>TEXT(TEXT(B663,"yyyymmdd"),"00000000")&amp;TEXT(COUNTIF($B$2:B663,B663),"00")</f>
        <v>2023060601</v>
      </c>
      <c r="B663" s="21">
        <f t="shared" si="10"/>
        <v>45083</v>
      </c>
      <c r="C663" s="22">
        <v>2023</v>
      </c>
      <c r="D663" s="23">
        <v>6</v>
      </c>
      <c r="E663" s="24">
        <v>6</v>
      </c>
      <c r="F663" s="42" t="s">
        <v>17</v>
      </c>
      <c r="G663" s="42" t="s">
        <v>7</v>
      </c>
      <c r="H663" s="42" t="s">
        <v>173</v>
      </c>
      <c r="I663" s="42" t="s">
        <v>207</v>
      </c>
      <c r="J663" s="10">
        <v>2800</v>
      </c>
      <c r="K663" s="7">
        <v>-2800</v>
      </c>
      <c r="L663" s="1" t="s">
        <v>208</v>
      </c>
    </row>
    <row r="664" spans="1:13">
      <c r="A664" s="21" t="str">
        <f>TEXT(TEXT(B664,"yyyymmdd"),"00000000")&amp;TEXT(COUNTIF($B$2:B664,B664),"00")</f>
        <v>2023060602</v>
      </c>
      <c r="B664" s="21">
        <f t="shared" si="10"/>
        <v>45083</v>
      </c>
      <c r="C664" s="22">
        <v>2023</v>
      </c>
      <c r="D664" s="23">
        <v>6</v>
      </c>
      <c r="E664" s="24">
        <v>6</v>
      </c>
      <c r="F664" s="42" t="s">
        <v>17</v>
      </c>
      <c r="G664" s="42" t="s">
        <v>13</v>
      </c>
      <c r="H664" s="42" t="s">
        <v>138</v>
      </c>
      <c r="I664" s="42" t="s">
        <v>139</v>
      </c>
      <c r="J664" s="10">
        <v>9500</v>
      </c>
      <c r="K664" s="7">
        <v>-9500</v>
      </c>
      <c r="L664" s="1" t="s">
        <v>680</v>
      </c>
    </row>
    <row r="665" spans="1:13">
      <c r="A665" s="21" t="str">
        <f>TEXT(TEXT(B665,"yyyymmdd"),"00000000")&amp;TEXT(COUNTIF($B$2:B665,B665),"00")</f>
        <v>2023060701</v>
      </c>
      <c r="B665" s="21">
        <f t="shared" si="10"/>
        <v>45084</v>
      </c>
      <c r="C665" s="22">
        <v>2023</v>
      </c>
      <c r="D665" s="23">
        <v>6</v>
      </c>
      <c r="E665" s="24">
        <v>7</v>
      </c>
      <c r="F665" s="42" t="s">
        <v>17</v>
      </c>
      <c r="G665" s="42" t="s">
        <v>135</v>
      </c>
      <c r="H665" s="42" t="s">
        <v>135</v>
      </c>
      <c r="I665" s="42" t="s">
        <v>190</v>
      </c>
      <c r="J665" s="10">
        <v>-2280</v>
      </c>
      <c r="K665" s="7">
        <v>2280</v>
      </c>
      <c r="L665" s="1" t="s">
        <v>592</v>
      </c>
    </row>
    <row r="666" spans="1:13">
      <c r="A666" s="21" t="str">
        <f>TEXT(TEXT(B666,"yyyymmdd"),"00000000")&amp;TEXT(COUNTIF($B$2:B666,B666),"00")</f>
        <v>2023060702</v>
      </c>
      <c r="B666" s="21">
        <f t="shared" si="10"/>
        <v>45084</v>
      </c>
      <c r="C666" s="22">
        <v>2023</v>
      </c>
      <c r="D666" s="23">
        <v>6</v>
      </c>
      <c r="E666" s="24">
        <v>7</v>
      </c>
      <c r="F666" s="42" t="s">
        <v>17</v>
      </c>
      <c r="G666" s="42" t="s">
        <v>13</v>
      </c>
      <c r="H666" s="42" t="s">
        <v>138</v>
      </c>
      <c r="I666" s="42" t="s">
        <v>139</v>
      </c>
      <c r="J666" s="10">
        <v>8500</v>
      </c>
      <c r="K666" s="7">
        <v>-8500</v>
      </c>
      <c r="L666" s="1" t="s">
        <v>660</v>
      </c>
    </row>
    <row r="667" spans="1:13">
      <c r="A667" s="21" t="str">
        <f>TEXT(TEXT(B667,"yyyymmdd"),"00000000")&amp;TEXT(COUNTIF($B$2:B667,B667),"00")</f>
        <v>2023060703</v>
      </c>
      <c r="B667" s="21">
        <f t="shared" si="10"/>
        <v>45084</v>
      </c>
      <c r="C667" s="22">
        <v>2023</v>
      </c>
      <c r="D667" s="23">
        <v>6</v>
      </c>
      <c r="E667" s="24">
        <v>7</v>
      </c>
      <c r="F667" s="42" t="s">
        <v>17</v>
      </c>
      <c r="G667" s="42" t="s">
        <v>13</v>
      </c>
      <c r="H667" s="42" t="s">
        <v>167</v>
      </c>
      <c r="I667" s="42" t="s">
        <v>168</v>
      </c>
      <c r="J667" s="10">
        <v>3200</v>
      </c>
      <c r="K667" s="7">
        <v>-3200</v>
      </c>
      <c r="L667" s="1" t="s">
        <v>748</v>
      </c>
      <c r="M667" s="2" t="s">
        <v>657</v>
      </c>
    </row>
    <row r="668" spans="1:13">
      <c r="A668" s="21" t="str">
        <f>TEXT(TEXT(B668,"yyyymmdd"),"00000000")&amp;TEXT(COUNTIF($B$2:B668,B668),"00")</f>
        <v>2023060704</v>
      </c>
      <c r="B668" s="21">
        <f t="shared" si="10"/>
        <v>45084</v>
      </c>
      <c r="C668" s="22">
        <v>2023</v>
      </c>
      <c r="D668" s="23">
        <v>6</v>
      </c>
      <c r="E668" s="24">
        <v>7</v>
      </c>
      <c r="F668" s="42" t="s">
        <v>498</v>
      </c>
      <c r="G668" s="42" t="s">
        <v>7</v>
      </c>
      <c r="H668" s="42" t="s">
        <v>116</v>
      </c>
      <c r="I668" s="42" t="s">
        <v>404</v>
      </c>
      <c r="J668" s="10">
        <v>155800</v>
      </c>
      <c r="K668" s="7">
        <v>-155800</v>
      </c>
      <c r="L668" s="1" t="s">
        <v>749</v>
      </c>
    </row>
    <row r="669" spans="1:13">
      <c r="A669" s="21" t="str">
        <f>TEXT(TEXT(B669,"yyyymmdd"),"00000000")&amp;TEXT(COUNTIF($B$2:B669,B669),"00")</f>
        <v>2023060801</v>
      </c>
      <c r="B669" s="21">
        <f t="shared" si="10"/>
        <v>45085</v>
      </c>
      <c r="C669" s="22">
        <v>2023</v>
      </c>
      <c r="D669" s="23">
        <v>6</v>
      </c>
      <c r="E669" s="24">
        <v>8</v>
      </c>
      <c r="F669" s="42" t="s">
        <v>17</v>
      </c>
      <c r="G669" s="42" t="s">
        <v>13</v>
      </c>
      <c r="H669" s="42" t="s">
        <v>138</v>
      </c>
      <c r="I669" s="42" t="s">
        <v>139</v>
      </c>
      <c r="J669" s="10">
        <v>5600</v>
      </c>
      <c r="K669" s="7">
        <v>-5600</v>
      </c>
      <c r="L669" s="1" t="s">
        <v>741</v>
      </c>
    </row>
    <row r="670" spans="1:13">
      <c r="A670" s="21" t="str">
        <f>TEXT(TEXT(B670,"yyyymmdd"),"00000000")&amp;TEXT(COUNTIF($B$2:B670,B670),"00")</f>
        <v>2023060802</v>
      </c>
      <c r="B670" s="21">
        <f t="shared" si="10"/>
        <v>45085</v>
      </c>
      <c r="C670" s="22">
        <v>2023</v>
      </c>
      <c r="D670" s="23">
        <v>6</v>
      </c>
      <c r="E670" s="24">
        <v>8</v>
      </c>
      <c r="F670" s="42" t="s">
        <v>17</v>
      </c>
      <c r="G670" s="42" t="s">
        <v>13</v>
      </c>
      <c r="H670" s="42" t="s">
        <v>138</v>
      </c>
      <c r="I670" s="42" t="s">
        <v>139</v>
      </c>
      <c r="J670" s="10">
        <v>6000</v>
      </c>
      <c r="K670" s="7">
        <v>-6000</v>
      </c>
      <c r="L670" s="1" t="s">
        <v>619</v>
      </c>
    </row>
    <row r="671" spans="1:13">
      <c r="A671" s="21" t="str">
        <f>TEXT(TEXT(B671,"yyyymmdd"),"00000000")&amp;TEXT(COUNTIF($B$2:B671,B671),"00")</f>
        <v>2023060803</v>
      </c>
      <c r="B671" s="21">
        <f t="shared" si="10"/>
        <v>45085</v>
      </c>
      <c r="C671" s="22">
        <v>2023</v>
      </c>
      <c r="D671" s="23">
        <v>6</v>
      </c>
      <c r="E671" s="24">
        <v>8</v>
      </c>
      <c r="F671" s="42" t="s">
        <v>17</v>
      </c>
      <c r="G671" s="42" t="s">
        <v>135</v>
      </c>
      <c r="H671" s="42" t="s">
        <v>135</v>
      </c>
      <c r="I671" s="42" t="s">
        <v>143</v>
      </c>
      <c r="J671" s="10">
        <v>-10000</v>
      </c>
      <c r="K671" s="7">
        <v>10000</v>
      </c>
      <c r="L671" s="1" t="s">
        <v>165</v>
      </c>
    </row>
    <row r="672" spans="1:13">
      <c r="A672" s="21" t="str">
        <f>TEXT(TEXT(B672,"yyyymmdd"),"00000000")&amp;TEXT(COUNTIF($B$2:B672,B672),"00")</f>
        <v>2023060901</v>
      </c>
      <c r="B672" s="21">
        <f t="shared" si="10"/>
        <v>45086</v>
      </c>
      <c r="C672" s="22">
        <v>2023</v>
      </c>
      <c r="D672" s="23">
        <v>6</v>
      </c>
      <c r="E672" s="24">
        <v>9</v>
      </c>
      <c r="F672" s="42" t="s">
        <v>17</v>
      </c>
      <c r="G672" s="42" t="s">
        <v>13</v>
      </c>
      <c r="H672" s="42" t="s">
        <v>138</v>
      </c>
      <c r="I672" s="42" t="s">
        <v>139</v>
      </c>
      <c r="J672" s="10">
        <v>7500</v>
      </c>
      <c r="K672" s="7">
        <v>-7500</v>
      </c>
      <c r="L672" s="1" t="s">
        <v>673</v>
      </c>
    </row>
    <row r="673" spans="1:13">
      <c r="A673" s="21" t="str">
        <f>TEXT(TEXT(B673,"yyyymmdd"),"00000000")&amp;TEXT(COUNTIF($B$2:B673,B673),"00")</f>
        <v>2023061201</v>
      </c>
      <c r="B673" s="21">
        <f t="shared" si="10"/>
        <v>45089</v>
      </c>
      <c r="C673" s="22">
        <v>2023</v>
      </c>
      <c r="D673" s="23">
        <v>6</v>
      </c>
      <c r="E673" s="24">
        <v>12</v>
      </c>
      <c r="F673" s="42" t="s">
        <v>17</v>
      </c>
      <c r="G673" s="42" t="s">
        <v>13</v>
      </c>
      <c r="H673" s="42" t="s">
        <v>138</v>
      </c>
      <c r="I673" s="42" t="s">
        <v>139</v>
      </c>
      <c r="J673" s="10">
        <v>7000</v>
      </c>
      <c r="K673" s="7">
        <v>-7000</v>
      </c>
      <c r="L673" s="1" t="s">
        <v>679</v>
      </c>
    </row>
    <row r="674" spans="1:13">
      <c r="A674" s="21" t="str">
        <f>TEXT(TEXT(B674,"yyyymmdd"),"00000000")&amp;TEXT(COUNTIF($B$2:B674,B674),"00")</f>
        <v>2023061202</v>
      </c>
      <c r="B674" s="21">
        <f t="shared" si="10"/>
        <v>45089</v>
      </c>
      <c r="C674" s="22">
        <v>2023</v>
      </c>
      <c r="D674" s="23">
        <v>6</v>
      </c>
      <c r="E674" s="24">
        <v>12</v>
      </c>
      <c r="F674" s="42" t="s">
        <v>17</v>
      </c>
      <c r="G674" s="42" t="s">
        <v>7</v>
      </c>
      <c r="H674" s="42" t="s">
        <v>110</v>
      </c>
      <c r="I674" s="42" t="s">
        <v>120</v>
      </c>
      <c r="J674" s="10">
        <v>2700</v>
      </c>
      <c r="K674" s="7">
        <v>-2700</v>
      </c>
      <c r="L674" s="1" t="s">
        <v>712</v>
      </c>
    </row>
    <row r="675" spans="1:13">
      <c r="A675" s="21" t="str">
        <f>TEXT(TEXT(B675,"yyyymmdd"),"00000000")&amp;TEXT(COUNTIF($B$2:B675,B675),"00")</f>
        <v>2023061203</v>
      </c>
      <c r="B675" s="21">
        <f t="shared" si="10"/>
        <v>45089</v>
      </c>
      <c r="C675" s="22">
        <v>2023</v>
      </c>
      <c r="D675" s="23">
        <v>6</v>
      </c>
      <c r="E675" s="24">
        <v>12</v>
      </c>
      <c r="F675" s="42" t="s">
        <v>17</v>
      </c>
      <c r="G675" s="42" t="s">
        <v>13</v>
      </c>
      <c r="H675" s="42" t="s">
        <v>138</v>
      </c>
      <c r="I675" s="42" t="s">
        <v>139</v>
      </c>
      <c r="J675" s="10">
        <v>8500</v>
      </c>
      <c r="K675" s="7">
        <v>-8500</v>
      </c>
      <c r="L675" s="1" t="s">
        <v>750</v>
      </c>
    </row>
    <row r="676" spans="1:13">
      <c r="A676" s="21" t="str">
        <f>TEXT(TEXT(B676,"yyyymmdd"),"00000000")&amp;TEXT(COUNTIF($B$2:B676,B676),"00")</f>
        <v>2023061301</v>
      </c>
      <c r="B676" s="21">
        <f t="shared" si="10"/>
        <v>45090</v>
      </c>
      <c r="C676" s="22">
        <v>2023</v>
      </c>
      <c r="D676" s="23">
        <v>6</v>
      </c>
      <c r="E676" s="24">
        <v>13</v>
      </c>
      <c r="F676" s="42" t="s">
        <v>17</v>
      </c>
      <c r="G676" s="42" t="s">
        <v>7</v>
      </c>
      <c r="H676" s="42" t="s">
        <v>32</v>
      </c>
      <c r="I676" s="42" t="s">
        <v>533</v>
      </c>
      <c r="J676" s="10">
        <v>70000</v>
      </c>
      <c r="K676" s="7">
        <v>-70000</v>
      </c>
      <c r="L676" s="1" t="s">
        <v>751</v>
      </c>
      <c r="M676" s="2" t="s">
        <v>752</v>
      </c>
    </row>
    <row r="677" spans="1:13">
      <c r="A677" s="21" t="str">
        <f>TEXT(TEXT(B677,"yyyymmdd"),"00000000")&amp;TEXT(COUNTIF($B$2:B677,B677),"00")</f>
        <v>2023061302</v>
      </c>
      <c r="B677" s="21">
        <f t="shared" si="10"/>
        <v>45090</v>
      </c>
      <c r="C677" s="22">
        <v>2023</v>
      </c>
      <c r="D677" s="23">
        <v>6</v>
      </c>
      <c r="E677" s="24">
        <v>13</v>
      </c>
      <c r="F677" s="42" t="s">
        <v>17</v>
      </c>
      <c r="G677" s="42" t="s">
        <v>13</v>
      </c>
      <c r="H677" s="42" t="s">
        <v>138</v>
      </c>
      <c r="I677" s="42" t="s">
        <v>139</v>
      </c>
      <c r="J677" s="10">
        <v>11250</v>
      </c>
      <c r="K677" s="7">
        <v>-11250</v>
      </c>
      <c r="L677" s="1" t="s">
        <v>734</v>
      </c>
    </row>
    <row r="678" spans="1:13">
      <c r="A678" s="21" t="str">
        <f>TEXT(TEXT(B678,"yyyymmdd"),"00000000")&amp;TEXT(COUNTIF($B$2:B678,B678),"00")</f>
        <v>2023061303</v>
      </c>
      <c r="B678" s="21">
        <f t="shared" si="10"/>
        <v>45090</v>
      </c>
      <c r="C678" s="22">
        <v>2023</v>
      </c>
      <c r="D678" s="23">
        <v>6</v>
      </c>
      <c r="E678" s="24">
        <v>13</v>
      </c>
      <c r="F678" s="42" t="s">
        <v>17</v>
      </c>
      <c r="G678" s="42" t="s">
        <v>13</v>
      </c>
      <c r="H678" s="42" t="s">
        <v>32</v>
      </c>
      <c r="I678" s="42" t="s">
        <v>620</v>
      </c>
      <c r="J678" s="10">
        <v>54000</v>
      </c>
      <c r="K678" s="7">
        <v>-54000</v>
      </c>
      <c r="L678" s="1" t="s">
        <v>715</v>
      </c>
    </row>
    <row r="679" spans="1:13">
      <c r="A679" s="21" t="str">
        <f>TEXT(TEXT(B679,"yyyymmdd"),"00000000")&amp;TEXT(COUNTIF($B$2:B679,B679),"00")</f>
        <v>2023061401</v>
      </c>
      <c r="B679" s="21">
        <f t="shared" si="10"/>
        <v>45091</v>
      </c>
      <c r="C679" s="22">
        <v>2023</v>
      </c>
      <c r="D679" s="23">
        <v>6</v>
      </c>
      <c r="E679" s="24">
        <v>14</v>
      </c>
      <c r="F679" s="42" t="s">
        <v>17</v>
      </c>
      <c r="G679" s="42" t="s">
        <v>7</v>
      </c>
      <c r="H679" s="42" t="s">
        <v>138</v>
      </c>
      <c r="I679" s="42" t="s">
        <v>139</v>
      </c>
      <c r="J679" s="10">
        <v>10000</v>
      </c>
      <c r="K679" s="7">
        <v>-10000</v>
      </c>
      <c r="L679" s="1" t="s">
        <v>236</v>
      </c>
    </row>
    <row r="680" spans="1:13">
      <c r="A680" s="21" t="str">
        <f>TEXT(TEXT(B680,"yyyymmdd"),"00000000")&amp;TEXT(COUNTIF($B$2:B680,B680),"00")</f>
        <v>2023061402</v>
      </c>
      <c r="B680" s="21">
        <f t="shared" si="10"/>
        <v>45091</v>
      </c>
      <c r="C680" s="22">
        <v>2023</v>
      </c>
      <c r="D680" s="23">
        <v>6</v>
      </c>
      <c r="E680" s="24">
        <v>14</v>
      </c>
      <c r="F680" s="42" t="s">
        <v>17</v>
      </c>
      <c r="G680" s="42" t="s">
        <v>7</v>
      </c>
      <c r="H680" s="42" t="s">
        <v>167</v>
      </c>
      <c r="I680" s="42" t="s">
        <v>214</v>
      </c>
      <c r="J680" s="10">
        <v>26400</v>
      </c>
      <c r="K680" s="7">
        <v>-26400</v>
      </c>
      <c r="L680" s="1" t="s">
        <v>753</v>
      </c>
    </row>
    <row r="681" spans="1:13">
      <c r="A681" s="21" t="str">
        <f>TEXT(TEXT(B681,"yyyymmdd"),"00000000")&amp;TEXT(COUNTIF($B$2:B681,B681),"00")</f>
        <v>2023061403</v>
      </c>
      <c r="B681" s="21">
        <f t="shared" si="10"/>
        <v>45091</v>
      </c>
      <c r="C681" s="22">
        <v>2023</v>
      </c>
      <c r="D681" s="23">
        <v>6</v>
      </c>
      <c r="E681" s="24">
        <v>14</v>
      </c>
      <c r="F681" s="42" t="s">
        <v>17</v>
      </c>
      <c r="G681" s="42" t="s">
        <v>13</v>
      </c>
      <c r="H681" s="42" t="s">
        <v>138</v>
      </c>
      <c r="I681" s="42" t="s">
        <v>139</v>
      </c>
      <c r="J681" s="10">
        <v>7500</v>
      </c>
      <c r="K681" s="7">
        <v>-7500</v>
      </c>
      <c r="L681" s="1" t="s">
        <v>680</v>
      </c>
    </row>
    <row r="682" spans="1:13">
      <c r="A682" s="21" t="str">
        <f>TEXT(TEXT(B682,"yyyymmdd"),"00000000")&amp;TEXT(COUNTIF($B$2:B682,B682),"00")</f>
        <v>2023061501</v>
      </c>
      <c r="B682" s="21">
        <f t="shared" si="10"/>
        <v>45092</v>
      </c>
      <c r="C682" s="22">
        <v>2023</v>
      </c>
      <c r="D682" s="23">
        <v>6</v>
      </c>
      <c r="E682" s="24">
        <v>15</v>
      </c>
      <c r="F682" s="42" t="s">
        <v>17</v>
      </c>
      <c r="G682" s="42" t="s">
        <v>7</v>
      </c>
      <c r="H682" s="42" t="s">
        <v>116</v>
      </c>
      <c r="I682" s="42" t="s">
        <v>225</v>
      </c>
      <c r="J682" s="10">
        <v>9000</v>
      </c>
      <c r="K682" s="7">
        <v>-9000</v>
      </c>
      <c r="L682" s="1" t="s">
        <v>755</v>
      </c>
    </row>
    <row r="683" spans="1:13">
      <c r="A683" s="21" t="str">
        <f>TEXT(TEXT(B683,"yyyymmdd"),"00000000")&amp;TEXT(COUNTIF($B$2:B683,B683),"00")</f>
        <v>2023061502</v>
      </c>
      <c r="B683" s="21">
        <f t="shared" si="10"/>
        <v>45092</v>
      </c>
      <c r="C683" s="22">
        <v>2023</v>
      </c>
      <c r="D683" s="23">
        <v>6</v>
      </c>
      <c r="E683" s="24">
        <v>15</v>
      </c>
      <c r="F683" s="42" t="s">
        <v>17</v>
      </c>
      <c r="G683" s="42" t="s">
        <v>7</v>
      </c>
      <c r="H683" s="42" t="s">
        <v>117</v>
      </c>
      <c r="I683" s="42" t="s">
        <v>453</v>
      </c>
      <c r="J683" s="10">
        <v>26000</v>
      </c>
      <c r="K683" s="7">
        <v>-26000</v>
      </c>
      <c r="L683" s="1" t="s">
        <v>754</v>
      </c>
    </row>
    <row r="684" spans="1:13">
      <c r="A684" s="21" t="str">
        <f>TEXT(TEXT(B684,"yyyymmdd"),"00000000")&amp;TEXT(COUNTIF($B$2:B684,B684),"00")</f>
        <v>2023061503</v>
      </c>
      <c r="B684" s="21">
        <f t="shared" si="10"/>
        <v>45092</v>
      </c>
      <c r="C684" s="22">
        <v>2023</v>
      </c>
      <c r="D684" s="23">
        <v>6</v>
      </c>
      <c r="E684" s="24">
        <v>15</v>
      </c>
      <c r="F684" s="42" t="s">
        <v>17</v>
      </c>
      <c r="G684" s="42" t="s">
        <v>7</v>
      </c>
      <c r="H684" s="42" t="s">
        <v>138</v>
      </c>
      <c r="I684" s="42" t="s">
        <v>139</v>
      </c>
      <c r="J684" s="10">
        <v>9000</v>
      </c>
      <c r="K684" s="7">
        <v>-9000</v>
      </c>
      <c r="L684" s="1" t="s">
        <v>756</v>
      </c>
    </row>
    <row r="685" spans="1:13">
      <c r="A685" s="21" t="str">
        <f>TEXT(TEXT(B685,"yyyymmdd"),"00000000")&amp;TEXT(COUNTIF($B$2:B685,B685),"00")</f>
        <v>2023061601</v>
      </c>
      <c r="B685" s="21">
        <f t="shared" si="10"/>
        <v>45093</v>
      </c>
      <c r="C685" s="22">
        <v>2023</v>
      </c>
      <c r="D685" s="23">
        <v>6</v>
      </c>
      <c r="E685" s="24">
        <v>16</v>
      </c>
      <c r="F685" s="42" t="s">
        <v>17</v>
      </c>
      <c r="G685" s="42" t="s">
        <v>7</v>
      </c>
      <c r="H685" s="42" t="s">
        <v>32</v>
      </c>
      <c r="I685" s="42" t="s">
        <v>141</v>
      </c>
      <c r="J685" s="10">
        <v>2650</v>
      </c>
      <c r="K685" s="7">
        <v>-2650</v>
      </c>
      <c r="L685" s="1" t="s">
        <v>745</v>
      </c>
    </row>
    <row r="686" spans="1:13">
      <c r="A686" s="21" t="str">
        <f>TEXT(TEXT(B686,"yyyymmdd"),"00000000")&amp;TEXT(COUNTIF($B$2:B686,B686),"00")</f>
        <v>2023061701</v>
      </c>
      <c r="B686" s="21">
        <f t="shared" si="10"/>
        <v>45094</v>
      </c>
      <c r="C686" s="22">
        <v>2023</v>
      </c>
      <c r="D686" s="23">
        <v>6</v>
      </c>
      <c r="E686" s="24">
        <v>17</v>
      </c>
      <c r="F686" s="42" t="s">
        <v>17</v>
      </c>
      <c r="G686" s="42" t="s">
        <v>7</v>
      </c>
      <c r="H686" s="42" t="s">
        <v>116</v>
      </c>
      <c r="I686" s="42" t="s">
        <v>695</v>
      </c>
      <c r="J686" s="10">
        <v>30000</v>
      </c>
      <c r="K686" s="7">
        <v>-30000</v>
      </c>
      <c r="L686" s="1" t="s">
        <v>564</v>
      </c>
    </row>
    <row r="687" spans="1:13">
      <c r="A687" s="21" t="str">
        <f>TEXT(TEXT(B687,"yyyymmdd"),"00000000")&amp;TEXT(COUNTIF($B$2:B687,B687),"00")</f>
        <v>2023061702</v>
      </c>
      <c r="B687" s="21">
        <f t="shared" si="10"/>
        <v>45094</v>
      </c>
      <c r="C687" s="22">
        <v>2023</v>
      </c>
      <c r="D687" s="23">
        <v>6</v>
      </c>
      <c r="E687" s="24">
        <v>17</v>
      </c>
      <c r="F687" s="42" t="s">
        <v>17</v>
      </c>
      <c r="G687" s="42" t="s">
        <v>13</v>
      </c>
      <c r="H687" s="42" t="s">
        <v>138</v>
      </c>
      <c r="I687" s="42" t="s">
        <v>139</v>
      </c>
      <c r="J687" s="10">
        <v>4800</v>
      </c>
      <c r="K687" s="7">
        <v>-4800</v>
      </c>
      <c r="L687" s="1" t="s">
        <v>300</v>
      </c>
    </row>
    <row r="688" spans="1:13">
      <c r="A688" s="21" t="str">
        <f>TEXT(TEXT(B688,"yyyymmdd"),"00000000")&amp;TEXT(COUNTIF($B$2:B688,B688),"00")</f>
        <v>2023061703</v>
      </c>
      <c r="B688" s="21">
        <f t="shared" si="10"/>
        <v>45094</v>
      </c>
      <c r="C688" s="22">
        <v>2023</v>
      </c>
      <c r="D688" s="23">
        <v>6</v>
      </c>
      <c r="E688" s="24">
        <v>17</v>
      </c>
      <c r="F688" s="42" t="s">
        <v>17</v>
      </c>
      <c r="G688" s="42" t="s">
        <v>7</v>
      </c>
      <c r="H688" s="42" t="s">
        <v>32</v>
      </c>
      <c r="I688" s="42" t="s">
        <v>141</v>
      </c>
      <c r="J688" s="10">
        <v>1000</v>
      </c>
      <c r="K688" s="7">
        <v>-1000</v>
      </c>
      <c r="L688" s="1" t="s">
        <v>757</v>
      </c>
    </row>
    <row r="689" spans="1:13">
      <c r="A689" s="21" t="str">
        <f>TEXT(TEXT(B689,"yyyymmdd"),"00000000")&amp;TEXT(COUNTIF($B$2:B689,B689),"00")</f>
        <v>2023061704</v>
      </c>
      <c r="B689" s="21">
        <f t="shared" si="10"/>
        <v>45094</v>
      </c>
      <c r="C689" s="22">
        <v>2023</v>
      </c>
      <c r="D689" s="23">
        <v>6</v>
      </c>
      <c r="E689" s="24">
        <v>17</v>
      </c>
      <c r="F689" s="42" t="s">
        <v>17</v>
      </c>
      <c r="G689" s="42" t="s">
        <v>7</v>
      </c>
      <c r="H689" s="42" t="s">
        <v>110</v>
      </c>
      <c r="I689" s="42" t="s">
        <v>120</v>
      </c>
      <c r="J689" s="10">
        <v>3200</v>
      </c>
      <c r="K689" s="7">
        <v>-3200</v>
      </c>
      <c r="L689" s="1" t="s">
        <v>480</v>
      </c>
    </row>
    <row r="690" spans="1:13">
      <c r="A690" s="21" t="str">
        <f>TEXT(TEXT(B690,"yyyymmdd"),"00000000")&amp;TEXT(COUNTIF($B$2:B690,B690),"00")</f>
        <v>2023062001</v>
      </c>
      <c r="B690" s="21">
        <f t="shared" si="10"/>
        <v>45097</v>
      </c>
      <c r="C690" s="22">
        <v>2023</v>
      </c>
      <c r="D690" s="23">
        <v>6</v>
      </c>
      <c r="E690" s="24">
        <v>20</v>
      </c>
      <c r="F690" s="42" t="s">
        <v>17</v>
      </c>
      <c r="G690" s="42" t="s">
        <v>7</v>
      </c>
      <c r="H690" s="42" t="s">
        <v>117</v>
      </c>
      <c r="I690" s="42" t="s">
        <v>468</v>
      </c>
      <c r="J690" s="10">
        <v>104000</v>
      </c>
      <c r="K690" s="7">
        <v>-104000</v>
      </c>
      <c r="L690" s="1" t="s">
        <v>758</v>
      </c>
      <c r="M690" s="2" t="s">
        <v>759</v>
      </c>
    </row>
    <row r="691" spans="1:13">
      <c r="A691" s="21" t="str">
        <f>TEXT(TEXT(B691,"yyyymmdd"),"00000000")&amp;TEXT(COUNTIF($B$2:B691,B691),"00")</f>
        <v>2023062002</v>
      </c>
      <c r="B691" s="21">
        <f t="shared" si="10"/>
        <v>45097</v>
      </c>
      <c r="C691" s="22">
        <v>2023</v>
      </c>
      <c r="D691" s="23">
        <v>6</v>
      </c>
      <c r="E691" s="24">
        <v>20</v>
      </c>
      <c r="F691" s="42" t="s">
        <v>17</v>
      </c>
      <c r="G691" s="42" t="s">
        <v>7</v>
      </c>
      <c r="H691" s="42" t="s">
        <v>32</v>
      </c>
      <c r="I691" s="42" t="s">
        <v>620</v>
      </c>
      <c r="J691" s="10">
        <v>50000</v>
      </c>
      <c r="K691" s="7">
        <v>-50000</v>
      </c>
      <c r="L691" s="1" t="s">
        <v>598</v>
      </c>
    </row>
    <row r="692" spans="1:13">
      <c r="A692" s="21" t="str">
        <f>TEXT(TEXT(B692,"yyyymmdd"),"00000000")&amp;TEXT(COUNTIF($B$2:B692,B692),"00")</f>
        <v>2023062201</v>
      </c>
      <c r="B692" s="21">
        <f t="shared" si="10"/>
        <v>45099</v>
      </c>
      <c r="C692" s="22">
        <v>2023</v>
      </c>
      <c r="D692" s="23">
        <v>6</v>
      </c>
      <c r="E692" s="24">
        <v>22</v>
      </c>
      <c r="F692" s="42" t="s">
        <v>17</v>
      </c>
      <c r="G692" s="42" t="s">
        <v>7</v>
      </c>
      <c r="H692" s="42" t="s">
        <v>173</v>
      </c>
      <c r="I692" s="42" t="s">
        <v>174</v>
      </c>
      <c r="J692" s="10">
        <v>1080</v>
      </c>
      <c r="K692" s="7">
        <v>-1080</v>
      </c>
      <c r="L692" s="1" t="s">
        <v>694</v>
      </c>
    </row>
    <row r="693" spans="1:13">
      <c r="A693" s="21" t="str">
        <f>TEXT(TEXT(B693,"yyyymmdd"),"00000000")&amp;TEXT(COUNTIF($B$2:B693,B693),"00")</f>
        <v>2023062401</v>
      </c>
      <c r="B693" s="21">
        <f t="shared" si="10"/>
        <v>45101</v>
      </c>
      <c r="C693" s="22">
        <v>2023</v>
      </c>
      <c r="D693" s="23">
        <v>6</v>
      </c>
      <c r="E693" s="24">
        <v>24</v>
      </c>
      <c r="F693" s="42" t="s">
        <v>17</v>
      </c>
      <c r="G693" s="42" t="s">
        <v>7</v>
      </c>
      <c r="H693" s="42" t="s">
        <v>116</v>
      </c>
      <c r="I693" s="42" t="s">
        <v>225</v>
      </c>
      <c r="J693" s="10">
        <v>10400</v>
      </c>
      <c r="K693" s="7">
        <v>-10400</v>
      </c>
      <c r="L693" s="1" t="s">
        <v>760</v>
      </c>
    </row>
    <row r="694" spans="1:13">
      <c r="A694" s="21" t="str">
        <f>TEXT(TEXT(B694,"yyyymmdd"),"00000000")&amp;TEXT(COUNTIF($B$2:B694,B694),"00")</f>
        <v>2023062402</v>
      </c>
      <c r="B694" s="21">
        <f t="shared" si="10"/>
        <v>45101</v>
      </c>
      <c r="C694" s="22">
        <v>2023</v>
      </c>
      <c r="D694" s="23">
        <v>6</v>
      </c>
      <c r="E694" s="24">
        <v>24</v>
      </c>
      <c r="F694" s="42" t="s">
        <v>17</v>
      </c>
      <c r="G694" s="42" t="s">
        <v>7</v>
      </c>
      <c r="H694" s="42" t="s">
        <v>32</v>
      </c>
      <c r="I694" s="42" t="s">
        <v>141</v>
      </c>
      <c r="J694" s="10">
        <v>300</v>
      </c>
      <c r="K694" s="7">
        <v>-300</v>
      </c>
      <c r="L694" s="1" t="s">
        <v>761</v>
      </c>
    </row>
    <row r="695" spans="1:13">
      <c r="A695" s="21" t="str">
        <f>TEXT(TEXT(B695,"yyyymmdd"),"00000000")&amp;TEXT(COUNTIF($B$2:B695,B695),"00")</f>
        <v>2023062801</v>
      </c>
      <c r="B695" s="21">
        <f t="shared" si="10"/>
        <v>45105</v>
      </c>
      <c r="C695" s="22">
        <v>2023</v>
      </c>
      <c r="D695" s="23">
        <v>6</v>
      </c>
      <c r="E695" s="24">
        <v>28</v>
      </c>
      <c r="F695" s="42" t="s">
        <v>17</v>
      </c>
      <c r="G695" s="42" t="s">
        <v>7</v>
      </c>
      <c r="H695" s="42" t="s">
        <v>110</v>
      </c>
      <c r="I695" s="42" t="s">
        <v>120</v>
      </c>
      <c r="J695" s="10">
        <v>1400</v>
      </c>
      <c r="K695" s="7">
        <v>-1400</v>
      </c>
      <c r="L695" s="1" t="s">
        <v>480</v>
      </c>
    </row>
    <row r="696" spans="1:13">
      <c r="A696" s="21" t="str">
        <f>TEXT(TEXT(B696,"yyyymmdd"),"00000000")&amp;TEXT(COUNTIF($B$2:B696,B696),"00")</f>
        <v>2023062802</v>
      </c>
      <c r="B696" s="21">
        <f t="shared" si="10"/>
        <v>45105</v>
      </c>
      <c r="C696" s="22">
        <v>2023</v>
      </c>
      <c r="D696" s="23">
        <v>6</v>
      </c>
      <c r="E696" s="24">
        <v>28</v>
      </c>
      <c r="F696" s="42" t="s">
        <v>17</v>
      </c>
      <c r="G696" s="42" t="s">
        <v>13</v>
      </c>
      <c r="H696" s="42" t="s">
        <v>138</v>
      </c>
      <c r="I696" s="42" t="s">
        <v>139</v>
      </c>
      <c r="J696" s="10">
        <v>7500</v>
      </c>
      <c r="K696" s="7">
        <v>-7500</v>
      </c>
      <c r="L696" s="1" t="s">
        <v>673</v>
      </c>
    </row>
    <row r="697" spans="1:13">
      <c r="A697" s="21" t="str">
        <f>TEXT(TEXT(B697,"yyyymmdd"),"00000000")&amp;TEXT(COUNTIF($B$2:B697,B697),"00")</f>
        <v>2023062901</v>
      </c>
      <c r="B697" s="21">
        <f t="shared" si="10"/>
        <v>45106</v>
      </c>
      <c r="C697" s="22">
        <v>2023</v>
      </c>
      <c r="D697" s="23">
        <v>6</v>
      </c>
      <c r="E697" s="24">
        <v>29</v>
      </c>
      <c r="F697" s="42" t="s">
        <v>17</v>
      </c>
      <c r="G697" s="42" t="s">
        <v>13</v>
      </c>
      <c r="H697" s="42" t="s">
        <v>113</v>
      </c>
      <c r="I697" s="42" t="s">
        <v>171</v>
      </c>
      <c r="J697" s="10">
        <v>15000</v>
      </c>
      <c r="K697" s="7">
        <v>-15000</v>
      </c>
      <c r="L697" s="1" t="s">
        <v>502</v>
      </c>
    </row>
    <row r="698" spans="1:13">
      <c r="A698" s="21" t="str">
        <f>TEXT(TEXT(B698,"yyyymmdd"),"00000000")&amp;TEXT(COUNTIF($B$2:B698,B698),"00")</f>
        <v>2023063001</v>
      </c>
      <c r="B698" s="21">
        <f t="shared" si="10"/>
        <v>45107</v>
      </c>
      <c r="C698" s="22">
        <v>2023</v>
      </c>
      <c r="D698" s="23">
        <v>6</v>
      </c>
      <c r="E698" s="24">
        <v>30</v>
      </c>
      <c r="F698" s="42" t="s">
        <v>17</v>
      </c>
      <c r="G698" s="42" t="s">
        <v>13</v>
      </c>
      <c r="H698" s="42" t="s">
        <v>32</v>
      </c>
      <c r="I698" s="42" t="s">
        <v>620</v>
      </c>
      <c r="J698" s="10">
        <v>20000</v>
      </c>
      <c r="K698" s="7">
        <v>-20000</v>
      </c>
      <c r="L698" s="1" t="s">
        <v>715</v>
      </c>
    </row>
    <row r="699" spans="1:13">
      <c r="A699" s="21" t="str">
        <f>TEXT(TEXT(B699,"yyyymmdd"),"00000000")&amp;TEXT(COUNTIF($B$2:B699,B699),"00")</f>
        <v>2023063002</v>
      </c>
      <c r="B699" s="21">
        <f t="shared" si="10"/>
        <v>45107</v>
      </c>
      <c r="C699" s="22">
        <v>2023</v>
      </c>
      <c r="D699" s="23">
        <v>6</v>
      </c>
      <c r="E699" s="24">
        <v>30</v>
      </c>
      <c r="F699" s="42" t="s">
        <v>17</v>
      </c>
      <c r="G699" s="42" t="s">
        <v>13</v>
      </c>
      <c r="H699" s="42" t="s">
        <v>138</v>
      </c>
      <c r="I699" s="42" t="s">
        <v>139</v>
      </c>
      <c r="J699" s="10">
        <v>7000</v>
      </c>
      <c r="K699" s="7">
        <v>-7000</v>
      </c>
      <c r="L699" s="1" t="s">
        <v>679</v>
      </c>
    </row>
    <row r="700" spans="1:13">
      <c r="A700" s="21" t="str">
        <f>TEXT(TEXT(B700,"yyyymmdd"),"00000000")&amp;TEXT(COUNTIF($B$2:B700,B700),"00")</f>
        <v>2023063003</v>
      </c>
      <c r="B700" s="21">
        <f t="shared" si="10"/>
        <v>45107</v>
      </c>
      <c r="C700" s="22">
        <v>2023</v>
      </c>
      <c r="D700" s="23">
        <v>6</v>
      </c>
      <c r="E700" s="24">
        <v>30</v>
      </c>
      <c r="F700" s="42" t="s">
        <v>17</v>
      </c>
      <c r="G700" s="42" t="s">
        <v>170</v>
      </c>
      <c r="H700" s="42" t="s">
        <v>155</v>
      </c>
      <c r="I700" s="42" t="s">
        <v>156</v>
      </c>
      <c r="J700" s="10">
        <v>2049</v>
      </c>
      <c r="K700" s="7">
        <v>-2049</v>
      </c>
      <c r="L700" s="1" t="s">
        <v>303</v>
      </c>
    </row>
    <row r="701" spans="1:13">
      <c r="A701" s="21" t="str">
        <f>TEXT(TEXT(B701,"yyyymmdd"),"00000000")&amp;TEXT(COUNTIF($B$2:B701,B701),"00")</f>
        <v>2023070201</v>
      </c>
      <c r="B701" s="21">
        <f t="shared" si="10"/>
        <v>45109</v>
      </c>
      <c r="C701" s="22">
        <v>2023</v>
      </c>
      <c r="D701" s="23">
        <v>7</v>
      </c>
      <c r="E701" s="24">
        <v>2</v>
      </c>
      <c r="F701" s="42" t="s">
        <v>17</v>
      </c>
      <c r="G701" s="42" t="s">
        <v>11</v>
      </c>
      <c r="H701" s="42" t="s">
        <v>99</v>
      </c>
      <c r="I701" s="42" t="s">
        <v>94</v>
      </c>
      <c r="J701" s="10">
        <v>-400000</v>
      </c>
      <c r="K701" s="7">
        <v>400000</v>
      </c>
      <c r="L701" s="1" t="s">
        <v>503</v>
      </c>
      <c r="M701" s="2" t="s">
        <v>762</v>
      </c>
    </row>
    <row r="702" spans="1:13">
      <c r="A702" s="21" t="str">
        <f>TEXT(TEXT(B702,"yyyymmdd"),"00000000")&amp;TEXT(COUNTIF($B$2:B702,B702),"00")</f>
        <v>2023070202</v>
      </c>
      <c r="B702" s="21">
        <f t="shared" si="10"/>
        <v>45109</v>
      </c>
      <c r="C702" s="22">
        <v>2023</v>
      </c>
      <c r="D702" s="23">
        <v>7</v>
      </c>
      <c r="E702" s="24">
        <v>2</v>
      </c>
      <c r="F702" s="42" t="s">
        <v>498</v>
      </c>
      <c r="G702" s="42" t="s">
        <v>11</v>
      </c>
      <c r="H702" s="42" t="s">
        <v>99</v>
      </c>
      <c r="I702" s="42" t="s">
        <v>94</v>
      </c>
      <c r="J702" s="10">
        <v>400000</v>
      </c>
      <c r="K702" s="7">
        <v>-400000</v>
      </c>
      <c r="L702" s="1" t="s">
        <v>573</v>
      </c>
    </row>
    <row r="703" spans="1:13">
      <c r="A703" s="21" t="str">
        <f>TEXT(TEXT(B703,"yyyymmdd"),"00000000")&amp;TEXT(COUNTIF($B$2:B703,B703),"00")</f>
        <v>2023070203</v>
      </c>
      <c r="B703" s="21">
        <f t="shared" si="10"/>
        <v>45109</v>
      </c>
      <c r="C703" s="22">
        <v>2023</v>
      </c>
      <c r="D703" s="23">
        <v>7</v>
      </c>
      <c r="E703" s="24">
        <v>2</v>
      </c>
      <c r="F703" s="42" t="s">
        <v>498</v>
      </c>
      <c r="G703" s="42" t="s">
        <v>135</v>
      </c>
      <c r="H703" s="42" t="s">
        <v>135</v>
      </c>
      <c r="I703" s="42" t="s">
        <v>190</v>
      </c>
      <c r="J703" s="10">
        <v>-3503</v>
      </c>
      <c r="K703" s="7">
        <v>3503</v>
      </c>
      <c r="L703" s="1" t="s">
        <v>604</v>
      </c>
    </row>
    <row r="704" spans="1:13">
      <c r="A704" s="21" t="str">
        <f>TEXT(TEXT(B704,"yyyymmdd"),"00000000")&amp;TEXT(COUNTIF($B$2:B704,B704),"00")</f>
        <v>2023070301</v>
      </c>
      <c r="B704" s="21">
        <f t="shared" si="10"/>
        <v>45110</v>
      </c>
      <c r="C704" s="22">
        <v>2023</v>
      </c>
      <c r="D704" s="23">
        <v>7</v>
      </c>
      <c r="E704" s="24">
        <v>3</v>
      </c>
      <c r="F704" s="42" t="s">
        <v>17</v>
      </c>
      <c r="G704" s="42" t="s">
        <v>7</v>
      </c>
      <c r="H704" s="42" t="s">
        <v>167</v>
      </c>
      <c r="I704" s="42" t="s">
        <v>168</v>
      </c>
      <c r="J704" s="10">
        <v>1100</v>
      </c>
      <c r="K704" s="7">
        <v>-1100</v>
      </c>
      <c r="L704" s="1" t="s">
        <v>532</v>
      </c>
      <c r="M704" s="2" t="s">
        <v>763</v>
      </c>
    </row>
    <row r="705" spans="1:13">
      <c r="A705" s="21" t="str">
        <f>TEXT(TEXT(B705,"yyyymmdd"),"00000000")&amp;TEXT(COUNTIF($B$2:B705,B705),"00")</f>
        <v>2023070302</v>
      </c>
      <c r="B705" s="21">
        <f t="shared" si="10"/>
        <v>45110</v>
      </c>
      <c r="C705" s="22">
        <v>2023</v>
      </c>
      <c r="D705" s="23">
        <v>7</v>
      </c>
      <c r="E705" s="24">
        <v>3</v>
      </c>
      <c r="F705" s="42" t="s">
        <v>17</v>
      </c>
      <c r="G705" s="42" t="s">
        <v>7</v>
      </c>
      <c r="H705" s="42" t="s">
        <v>167</v>
      </c>
      <c r="I705" s="42" t="s">
        <v>214</v>
      </c>
      <c r="J705" s="10">
        <v>13000</v>
      </c>
      <c r="K705" s="7">
        <v>-13000</v>
      </c>
      <c r="L705" s="1" t="s">
        <v>765</v>
      </c>
      <c r="M705" s="2" t="s">
        <v>766</v>
      </c>
    </row>
    <row r="706" spans="1:13">
      <c r="A706" s="21" t="str">
        <f>TEXT(TEXT(B706,"yyyymmdd"),"00000000")&amp;TEXT(COUNTIF($B$2:B706,B706),"00")</f>
        <v>2023070303</v>
      </c>
      <c r="B706" s="21">
        <f t="shared" ref="B706:B769" si="11">DATE(C706,D706,E706)</f>
        <v>45110</v>
      </c>
      <c r="C706" s="22">
        <v>2023</v>
      </c>
      <c r="D706" s="23">
        <v>7</v>
      </c>
      <c r="E706" s="24">
        <v>3</v>
      </c>
      <c r="F706" s="42" t="s">
        <v>17</v>
      </c>
      <c r="G706" s="42" t="s">
        <v>7</v>
      </c>
      <c r="H706" s="42" t="s">
        <v>138</v>
      </c>
      <c r="I706" s="42" t="s">
        <v>139</v>
      </c>
      <c r="J706" s="10">
        <v>16000</v>
      </c>
      <c r="K706" s="7">
        <v>-16000</v>
      </c>
      <c r="L706" s="1" t="s">
        <v>764</v>
      </c>
    </row>
    <row r="707" spans="1:13">
      <c r="A707" s="21" t="str">
        <f>TEXT(TEXT(B707,"yyyymmdd"),"00000000")&amp;TEXT(COUNTIF($B$2:B707,B707),"00")</f>
        <v>2023070401</v>
      </c>
      <c r="B707" s="21">
        <f t="shared" si="11"/>
        <v>45111</v>
      </c>
      <c r="C707" s="22">
        <v>2023</v>
      </c>
      <c r="D707" s="23">
        <v>7</v>
      </c>
      <c r="E707" s="24">
        <v>4</v>
      </c>
      <c r="F707" s="42" t="s">
        <v>17</v>
      </c>
      <c r="G707" s="42" t="s">
        <v>13</v>
      </c>
      <c r="H707" s="42" t="s">
        <v>138</v>
      </c>
      <c r="I707" s="42" t="s">
        <v>139</v>
      </c>
      <c r="J707" s="10">
        <v>4500</v>
      </c>
      <c r="K707" s="7">
        <v>-4500</v>
      </c>
      <c r="L707" s="1" t="s">
        <v>741</v>
      </c>
    </row>
    <row r="708" spans="1:13">
      <c r="A708" s="21" t="str">
        <f>TEXT(TEXT(B708,"yyyymmdd"),"00000000")&amp;TEXT(COUNTIF($B$2:B708,B708),"00")</f>
        <v>2023070501</v>
      </c>
      <c r="B708" s="21">
        <f t="shared" si="11"/>
        <v>45112</v>
      </c>
      <c r="C708" s="22">
        <v>2023</v>
      </c>
      <c r="D708" s="23">
        <v>7</v>
      </c>
      <c r="E708" s="24">
        <v>5</v>
      </c>
      <c r="F708" s="42" t="s">
        <v>17</v>
      </c>
      <c r="G708" s="42" t="s">
        <v>135</v>
      </c>
      <c r="H708" s="42" t="s">
        <v>135</v>
      </c>
      <c r="I708" s="42" t="s">
        <v>152</v>
      </c>
      <c r="J708" s="10">
        <v>-100000</v>
      </c>
      <c r="K708" s="7">
        <v>100000</v>
      </c>
      <c r="L708" s="1" t="s">
        <v>252</v>
      </c>
    </row>
    <row r="709" spans="1:13">
      <c r="A709" s="21" t="str">
        <f>TEXT(TEXT(B709,"yyyymmdd"),"00000000")&amp;TEXT(COUNTIF($B$2:B709,B709),"00")</f>
        <v>2023070502</v>
      </c>
      <c r="B709" s="21">
        <f t="shared" si="11"/>
        <v>45112</v>
      </c>
      <c r="C709" s="22">
        <v>2023</v>
      </c>
      <c r="D709" s="23">
        <v>7</v>
      </c>
      <c r="E709" s="24">
        <v>5</v>
      </c>
      <c r="F709" s="42" t="s">
        <v>17</v>
      </c>
      <c r="G709" s="42" t="s">
        <v>13</v>
      </c>
      <c r="H709" s="42" t="s">
        <v>138</v>
      </c>
      <c r="I709" s="42" t="s">
        <v>139</v>
      </c>
      <c r="J709" s="10">
        <v>6500</v>
      </c>
      <c r="K709" s="7">
        <v>-6500</v>
      </c>
      <c r="L709" s="1" t="s">
        <v>673</v>
      </c>
    </row>
    <row r="710" spans="1:13">
      <c r="A710" s="21" t="str">
        <f>TEXT(TEXT(B710,"yyyymmdd"),"00000000")&amp;TEXT(COUNTIF($B$2:B710,B710),"00")</f>
        <v>2023070601</v>
      </c>
      <c r="B710" s="21">
        <f t="shared" si="11"/>
        <v>45113</v>
      </c>
      <c r="C710" s="22">
        <v>2023</v>
      </c>
      <c r="D710" s="23">
        <v>7</v>
      </c>
      <c r="E710" s="24">
        <v>6</v>
      </c>
      <c r="F710" s="42" t="s">
        <v>17</v>
      </c>
      <c r="G710" s="42" t="s">
        <v>13</v>
      </c>
      <c r="H710" s="42" t="s">
        <v>138</v>
      </c>
      <c r="I710" s="42" t="s">
        <v>139</v>
      </c>
      <c r="J710" s="10">
        <v>7500</v>
      </c>
      <c r="K710" s="7">
        <v>-7500</v>
      </c>
      <c r="L710" s="1" t="s">
        <v>677</v>
      </c>
    </row>
    <row r="711" spans="1:13">
      <c r="A711" s="21" t="str">
        <f>TEXT(TEXT(B711,"yyyymmdd"),"00000000")&amp;TEXT(COUNTIF($B$2:B711,B711),"00")</f>
        <v>2023070602</v>
      </c>
      <c r="B711" s="21">
        <f t="shared" si="11"/>
        <v>45113</v>
      </c>
      <c r="C711" s="22">
        <v>2023</v>
      </c>
      <c r="D711" s="23">
        <v>7</v>
      </c>
      <c r="E711" s="24">
        <v>6</v>
      </c>
      <c r="F711" s="42" t="s">
        <v>17</v>
      </c>
      <c r="G711" s="42" t="s">
        <v>13</v>
      </c>
      <c r="H711" s="42" t="s">
        <v>138</v>
      </c>
      <c r="I711" s="42" t="s">
        <v>139</v>
      </c>
      <c r="J711" s="10">
        <v>4900</v>
      </c>
      <c r="K711" s="7">
        <v>-4900</v>
      </c>
      <c r="L711" s="1" t="s">
        <v>741</v>
      </c>
    </row>
    <row r="712" spans="1:13">
      <c r="A712" s="21" t="str">
        <f>TEXT(TEXT(B712,"yyyymmdd"),"00000000")&amp;TEXT(COUNTIF($B$2:B712,B712),"00")</f>
        <v>2023070701</v>
      </c>
      <c r="B712" s="21">
        <f t="shared" si="11"/>
        <v>45114</v>
      </c>
      <c r="C712" s="22">
        <v>2023</v>
      </c>
      <c r="D712" s="23">
        <v>7</v>
      </c>
      <c r="E712" s="24">
        <v>7</v>
      </c>
      <c r="F712" s="42" t="s">
        <v>17</v>
      </c>
      <c r="G712" s="42" t="s">
        <v>13</v>
      </c>
      <c r="H712" s="42" t="s">
        <v>32</v>
      </c>
      <c r="I712" s="42" t="s">
        <v>620</v>
      </c>
      <c r="J712" s="10">
        <v>58000</v>
      </c>
      <c r="K712" s="7">
        <v>-58000</v>
      </c>
      <c r="L712" s="1" t="s">
        <v>715</v>
      </c>
    </row>
    <row r="713" spans="1:13">
      <c r="A713" s="21" t="str">
        <f>TEXT(TEXT(B713,"yyyymmdd"),"00000000")&amp;TEXT(COUNTIF($B$2:B713,B713),"00")</f>
        <v>2023070702</v>
      </c>
      <c r="B713" s="21">
        <f t="shared" si="11"/>
        <v>45114</v>
      </c>
      <c r="C713" s="22">
        <v>2023</v>
      </c>
      <c r="D713" s="23">
        <v>7</v>
      </c>
      <c r="E713" s="24">
        <v>7</v>
      </c>
      <c r="F713" s="42" t="s">
        <v>17</v>
      </c>
      <c r="G713" s="42" t="s">
        <v>13</v>
      </c>
      <c r="H713" s="42" t="s">
        <v>138</v>
      </c>
      <c r="I713" s="42" t="s">
        <v>139</v>
      </c>
      <c r="J713" s="10">
        <v>5900</v>
      </c>
      <c r="K713" s="7">
        <v>-5900</v>
      </c>
      <c r="L713" s="1" t="s">
        <v>623</v>
      </c>
    </row>
    <row r="714" spans="1:13">
      <c r="A714" s="21" t="str">
        <f>TEXT(TEXT(B714,"yyyymmdd"),"00000000")&amp;TEXT(COUNTIF($B$2:B714,B714),"00")</f>
        <v>2023070703</v>
      </c>
      <c r="B714" s="21">
        <f t="shared" si="11"/>
        <v>45114</v>
      </c>
      <c r="C714" s="22">
        <v>2023</v>
      </c>
      <c r="D714" s="23">
        <v>7</v>
      </c>
      <c r="E714" s="24">
        <v>7</v>
      </c>
      <c r="F714" s="42" t="s">
        <v>17</v>
      </c>
      <c r="G714" s="42" t="s">
        <v>7</v>
      </c>
      <c r="H714" s="42" t="s">
        <v>110</v>
      </c>
      <c r="I714" s="42" t="s">
        <v>120</v>
      </c>
      <c r="J714" s="10">
        <v>1600</v>
      </c>
      <c r="K714" s="7">
        <v>-1600</v>
      </c>
      <c r="L714" s="1" t="s">
        <v>480</v>
      </c>
    </row>
    <row r="715" spans="1:13">
      <c r="A715" s="21" t="str">
        <f>TEXT(TEXT(B715,"yyyymmdd"),"00000000")&amp;TEXT(COUNTIF($B$2:B715,B715),"00")</f>
        <v>2023070704</v>
      </c>
      <c r="B715" s="21">
        <f t="shared" si="11"/>
        <v>45114</v>
      </c>
      <c r="C715" s="22">
        <v>2023</v>
      </c>
      <c r="D715" s="23">
        <v>7</v>
      </c>
      <c r="E715" s="24">
        <v>7</v>
      </c>
      <c r="F715" s="42" t="s">
        <v>17</v>
      </c>
      <c r="G715" s="42" t="s">
        <v>13</v>
      </c>
      <c r="H715" s="42" t="s">
        <v>138</v>
      </c>
      <c r="I715" s="42" t="s">
        <v>139</v>
      </c>
      <c r="J715" s="10">
        <v>7500</v>
      </c>
      <c r="K715" s="7">
        <v>-7500</v>
      </c>
      <c r="L715" s="1" t="s">
        <v>673</v>
      </c>
    </row>
    <row r="716" spans="1:13">
      <c r="A716" s="21" t="str">
        <f>TEXT(TEXT(B716,"yyyymmdd"),"00000000")&amp;TEXT(COUNTIF($B$2:B716,B716),"00")</f>
        <v>2023070801</v>
      </c>
      <c r="B716" s="21">
        <f t="shared" si="11"/>
        <v>45115</v>
      </c>
      <c r="C716" s="22">
        <v>2023</v>
      </c>
      <c r="D716" s="23">
        <v>7</v>
      </c>
      <c r="E716" s="24">
        <v>8</v>
      </c>
      <c r="F716" s="42" t="s">
        <v>17</v>
      </c>
      <c r="G716" s="42" t="s">
        <v>7</v>
      </c>
      <c r="H716" s="42" t="s">
        <v>110</v>
      </c>
      <c r="I716" s="42" t="s">
        <v>124</v>
      </c>
      <c r="J716" s="10">
        <v>7000</v>
      </c>
      <c r="K716" s="7">
        <v>-7000</v>
      </c>
      <c r="L716" s="1" t="s">
        <v>770</v>
      </c>
      <c r="M716" s="2" t="s">
        <v>772</v>
      </c>
    </row>
    <row r="717" spans="1:13">
      <c r="A717" s="21" t="str">
        <f>TEXT(TEXT(B717,"yyyymmdd"),"00000000")&amp;TEXT(COUNTIF($B$2:B717,B717),"00")</f>
        <v>2023070802</v>
      </c>
      <c r="B717" s="21">
        <f t="shared" si="11"/>
        <v>45115</v>
      </c>
      <c r="C717" s="22">
        <v>2023</v>
      </c>
      <c r="D717" s="23">
        <v>7</v>
      </c>
      <c r="E717" s="24">
        <v>8</v>
      </c>
      <c r="F717" s="42" t="s">
        <v>17</v>
      </c>
      <c r="G717" s="42" t="s">
        <v>7</v>
      </c>
      <c r="H717" s="42" t="s">
        <v>110</v>
      </c>
      <c r="I717" s="42" t="s">
        <v>120</v>
      </c>
      <c r="J717" s="10">
        <v>5400</v>
      </c>
      <c r="K717" s="7">
        <v>-5400</v>
      </c>
      <c r="L717" s="1" t="s">
        <v>769</v>
      </c>
    </row>
    <row r="718" spans="1:13">
      <c r="A718" s="21" t="str">
        <f>TEXT(TEXT(B718,"yyyymmdd"),"00000000")&amp;TEXT(COUNTIF($B$2:B718,B718),"00")</f>
        <v>2023070803</v>
      </c>
      <c r="B718" s="21">
        <f t="shared" si="11"/>
        <v>45115</v>
      </c>
      <c r="C718" s="22">
        <v>2023</v>
      </c>
      <c r="D718" s="23">
        <v>7</v>
      </c>
      <c r="E718" s="24">
        <v>8</v>
      </c>
      <c r="F718" s="42" t="s">
        <v>17</v>
      </c>
      <c r="G718" s="42" t="s">
        <v>7</v>
      </c>
      <c r="H718" s="42" t="s">
        <v>32</v>
      </c>
      <c r="I718" s="42" t="s">
        <v>141</v>
      </c>
      <c r="J718" s="10">
        <v>8000</v>
      </c>
      <c r="K718" s="7">
        <v>-8000</v>
      </c>
      <c r="L718" s="1" t="s">
        <v>768</v>
      </c>
    </row>
    <row r="719" spans="1:13">
      <c r="A719" s="21" t="str">
        <f>TEXT(TEXT(B719,"yyyymmdd"),"00000000")&amp;TEXT(COUNTIF($B$2:B719,B719),"00")</f>
        <v>2023070804</v>
      </c>
      <c r="B719" s="21">
        <f t="shared" si="11"/>
        <v>45115</v>
      </c>
      <c r="C719" s="22">
        <v>2023</v>
      </c>
      <c r="D719" s="23">
        <v>7</v>
      </c>
      <c r="E719" s="24">
        <v>8</v>
      </c>
      <c r="F719" s="42" t="s">
        <v>17</v>
      </c>
      <c r="G719" s="42" t="s">
        <v>7</v>
      </c>
      <c r="H719" s="42" t="s">
        <v>138</v>
      </c>
      <c r="I719" s="42" t="s">
        <v>139</v>
      </c>
      <c r="J719" s="10">
        <v>9000</v>
      </c>
      <c r="K719" s="7">
        <v>-9000</v>
      </c>
      <c r="L719" s="1" t="s">
        <v>771</v>
      </c>
      <c r="M719" s="2" t="s">
        <v>772</v>
      </c>
    </row>
    <row r="720" spans="1:13">
      <c r="A720" s="21" t="str">
        <f>TEXT(TEXT(B720,"yyyymmdd"),"00000000")&amp;TEXT(COUNTIF($B$2:B720,B720),"00")</f>
        <v>2023071201</v>
      </c>
      <c r="B720" s="21">
        <f t="shared" si="11"/>
        <v>45119</v>
      </c>
      <c r="C720" s="22">
        <v>2023</v>
      </c>
      <c r="D720" s="23">
        <v>7</v>
      </c>
      <c r="E720" s="24">
        <v>12</v>
      </c>
      <c r="F720" s="42" t="s">
        <v>17</v>
      </c>
      <c r="G720" s="42" t="s">
        <v>13</v>
      </c>
      <c r="H720" s="42" t="s">
        <v>138</v>
      </c>
      <c r="I720" s="42" t="s">
        <v>139</v>
      </c>
      <c r="J720" s="10">
        <v>5300</v>
      </c>
      <c r="K720" s="7">
        <v>-5300</v>
      </c>
      <c r="L720" s="1" t="s">
        <v>300</v>
      </c>
    </row>
    <row r="721" spans="1:13">
      <c r="A721" s="21" t="str">
        <f>TEXT(TEXT(B721,"yyyymmdd"),"00000000")&amp;TEXT(COUNTIF($B$2:B721,B721),"00")</f>
        <v>2023071202</v>
      </c>
      <c r="B721" s="21">
        <f t="shared" si="11"/>
        <v>45119</v>
      </c>
      <c r="C721" s="22">
        <v>2023</v>
      </c>
      <c r="D721" s="23">
        <v>7</v>
      </c>
      <c r="E721" s="24">
        <v>12</v>
      </c>
      <c r="F721" s="42" t="s">
        <v>17</v>
      </c>
      <c r="G721" s="42" t="s">
        <v>13</v>
      </c>
      <c r="H721" s="42" t="s">
        <v>138</v>
      </c>
      <c r="I721" s="42" t="s">
        <v>139</v>
      </c>
      <c r="J721" s="10">
        <v>8000</v>
      </c>
      <c r="K721" s="7">
        <v>-8000</v>
      </c>
      <c r="L721" s="1" t="s">
        <v>709</v>
      </c>
    </row>
    <row r="722" spans="1:13">
      <c r="A722" s="21" t="str">
        <f>TEXT(TEXT(B722,"yyyymmdd"),"00000000")&amp;TEXT(COUNTIF($B$2:B722,B722),"00")</f>
        <v>2023071301</v>
      </c>
      <c r="B722" s="21">
        <f t="shared" si="11"/>
        <v>45120</v>
      </c>
      <c r="C722" s="22">
        <v>2023</v>
      </c>
      <c r="D722" s="23">
        <v>7</v>
      </c>
      <c r="E722" s="24">
        <v>13</v>
      </c>
      <c r="F722" s="42" t="s">
        <v>17</v>
      </c>
      <c r="G722" s="42" t="s">
        <v>7</v>
      </c>
      <c r="H722" s="42" t="s">
        <v>116</v>
      </c>
      <c r="I722" s="42" t="s">
        <v>217</v>
      </c>
      <c r="J722" s="10">
        <v>7700</v>
      </c>
      <c r="K722" s="7">
        <v>-7700</v>
      </c>
      <c r="L722" s="1" t="s">
        <v>586</v>
      </c>
      <c r="M722" s="2" t="s">
        <v>773</v>
      </c>
    </row>
    <row r="723" spans="1:13">
      <c r="A723" s="21" t="str">
        <f>TEXT(TEXT(B723,"yyyymmdd"),"00000000")&amp;TEXT(COUNTIF($B$2:B723,B723),"00")</f>
        <v>2023071401</v>
      </c>
      <c r="B723" s="21">
        <f t="shared" si="11"/>
        <v>45121</v>
      </c>
      <c r="C723" s="22">
        <v>2023</v>
      </c>
      <c r="D723" s="23">
        <v>7</v>
      </c>
      <c r="E723" s="24">
        <v>14</v>
      </c>
      <c r="F723" s="42" t="s">
        <v>17</v>
      </c>
      <c r="G723" s="42" t="s">
        <v>13</v>
      </c>
      <c r="H723" s="42" t="s">
        <v>138</v>
      </c>
      <c r="I723" s="42" t="s">
        <v>139</v>
      </c>
      <c r="J723" s="10">
        <v>7500</v>
      </c>
      <c r="K723" s="7">
        <v>-7500</v>
      </c>
      <c r="L723" s="1" t="s">
        <v>673</v>
      </c>
    </row>
    <row r="724" spans="1:13">
      <c r="A724" s="21" t="str">
        <f>TEXT(TEXT(B724,"yyyymmdd"),"00000000")&amp;TEXT(COUNTIF($B$2:B724,B724),"00")</f>
        <v>2023071501</v>
      </c>
      <c r="B724" s="21">
        <f t="shared" si="11"/>
        <v>45122</v>
      </c>
      <c r="C724" s="22">
        <v>2023</v>
      </c>
      <c r="D724" s="23">
        <v>7</v>
      </c>
      <c r="E724" s="24">
        <v>15</v>
      </c>
      <c r="F724" s="42" t="s">
        <v>17</v>
      </c>
      <c r="G724" s="42" t="s">
        <v>7</v>
      </c>
      <c r="H724" s="42" t="s">
        <v>138</v>
      </c>
      <c r="I724" s="42" t="s">
        <v>139</v>
      </c>
      <c r="J724" s="10">
        <v>29400</v>
      </c>
      <c r="K724" s="7">
        <v>-29400</v>
      </c>
      <c r="L724" s="1" t="s">
        <v>775</v>
      </c>
    </row>
    <row r="725" spans="1:13">
      <c r="A725" s="21" t="str">
        <f>TEXT(TEXT(B725,"yyyymmdd"),"00000000")&amp;TEXT(COUNTIF($B$2:B725,B725),"00")</f>
        <v>2023071502</v>
      </c>
      <c r="B725" s="21">
        <f t="shared" si="11"/>
        <v>45122</v>
      </c>
      <c r="C725" s="22">
        <v>2023</v>
      </c>
      <c r="D725" s="23">
        <v>7</v>
      </c>
      <c r="E725" s="24">
        <v>15</v>
      </c>
      <c r="F725" s="42" t="s">
        <v>17</v>
      </c>
      <c r="G725" s="42" t="s">
        <v>7</v>
      </c>
      <c r="H725" s="42" t="s">
        <v>110</v>
      </c>
      <c r="I725" s="42" t="s">
        <v>124</v>
      </c>
      <c r="J725" s="10">
        <v>4100</v>
      </c>
      <c r="K725" s="7">
        <v>-4100</v>
      </c>
      <c r="L725" s="1" t="s">
        <v>776</v>
      </c>
    </row>
    <row r="726" spans="1:13">
      <c r="A726" s="21" t="str">
        <f>TEXT(TEXT(B726,"yyyymmdd"),"00000000")&amp;TEXT(COUNTIF($B$2:B726,B726),"00")</f>
        <v>2023071503</v>
      </c>
      <c r="B726" s="21">
        <f t="shared" si="11"/>
        <v>45122</v>
      </c>
      <c r="C726" s="22">
        <v>2023</v>
      </c>
      <c r="D726" s="23">
        <v>7</v>
      </c>
      <c r="E726" s="24">
        <v>15</v>
      </c>
      <c r="F726" s="42" t="s">
        <v>17</v>
      </c>
      <c r="G726" s="42" t="s">
        <v>135</v>
      </c>
      <c r="H726" s="42" t="s">
        <v>135</v>
      </c>
      <c r="I726" s="42" t="s">
        <v>152</v>
      </c>
      <c r="J726" s="10">
        <v>-7000</v>
      </c>
      <c r="K726" s="7">
        <v>7000</v>
      </c>
      <c r="L726" s="1" t="s">
        <v>614</v>
      </c>
    </row>
    <row r="727" spans="1:13">
      <c r="A727" s="21" t="str">
        <f>TEXT(TEXT(B727,"yyyymmdd"),"00000000")&amp;TEXT(COUNTIF($B$2:B727,B727),"00")</f>
        <v>2023071504</v>
      </c>
      <c r="B727" s="21">
        <f t="shared" si="11"/>
        <v>45122</v>
      </c>
      <c r="C727" s="22">
        <v>2023</v>
      </c>
      <c r="D727" s="23">
        <v>7</v>
      </c>
      <c r="E727" s="24">
        <v>15</v>
      </c>
      <c r="F727" s="42" t="s">
        <v>17</v>
      </c>
      <c r="G727" s="42" t="s">
        <v>7</v>
      </c>
      <c r="H727" s="42" t="s">
        <v>116</v>
      </c>
      <c r="I727" s="42" t="s">
        <v>225</v>
      </c>
      <c r="J727" s="10">
        <v>7000</v>
      </c>
      <c r="K727" s="7">
        <v>-7000</v>
      </c>
      <c r="L727" s="1" t="s">
        <v>774</v>
      </c>
    </row>
    <row r="728" spans="1:13">
      <c r="A728" s="21" t="str">
        <f>TEXT(TEXT(B728,"yyyymmdd"),"00000000")&amp;TEXT(COUNTIF($B$2:B728,B728),"00")</f>
        <v>2023071601</v>
      </c>
      <c r="B728" s="21">
        <f t="shared" si="11"/>
        <v>45123</v>
      </c>
      <c r="C728" s="22">
        <v>2023</v>
      </c>
      <c r="D728" s="23">
        <v>7</v>
      </c>
      <c r="E728" s="24">
        <v>16</v>
      </c>
      <c r="F728" s="42" t="s">
        <v>17</v>
      </c>
      <c r="G728" s="42" t="s">
        <v>7</v>
      </c>
      <c r="H728" s="42" t="s">
        <v>110</v>
      </c>
      <c r="I728" s="42" t="s">
        <v>120</v>
      </c>
      <c r="J728" s="10">
        <v>1800</v>
      </c>
      <c r="K728" s="7">
        <v>-1800</v>
      </c>
      <c r="L728" s="1" t="s">
        <v>480</v>
      </c>
    </row>
    <row r="729" spans="1:13">
      <c r="A729" s="21" t="str">
        <f>TEXT(TEXT(B729,"yyyymmdd"),"00000000")&amp;TEXT(COUNTIF($B$2:B729,B729),"00")</f>
        <v>2023071701</v>
      </c>
      <c r="B729" s="21">
        <f t="shared" si="11"/>
        <v>45124</v>
      </c>
      <c r="C729" s="22">
        <v>2023</v>
      </c>
      <c r="D729" s="23">
        <v>7</v>
      </c>
      <c r="E729" s="24">
        <v>17</v>
      </c>
      <c r="F729" s="42" t="s">
        <v>17</v>
      </c>
      <c r="G729" s="42" t="s">
        <v>7</v>
      </c>
      <c r="H729" s="42" t="s">
        <v>32</v>
      </c>
      <c r="I729" s="42" t="s">
        <v>141</v>
      </c>
      <c r="J729" s="10">
        <v>1900</v>
      </c>
      <c r="K729" s="7">
        <v>-1900</v>
      </c>
      <c r="L729" s="1" t="s">
        <v>778</v>
      </c>
    </row>
    <row r="730" spans="1:13">
      <c r="A730" s="21" t="str">
        <f>TEXT(TEXT(B730,"yyyymmdd"),"00000000")&amp;TEXT(COUNTIF($B$2:B730,B730),"00")</f>
        <v>2023071702</v>
      </c>
      <c r="B730" s="21">
        <f t="shared" si="11"/>
        <v>45124</v>
      </c>
      <c r="C730" s="22">
        <v>2023</v>
      </c>
      <c r="D730" s="23">
        <v>7</v>
      </c>
      <c r="E730" s="24">
        <v>17</v>
      </c>
      <c r="F730" s="42" t="s">
        <v>17</v>
      </c>
      <c r="G730" s="42" t="s">
        <v>13</v>
      </c>
      <c r="H730" s="42" t="s">
        <v>138</v>
      </c>
      <c r="I730" s="42" t="s">
        <v>139</v>
      </c>
      <c r="J730" s="10">
        <v>10900</v>
      </c>
      <c r="K730" s="7">
        <v>-10900</v>
      </c>
      <c r="L730" s="1" t="s">
        <v>777</v>
      </c>
      <c r="M730" s="2" t="s">
        <v>719</v>
      </c>
    </row>
    <row r="731" spans="1:13">
      <c r="A731" s="21" t="str">
        <f>TEXT(TEXT(B731,"yyyymmdd"),"00000000")&amp;TEXT(COUNTIF($B$2:B731,B731),"00")</f>
        <v>2023071801</v>
      </c>
      <c r="B731" s="21">
        <f t="shared" si="11"/>
        <v>45125</v>
      </c>
      <c r="C731" s="22">
        <v>2023</v>
      </c>
      <c r="D731" s="23">
        <v>7</v>
      </c>
      <c r="E731" s="24">
        <v>18</v>
      </c>
      <c r="F731" s="42" t="s">
        <v>17</v>
      </c>
      <c r="G731" s="42" t="s">
        <v>13</v>
      </c>
      <c r="H731" s="42" t="s">
        <v>138</v>
      </c>
      <c r="I731" s="42" t="s">
        <v>139</v>
      </c>
      <c r="J731" s="10">
        <v>9000</v>
      </c>
      <c r="K731" s="7">
        <v>-9000</v>
      </c>
      <c r="L731" s="1" t="s">
        <v>779</v>
      </c>
    </row>
    <row r="732" spans="1:13">
      <c r="A732" s="21" t="str">
        <f>TEXT(TEXT(B732,"yyyymmdd"),"00000000")&amp;TEXT(COUNTIF($B$2:B732,B732),"00")</f>
        <v>2023071802</v>
      </c>
      <c r="B732" s="21">
        <f t="shared" si="11"/>
        <v>45125</v>
      </c>
      <c r="C732" s="22">
        <v>2023</v>
      </c>
      <c r="D732" s="23">
        <v>7</v>
      </c>
      <c r="E732" s="24">
        <v>18</v>
      </c>
      <c r="F732" s="42" t="s">
        <v>17</v>
      </c>
      <c r="G732" s="42" t="s">
        <v>7</v>
      </c>
      <c r="H732" s="42" t="s">
        <v>119</v>
      </c>
      <c r="I732" s="42" t="s">
        <v>780</v>
      </c>
      <c r="J732" s="10">
        <v>10000</v>
      </c>
      <c r="K732" s="7">
        <v>-10000</v>
      </c>
      <c r="L732" s="1" t="s">
        <v>781</v>
      </c>
      <c r="M732" s="2" t="s">
        <v>782</v>
      </c>
    </row>
    <row r="733" spans="1:13">
      <c r="A733" s="21" t="str">
        <f>TEXT(TEXT(B733,"yyyymmdd"),"00000000")&amp;TEXT(COUNTIF($B$2:B733,B733),"00")</f>
        <v>2023071901</v>
      </c>
      <c r="B733" s="21">
        <f t="shared" si="11"/>
        <v>45126</v>
      </c>
      <c r="C733" s="22">
        <v>2023</v>
      </c>
      <c r="D733" s="23">
        <v>7</v>
      </c>
      <c r="E733" s="24">
        <v>19</v>
      </c>
      <c r="F733" s="42" t="s">
        <v>17</v>
      </c>
      <c r="G733" s="42" t="s">
        <v>7</v>
      </c>
      <c r="H733" s="42" t="s">
        <v>110</v>
      </c>
      <c r="I733" s="42" t="s">
        <v>120</v>
      </c>
      <c r="J733" s="10">
        <v>5200</v>
      </c>
      <c r="K733" s="7">
        <v>-5200</v>
      </c>
      <c r="L733" s="1" t="s">
        <v>480</v>
      </c>
      <c r="M733" s="2" t="s">
        <v>783</v>
      </c>
    </row>
    <row r="734" spans="1:13">
      <c r="A734" s="21" t="str">
        <f>TEXT(TEXT(B734,"yyyymmdd"),"00000000")&amp;TEXT(COUNTIF($B$2:B734,B734),"00")</f>
        <v>2023072001</v>
      </c>
      <c r="B734" s="21">
        <f t="shared" si="11"/>
        <v>45127</v>
      </c>
      <c r="C734" s="22">
        <v>2023</v>
      </c>
      <c r="D734" s="23">
        <v>7</v>
      </c>
      <c r="E734" s="24">
        <v>20</v>
      </c>
      <c r="F734" s="42" t="s">
        <v>17</v>
      </c>
      <c r="G734" s="42" t="s">
        <v>135</v>
      </c>
      <c r="H734" s="42" t="s">
        <v>135</v>
      </c>
      <c r="I734" s="42" t="s">
        <v>190</v>
      </c>
      <c r="J734" s="10">
        <v>-189</v>
      </c>
      <c r="K734" s="7">
        <v>189</v>
      </c>
      <c r="L734" s="1" t="s">
        <v>210</v>
      </c>
    </row>
    <row r="735" spans="1:13">
      <c r="A735" s="21" t="str">
        <f>TEXT(TEXT(B735,"yyyymmdd"),"00000000")&amp;TEXT(COUNTIF($B$2:B735,B735),"00")</f>
        <v>2023072002</v>
      </c>
      <c r="B735" s="21">
        <f t="shared" si="11"/>
        <v>45127</v>
      </c>
      <c r="C735" s="22">
        <v>2023</v>
      </c>
      <c r="D735" s="23">
        <v>7</v>
      </c>
      <c r="E735" s="24">
        <v>20</v>
      </c>
      <c r="F735" s="42" t="s">
        <v>17</v>
      </c>
      <c r="G735" s="42" t="s">
        <v>13</v>
      </c>
      <c r="H735" s="42" t="s">
        <v>138</v>
      </c>
      <c r="I735" s="42" t="s">
        <v>139</v>
      </c>
      <c r="J735" s="10">
        <v>6000</v>
      </c>
      <c r="K735" s="7">
        <v>-6000</v>
      </c>
      <c r="L735" s="1" t="s">
        <v>741</v>
      </c>
    </row>
    <row r="736" spans="1:13">
      <c r="A736" s="21" t="str">
        <f>TEXT(TEXT(B736,"yyyymmdd"),"00000000")&amp;TEXT(COUNTIF($B$2:B736,B736),"00")</f>
        <v>2023072003</v>
      </c>
      <c r="B736" s="21">
        <f t="shared" si="11"/>
        <v>45127</v>
      </c>
      <c r="C736" s="22">
        <v>2023</v>
      </c>
      <c r="D736" s="23">
        <v>7</v>
      </c>
      <c r="E736" s="24">
        <v>20</v>
      </c>
      <c r="F736" s="42" t="s">
        <v>17</v>
      </c>
      <c r="G736" s="42" t="s">
        <v>135</v>
      </c>
      <c r="H736" s="42" t="s">
        <v>135</v>
      </c>
      <c r="I736" s="42" t="s">
        <v>143</v>
      </c>
      <c r="J736" s="10">
        <v>-10000</v>
      </c>
      <c r="K736" s="7">
        <v>10000</v>
      </c>
      <c r="L736" s="1" t="s">
        <v>165</v>
      </c>
    </row>
    <row r="737" spans="1:13">
      <c r="A737" s="21" t="str">
        <f>TEXT(TEXT(B737,"yyyymmdd"),"00000000")&amp;TEXT(COUNTIF($B$2:B737,B737),"00")</f>
        <v>2023072201</v>
      </c>
      <c r="B737" s="21">
        <f t="shared" si="11"/>
        <v>45129</v>
      </c>
      <c r="C737" s="22">
        <v>2023</v>
      </c>
      <c r="D737" s="23">
        <v>7</v>
      </c>
      <c r="E737" s="24">
        <v>22</v>
      </c>
      <c r="F737" s="42" t="s">
        <v>17</v>
      </c>
      <c r="G737" s="42" t="s">
        <v>7</v>
      </c>
      <c r="H737" s="42" t="s">
        <v>110</v>
      </c>
      <c r="I737" s="42" t="s">
        <v>120</v>
      </c>
      <c r="J737" s="10">
        <v>6100</v>
      </c>
      <c r="K737" s="7">
        <v>-6100</v>
      </c>
      <c r="L737" s="1" t="s">
        <v>784</v>
      </c>
    </row>
    <row r="738" spans="1:13">
      <c r="A738" s="21" t="str">
        <f>TEXT(TEXT(B738,"yyyymmdd"),"00000000")&amp;TEXT(COUNTIF($B$2:B738,B738),"00")</f>
        <v>2023072202</v>
      </c>
      <c r="B738" s="21">
        <f t="shared" si="11"/>
        <v>45129</v>
      </c>
      <c r="C738" s="22">
        <v>2023</v>
      </c>
      <c r="D738" s="23">
        <v>7</v>
      </c>
      <c r="E738" s="24">
        <v>22</v>
      </c>
      <c r="F738" s="42" t="s">
        <v>17</v>
      </c>
      <c r="G738" s="42" t="s">
        <v>7</v>
      </c>
      <c r="H738" s="42" t="s">
        <v>110</v>
      </c>
      <c r="I738" s="42" t="s">
        <v>120</v>
      </c>
      <c r="J738" s="10">
        <v>9000</v>
      </c>
      <c r="K738" s="7">
        <v>-9000</v>
      </c>
      <c r="L738" s="1" t="s">
        <v>786</v>
      </c>
    </row>
    <row r="739" spans="1:13">
      <c r="A739" s="21" t="str">
        <f>TEXT(TEXT(B739,"yyyymmdd"),"00000000")&amp;TEXT(COUNTIF($B$2:B739,B739),"00")</f>
        <v>2023072203</v>
      </c>
      <c r="B739" s="21">
        <f t="shared" si="11"/>
        <v>45129</v>
      </c>
      <c r="C739" s="22">
        <v>2023</v>
      </c>
      <c r="D739" s="23">
        <v>7</v>
      </c>
      <c r="E739" s="24">
        <v>22</v>
      </c>
      <c r="F739" s="42" t="s">
        <v>17</v>
      </c>
      <c r="G739" s="42" t="s">
        <v>7</v>
      </c>
      <c r="H739" s="42" t="s">
        <v>138</v>
      </c>
      <c r="I739" s="42" t="s">
        <v>139</v>
      </c>
      <c r="J739" s="10">
        <v>11000</v>
      </c>
      <c r="K739" s="7">
        <v>-11000</v>
      </c>
      <c r="L739" s="1" t="s">
        <v>785</v>
      </c>
    </row>
    <row r="740" spans="1:13">
      <c r="A740" s="21" t="str">
        <f>TEXT(TEXT(B740,"yyyymmdd"),"00000000")&amp;TEXT(COUNTIF($B$2:B740,B740),"00")</f>
        <v>2023072204</v>
      </c>
      <c r="B740" s="21">
        <f t="shared" si="11"/>
        <v>45129</v>
      </c>
      <c r="C740" s="22">
        <v>2023</v>
      </c>
      <c r="D740" s="23">
        <v>7</v>
      </c>
      <c r="E740" s="24">
        <v>22</v>
      </c>
      <c r="F740" s="42" t="s">
        <v>17</v>
      </c>
      <c r="G740" s="42" t="s">
        <v>7</v>
      </c>
      <c r="H740" s="42" t="s">
        <v>138</v>
      </c>
      <c r="I740" s="42" t="s">
        <v>139</v>
      </c>
      <c r="J740" s="10">
        <v>22000</v>
      </c>
      <c r="K740" s="7">
        <v>-22000</v>
      </c>
      <c r="L740" s="1" t="s">
        <v>787</v>
      </c>
    </row>
    <row r="741" spans="1:13">
      <c r="A741" s="21" t="str">
        <f>TEXT(TEXT(B741,"yyyymmdd"),"00000000")&amp;TEXT(COUNTIF($B$2:B741,B741),"00")</f>
        <v>2023072401</v>
      </c>
      <c r="B741" s="21">
        <f t="shared" si="11"/>
        <v>45131</v>
      </c>
      <c r="C741" s="22">
        <v>2023</v>
      </c>
      <c r="D741" s="23">
        <v>7</v>
      </c>
      <c r="E741" s="24">
        <v>24</v>
      </c>
      <c r="F741" s="42" t="s">
        <v>17</v>
      </c>
      <c r="G741" s="42" t="s">
        <v>7</v>
      </c>
      <c r="H741" s="42" t="s">
        <v>32</v>
      </c>
      <c r="I741" s="42" t="s">
        <v>141</v>
      </c>
      <c r="J741" s="10">
        <v>1000</v>
      </c>
      <c r="K741" s="7">
        <v>-1000</v>
      </c>
      <c r="L741" s="1" t="s">
        <v>788</v>
      </c>
    </row>
    <row r="742" spans="1:13">
      <c r="A742" s="21" t="str">
        <f>TEXT(TEXT(B742,"yyyymmdd"),"00000000")&amp;TEXT(COUNTIF($B$2:B742,B742),"00")</f>
        <v>2023072601</v>
      </c>
      <c r="B742" s="21">
        <f t="shared" si="11"/>
        <v>45133</v>
      </c>
      <c r="C742" s="22">
        <v>2023</v>
      </c>
      <c r="D742" s="23">
        <v>7</v>
      </c>
      <c r="E742" s="24">
        <v>26</v>
      </c>
      <c r="F742" s="42" t="s">
        <v>17</v>
      </c>
      <c r="G742" s="42" t="s">
        <v>13</v>
      </c>
      <c r="H742" s="42" t="s">
        <v>113</v>
      </c>
      <c r="I742" s="42" t="s">
        <v>171</v>
      </c>
      <c r="J742" s="10">
        <v>15000</v>
      </c>
      <c r="K742" s="7">
        <v>-15000</v>
      </c>
      <c r="L742" s="1" t="s">
        <v>502</v>
      </c>
    </row>
    <row r="743" spans="1:13">
      <c r="A743" s="21" t="str">
        <f>TEXT(TEXT(B743,"yyyymmdd"),"00000000")&amp;TEXT(COUNTIF($B$2:B743,B743),"00")</f>
        <v>2023072602</v>
      </c>
      <c r="B743" s="21">
        <f t="shared" si="11"/>
        <v>45133</v>
      </c>
      <c r="C743" s="22">
        <v>2023</v>
      </c>
      <c r="D743" s="23">
        <v>7</v>
      </c>
      <c r="E743" s="24">
        <v>26</v>
      </c>
      <c r="F743" s="42" t="s">
        <v>17</v>
      </c>
      <c r="G743" s="42" t="s">
        <v>13</v>
      </c>
      <c r="H743" s="42" t="s">
        <v>138</v>
      </c>
      <c r="I743" s="42" t="s">
        <v>139</v>
      </c>
      <c r="J743" s="10">
        <v>8500</v>
      </c>
      <c r="K743" s="7">
        <v>-8500</v>
      </c>
      <c r="L743" s="1" t="s">
        <v>789</v>
      </c>
    </row>
    <row r="744" spans="1:13">
      <c r="A744" s="21" t="str">
        <f>TEXT(TEXT(B744,"yyyymmdd"),"00000000")&amp;TEXT(COUNTIF($B$2:B744,B744),"00")</f>
        <v>2023072801</v>
      </c>
      <c r="B744" s="21">
        <f t="shared" si="11"/>
        <v>45135</v>
      </c>
      <c r="C744" s="22">
        <v>2023</v>
      </c>
      <c r="D744" s="23">
        <v>7</v>
      </c>
      <c r="E744" s="24">
        <v>28</v>
      </c>
      <c r="F744" s="42" t="s">
        <v>17</v>
      </c>
      <c r="G744" s="42" t="s">
        <v>13</v>
      </c>
      <c r="H744" s="42" t="s">
        <v>32</v>
      </c>
      <c r="I744" s="42" t="s">
        <v>620</v>
      </c>
      <c r="J744" s="10">
        <v>60000</v>
      </c>
      <c r="K744" s="7">
        <v>-60000</v>
      </c>
      <c r="L744" s="1" t="s">
        <v>715</v>
      </c>
    </row>
    <row r="745" spans="1:13">
      <c r="A745" s="21" t="str">
        <f>TEXT(TEXT(B745,"yyyymmdd"),"00000000")&amp;TEXT(COUNTIF($B$2:B745,B745),"00")</f>
        <v>2023072802</v>
      </c>
      <c r="B745" s="21">
        <f t="shared" si="11"/>
        <v>45135</v>
      </c>
      <c r="C745" s="22">
        <v>2023</v>
      </c>
      <c r="D745" s="23">
        <v>7</v>
      </c>
      <c r="E745" s="24">
        <v>28</v>
      </c>
      <c r="F745" s="42" t="s">
        <v>17</v>
      </c>
      <c r="G745" s="42" t="s">
        <v>13</v>
      </c>
      <c r="H745" s="42" t="s">
        <v>138</v>
      </c>
      <c r="I745" s="42" t="s">
        <v>139</v>
      </c>
      <c r="J745" s="10">
        <v>4000</v>
      </c>
      <c r="K745" s="7">
        <v>-4000</v>
      </c>
      <c r="L745" s="1" t="s">
        <v>300</v>
      </c>
    </row>
    <row r="746" spans="1:13">
      <c r="A746" s="21" t="str">
        <f>TEXT(TEXT(B746,"yyyymmdd"),"00000000")&amp;TEXT(COUNTIF($B$2:B746,B746),"00")</f>
        <v>2023072803</v>
      </c>
      <c r="B746" s="21">
        <f t="shared" si="11"/>
        <v>45135</v>
      </c>
      <c r="C746" s="22">
        <v>2023</v>
      </c>
      <c r="D746" s="23">
        <v>7</v>
      </c>
      <c r="E746" s="24">
        <v>28</v>
      </c>
      <c r="F746" s="42" t="s">
        <v>17</v>
      </c>
      <c r="G746" s="42" t="s">
        <v>7</v>
      </c>
      <c r="H746" s="42" t="s">
        <v>138</v>
      </c>
      <c r="I746" s="42" t="s">
        <v>139</v>
      </c>
      <c r="J746" s="10">
        <v>14500</v>
      </c>
      <c r="K746" s="7">
        <v>-14500</v>
      </c>
      <c r="L746" s="1" t="s">
        <v>790</v>
      </c>
    </row>
    <row r="747" spans="1:13">
      <c r="A747" s="21" t="str">
        <f>TEXT(TEXT(B747,"yyyymmdd"),"00000000")&amp;TEXT(COUNTIF($B$2:B747,B747),"00")</f>
        <v>2023072901</v>
      </c>
      <c r="B747" s="21">
        <f t="shared" si="11"/>
        <v>45136</v>
      </c>
      <c r="C747" s="22">
        <v>2023</v>
      </c>
      <c r="D747" s="23">
        <v>7</v>
      </c>
      <c r="E747" s="24">
        <v>29</v>
      </c>
      <c r="F747" s="42" t="s">
        <v>17</v>
      </c>
      <c r="G747" s="42" t="s">
        <v>7</v>
      </c>
      <c r="H747" s="42" t="s">
        <v>138</v>
      </c>
      <c r="I747" s="42" t="s">
        <v>139</v>
      </c>
      <c r="J747" s="10">
        <v>12900</v>
      </c>
      <c r="K747" s="7">
        <v>-12900</v>
      </c>
      <c r="L747" s="1" t="s">
        <v>791</v>
      </c>
      <c r="M747" s="2" t="s">
        <v>792</v>
      </c>
    </row>
    <row r="748" spans="1:13">
      <c r="A748" s="21" t="str">
        <f>TEXT(TEXT(B748,"yyyymmdd"),"00000000")&amp;TEXT(COUNTIF($B$2:B748,B748),"00")</f>
        <v>2023072902</v>
      </c>
      <c r="B748" s="21">
        <f t="shared" si="11"/>
        <v>45136</v>
      </c>
      <c r="C748" s="22">
        <v>2023</v>
      </c>
      <c r="D748" s="23">
        <v>7</v>
      </c>
      <c r="E748" s="24">
        <v>29</v>
      </c>
      <c r="F748" s="42" t="s">
        <v>17</v>
      </c>
      <c r="G748" s="42" t="s">
        <v>7</v>
      </c>
      <c r="H748" s="42" t="s">
        <v>32</v>
      </c>
      <c r="I748" s="42" t="s">
        <v>141</v>
      </c>
      <c r="J748" s="10">
        <v>6400</v>
      </c>
      <c r="K748" s="7">
        <v>-6400</v>
      </c>
      <c r="L748" s="1" t="s">
        <v>793</v>
      </c>
    </row>
    <row r="749" spans="1:13">
      <c r="A749" s="21" t="str">
        <f>TEXT(TEXT(B749,"yyyymmdd"),"00000000")&amp;TEXT(COUNTIF($B$2:B749,B749),"00")</f>
        <v>2023072903</v>
      </c>
      <c r="B749" s="21">
        <f t="shared" si="11"/>
        <v>45136</v>
      </c>
      <c r="C749" s="22">
        <v>2023</v>
      </c>
      <c r="D749" s="23">
        <v>7</v>
      </c>
      <c r="E749" s="24">
        <v>29</v>
      </c>
      <c r="F749" s="42" t="s">
        <v>17</v>
      </c>
      <c r="G749" s="42" t="s">
        <v>7</v>
      </c>
      <c r="H749" s="42" t="s">
        <v>110</v>
      </c>
      <c r="I749" s="42" t="s">
        <v>120</v>
      </c>
      <c r="J749" s="10">
        <v>5100</v>
      </c>
      <c r="K749" s="7">
        <v>-5100</v>
      </c>
      <c r="L749" s="1" t="s">
        <v>651</v>
      </c>
      <c r="M749" s="2" t="s">
        <v>719</v>
      </c>
    </row>
    <row r="750" spans="1:13">
      <c r="A750" s="21" t="str">
        <f>TEXT(TEXT(B750,"yyyymmdd"),"00000000")&amp;TEXT(COUNTIF($B$2:B750,B750),"00")</f>
        <v>2023073001</v>
      </c>
      <c r="B750" s="21">
        <f t="shared" si="11"/>
        <v>45137</v>
      </c>
      <c r="C750" s="22">
        <v>2023</v>
      </c>
      <c r="D750" s="23">
        <v>7</v>
      </c>
      <c r="E750" s="24">
        <v>30</v>
      </c>
      <c r="F750" s="42" t="s">
        <v>17</v>
      </c>
      <c r="G750" s="42" t="s">
        <v>170</v>
      </c>
      <c r="H750" s="42" t="s">
        <v>155</v>
      </c>
      <c r="I750" s="42" t="s">
        <v>156</v>
      </c>
      <c r="J750" s="10">
        <v>1841</v>
      </c>
      <c r="K750" s="7">
        <v>-1841</v>
      </c>
      <c r="L750" s="1" t="s">
        <v>303</v>
      </c>
    </row>
    <row r="751" spans="1:13">
      <c r="A751" s="21" t="str">
        <f>TEXT(TEXT(B751,"yyyymmdd"),"00000000")&amp;TEXT(COUNTIF($B$2:B751,B751),"00")</f>
        <v>2023073101</v>
      </c>
      <c r="B751" s="21">
        <f t="shared" si="11"/>
        <v>45138</v>
      </c>
      <c r="C751" s="22">
        <v>2023</v>
      </c>
      <c r="D751" s="23">
        <v>7</v>
      </c>
      <c r="E751" s="24">
        <v>31</v>
      </c>
      <c r="F751" s="42" t="s">
        <v>17</v>
      </c>
      <c r="G751" s="42" t="s">
        <v>7</v>
      </c>
      <c r="H751" s="42" t="s">
        <v>173</v>
      </c>
      <c r="I751" s="42" t="s">
        <v>174</v>
      </c>
      <c r="J751" s="10">
        <v>720</v>
      </c>
      <c r="K751" s="7">
        <v>-720</v>
      </c>
      <c r="L751" s="1" t="s">
        <v>694</v>
      </c>
    </row>
    <row r="752" spans="1:13">
      <c r="A752" s="21" t="str">
        <f>TEXT(TEXT(B752,"yyyymmdd"),"00000000")&amp;TEXT(COUNTIF($B$2:B752,B752),"00")</f>
        <v>2023073102</v>
      </c>
      <c r="B752" s="21">
        <f t="shared" si="11"/>
        <v>45138</v>
      </c>
      <c r="C752" s="22">
        <v>2023</v>
      </c>
      <c r="D752" s="23">
        <v>7</v>
      </c>
      <c r="E752" s="24">
        <v>31</v>
      </c>
      <c r="F752" s="42" t="s">
        <v>17</v>
      </c>
      <c r="G752" s="42" t="s">
        <v>13</v>
      </c>
      <c r="H752" s="42" t="s">
        <v>138</v>
      </c>
      <c r="I752" s="42" t="s">
        <v>139</v>
      </c>
      <c r="J752" s="10">
        <v>7000</v>
      </c>
      <c r="K752" s="7">
        <v>-7000</v>
      </c>
      <c r="L752" s="1" t="s">
        <v>794</v>
      </c>
    </row>
    <row r="753" spans="1:13">
      <c r="A753" s="21" t="str">
        <f>TEXT(TEXT(B753,"yyyymmdd"),"00000000")&amp;TEXT(COUNTIF($B$2:B753,B753),"00")</f>
        <v>2023073103</v>
      </c>
      <c r="B753" s="21">
        <f t="shared" si="11"/>
        <v>45138</v>
      </c>
      <c r="C753" s="22">
        <v>2023</v>
      </c>
      <c r="D753" s="23">
        <v>7</v>
      </c>
      <c r="E753" s="24">
        <v>31</v>
      </c>
      <c r="F753" s="42" t="s">
        <v>17</v>
      </c>
      <c r="G753" s="42" t="s">
        <v>13</v>
      </c>
      <c r="H753" s="42" t="s">
        <v>138</v>
      </c>
      <c r="I753" s="42" t="s">
        <v>139</v>
      </c>
      <c r="J753" s="10">
        <v>9000</v>
      </c>
      <c r="K753" s="7">
        <v>-9000</v>
      </c>
      <c r="L753" s="1" t="s">
        <v>738</v>
      </c>
    </row>
    <row r="754" spans="1:13">
      <c r="A754" s="21" t="str">
        <f>TEXT(TEXT(B754,"yyyymmdd"),"00000000")&amp;TEXT(COUNTIF($B$2:B754,B754),"00")</f>
        <v>2023080101</v>
      </c>
      <c r="B754" s="21">
        <f t="shared" si="11"/>
        <v>45139</v>
      </c>
      <c r="C754" s="22">
        <v>2023</v>
      </c>
      <c r="D754" s="23">
        <v>8</v>
      </c>
      <c r="E754" s="24">
        <v>1</v>
      </c>
      <c r="F754" s="42" t="s">
        <v>17</v>
      </c>
      <c r="G754" s="42" t="s">
        <v>11</v>
      </c>
      <c r="H754" s="42" t="s">
        <v>99</v>
      </c>
      <c r="I754" s="42" t="s">
        <v>94</v>
      </c>
      <c r="J754" s="10">
        <v>-300000</v>
      </c>
      <c r="K754" s="7">
        <v>300000</v>
      </c>
      <c r="L754" s="1" t="s">
        <v>503</v>
      </c>
      <c r="M754" s="2" t="s">
        <v>796</v>
      </c>
    </row>
    <row r="755" spans="1:13">
      <c r="A755" s="21" t="str">
        <f>TEXT(TEXT(B755,"yyyymmdd"),"00000000")&amp;TEXT(COUNTIF($B$2:B755,B755),"00")</f>
        <v>2023080102</v>
      </c>
      <c r="B755" s="21">
        <f t="shared" si="11"/>
        <v>45139</v>
      </c>
      <c r="C755" s="22">
        <v>2023</v>
      </c>
      <c r="D755" s="23">
        <v>8</v>
      </c>
      <c r="E755" s="24">
        <v>1</v>
      </c>
      <c r="F755" s="42" t="s">
        <v>498</v>
      </c>
      <c r="G755" s="42" t="s">
        <v>11</v>
      </c>
      <c r="H755" s="42" t="s">
        <v>99</v>
      </c>
      <c r="I755" s="42" t="s">
        <v>94</v>
      </c>
      <c r="J755" s="10">
        <v>300000</v>
      </c>
      <c r="K755" s="7">
        <v>-300000</v>
      </c>
      <c r="L755" s="1" t="s">
        <v>573</v>
      </c>
    </row>
    <row r="756" spans="1:13">
      <c r="A756" s="21" t="str">
        <f>TEXT(TEXT(B756,"yyyymmdd"),"00000000")&amp;TEXT(COUNTIF($B$2:B756,B756),"00")</f>
        <v>2023080103</v>
      </c>
      <c r="B756" s="21">
        <f t="shared" si="11"/>
        <v>45139</v>
      </c>
      <c r="C756" s="22">
        <v>2023</v>
      </c>
      <c r="D756" s="23">
        <v>8</v>
      </c>
      <c r="E756" s="24">
        <v>1</v>
      </c>
      <c r="F756" s="42" t="s">
        <v>17</v>
      </c>
      <c r="G756" s="42" t="s">
        <v>13</v>
      </c>
      <c r="H756" s="42" t="s">
        <v>138</v>
      </c>
      <c r="I756" s="42" t="s">
        <v>139</v>
      </c>
      <c r="J756" s="10">
        <v>7000</v>
      </c>
      <c r="K756" s="7">
        <v>-7000</v>
      </c>
      <c r="L756" s="1" t="s">
        <v>741</v>
      </c>
    </row>
    <row r="757" spans="1:13">
      <c r="A757" s="21" t="str">
        <f>TEXT(TEXT(B757,"yyyymmdd"),"00000000")&amp;TEXT(COUNTIF($B$2:B757,B757),"00")</f>
        <v>2023080104</v>
      </c>
      <c r="B757" s="21">
        <f t="shared" si="11"/>
        <v>45139</v>
      </c>
      <c r="C757" s="22">
        <v>2023</v>
      </c>
      <c r="D757" s="23">
        <v>8</v>
      </c>
      <c r="E757" s="24">
        <v>1</v>
      </c>
      <c r="F757" s="42" t="s">
        <v>17</v>
      </c>
      <c r="G757" s="42" t="s">
        <v>7</v>
      </c>
      <c r="H757" s="42" t="s">
        <v>111</v>
      </c>
      <c r="I757" s="42" t="s">
        <v>334</v>
      </c>
      <c r="J757" s="10">
        <v>36950</v>
      </c>
      <c r="K757" s="7">
        <v>-36950</v>
      </c>
      <c r="L757" s="1" t="s">
        <v>797</v>
      </c>
    </row>
    <row r="758" spans="1:13">
      <c r="A758" s="21" t="str">
        <f>TEXT(TEXT(B758,"yyyymmdd"),"00000000")&amp;TEXT(COUNTIF($B$2:B758,B758),"00")</f>
        <v>2023080105</v>
      </c>
      <c r="B758" s="21">
        <f t="shared" si="11"/>
        <v>45139</v>
      </c>
      <c r="C758" s="22">
        <v>2023</v>
      </c>
      <c r="D758" s="23">
        <v>8</v>
      </c>
      <c r="E758" s="24">
        <v>1</v>
      </c>
      <c r="F758" s="42" t="s">
        <v>17</v>
      </c>
      <c r="G758" s="42" t="s">
        <v>7</v>
      </c>
      <c r="H758" s="42" t="s">
        <v>167</v>
      </c>
      <c r="I758" s="42" t="s">
        <v>608</v>
      </c>
      <c r="J758" s="10">
        <v>1800</v>
      </c>
      <c r="K758" s="7">
        <v>-1800</v>
      </c>
      <c r="L758" s="1" t="s">
        <v>817</v>
      </c>
    </row>
    <row r="759" spans="1:13">
      <c r="A759" s="21" t="str">
        <f>TEXT(TEXT(B759,"yyyymmdd"),"00000000")&amp;TEXT(COUNTIF($B$2:B759,B759),"00")</f>
        <v>2023080106</v>
      </c>
      <c r="B759" s="21">
        <f t="shared" si="11"/>
        <v>45139</v>
      </c>
      <c r="C759" s="22">
        <v>2023</v>
      </c>
      <c r="D759" s="23">
        <v>8</v>
      </c>
      <c r="E759" s="24">
        <v>1</v>
      </c>
      <c r="F759" s="42" t="s">
        <v>17</v>
      </c>
      <c r="G759" s="42" t="s">
        <v>7</v>
      </c>
      <c r="H759" s="42" t="s">
        <v>119</v>
      </c>
      <c r="I759" s="42" t="s">
        <v>180</v>
      </c>
      <c r="J759" s="10">
        <v>3000</v>
      </c>
      <c r="K759" s="7">
        <v>-3000</v>
      </c>
      <c r="L759" s="1" t="s">
        <v>795</v>
      </c>
    </row>
    <row r="760" spans="1:13">
      <c r="A760" s="21" t="str">
        <f>TEXT(TEXT(B760,"yyyymmdd"),"00000000")&amp;TEXT(COUNTIF($B$2:B760,B760),"00")</f>
        <v>2023080201</v>
      </c>
      <c r="B760" s="21">
        <f t="shared" si="11"/>
        <v>45140</v>
      </c>
      <c r="C760" s="22">
        <v>2023</v>
      </c>
      <c r="D760" s="23">
        <v>8</v>
      </c>
      <c r="E760" s="24">
        <v>2</v>
      </c>
      <c r="F760" s="42" t="s">
        <v>17</v>
      </c>
      <c r="G760" s="42" t="s">
        <v>13</v>
      </c>
      <c r="H760" s="42" t="s">
        <v>138</v>
      </c>
      <c r="I760" s="42" t="s">
        <v>139</v>
      </c>
      <c r="J760" s="10">
        <v>10000</v>
      </c>
      <c r="K760" s="7">
        <v>-10000</v>
      </c>
      <c r="L760" s="1" t="s">
        <v>701</v>
      </c>
    </row>
    <row r="761" spans="1:13">
      <c r="A761" s="21" t="str">
        <f>TEXT(TEXT(B761,"yyyymmdd"),"00000000")&amp;TEXT(COUNTIF($B$2:B761,B761),"00")</f>
        <v>2023080202</v>
      </c>
      <c r="B761" s="21">
        <f t="shared" si="11"/>
        <v>45140</v>
      </c>
      <c r="C761" s="22">
        <v>2023</v>
      </c>
      <c r="D761" s="23">
        <v>8</v>
      </c>
      <c r="E761" s="24">
        <v>2</v>
      </c>
      <c r="F761" s="42" t="s">
        <v>17</v>
      </c>
      <c r="G761" s="42" t="s">
        <v>13</v>
      </c>
      <c r="H761" s="42" t="s">
        <v>138</v>
      </c>
      <c r="I761" s="42" t="s">
        <v>139</v>
      </c>
      <c r="J761" s="10">
        <v>7200</v>
      </c>
      <c r="K761" s="7">
        <v>-7200</v>
      </c>
      <c r="L761" s="1" t="s">
        <v>300</v>
      </c>
    </row>
    <row r="762" spans="1:13">
      <c r="A762" s="21" t="str">
        <f>TEXT(TEXT(B762,"yyyymmdd"),"00000000")&amp;TEXT(COUNTIF($B$2:B762,B762),"00")</f>
        <v>2023080301</v>
      </c>
      <c r="B762" s="21">
        <f t="shared" si="11"/>
        <v>45141</v>
      </c>
      <c r="C762" s="22">
        <v>2023</v>
      </c>
      <c r="D762" s="23">
        <v>8</v>
      </c>
      <c r="E762" s="24">
        <v>3</v>
      </c>
      <c r="F762" s="42" t="s">
        <v>17</v>
      </c>
      <c r="G762" s="42" t="s">
        <v>7</v>
      </c>
      <c r="H762" s="42" t="s">
        <v>173</v>
      </c>
      <c r="I762" s="42" t="s">
        <v>207</v>
      </c>
      <c r="J762" s="10">
        <v>10400</v>
      </c>
      <c r="K762" s="7">
        <v>-10400</v>
      </c>
      <c r="L762" s="1" t="s">
        <v>208</v>
      </c>
    </row>
    <row r="763" spans="1:13">
      <c r="A763" s="21" t="str">
        <f>TEXT(TEXT(B763,"yyyymmdd"),"00000000")&amp;TEXT(COUNTIF($B$2:B763,B763),"00")</f>
        <v>2023080302</v>
      </c>
      <c r="B763" s="21">
        <f t="shared" si="11"/>
        <v>45141</v>
      </c>
      <c r="C763" s="22">
        <v>2023</v>
      </c>
      <c r="D763" s="23">
        <v>8</v>
      </c>
      <c r="E763" s="24">
        <v>3</v>
      </c>
      <c r="F763" s="42" t="s">
        <v>17</v>
      </c>
      <c r="G763" s="42" t="s">
        <v>7</v>
      </c>
      <c r="H763" s="42" t="s">
        <v>173</v>
      </c>
      <c r="I763" s="42" t="s">
        <v>174</v>
      </c>
      <c r="J763" s="10">
        <v>1440</v>
      </c>
      <c r="K763" s="7">
        <v>-1440</v>
      </c>
      <c r="L763" s="1" t="s">
        <v>694</v>
      </c>
    </row>
    <row r="764" spans="1:13">
      <c r="A764" s="21" t="str">
        <f>TEXT(TEXT(B764,"yyyymmdd"),"00000000")&amp;TEXT(COUNTIF($B$2:B764,B764),"00")</f>
        <v>2023080401</v>
      </c>
      <c r="B764" s="21">
        <f t="shared" si="11"/>
        <v>45142</v>
      </c>
      <c r="C764" s="22">
        <v>2023</v>
      </c>
      <c r="D764" s="23">
        <v>8</v>
      </c>
      <c r="E764" s="24">
        <v>4</v>
      </c>
      <c r="F764" s="42" t="s">
        <v>17</v>
      </c>
      <c r="G764" s="42" t="s">
        <v>7</v>
      </c>
      <c r="H764" s="42" t="s">
        <v>110</v>
      </c>
      <c r="I764" s="42" t="s">
        <v>120</v>
      </c>
      <c r="J764" s="10">
        <v>5000</v>
      </c>
      <c r="K764" s="7">
        <v>-5000</v>
      </c>
      <c r="L764" s="1" t="s">
        <v>798</v>
      </c>
      <c r="M764" s="2" t="s">
        <v>719</v>
      </c>
    </row>
    <row r="765" spans="1:13">
      <c r="A765" s="21" t="str">
        <f>TEXT(TEXT(B765,"yyyymmdd"),"00000000")&amp;TEXT(COUNTIF($B$2:B765,B765),"00")</f>
        <v>2023080402</v>
      </c>
      <c r="B765" s="21">
        <f t="shared" si="11"/>
        <v>45142</v>
      </c>
      <c r="C765" s="22">
        <v>2023</v>
      </c>
      <c r="D765" s="23">
        <v>8</v>
      </c>
      <c r="E765" s="24">
        <v>4</v>
      </c>
      <c r="F765" s="42" t="s">
        <v>17</v>
      </c>
      <c r="G765" s="42" t="s">
        <v>7</v>
      </c>
      <c r="H765" s="42" t="s">
        <v>110</v>
      </c>
      <c r="I765" s="42" t="s">
        <v>124</v>
      </c>
      <c r="J765" s="10">
        <v>3900</v>
      </c>
      <c r="K765" s="7">
        <v>-3900</v>
      </c>
      <c r="L765" s="1" t="s">
        <v>800</v>
      </c>
    </row>
    <row r="766" spans="1:13">
      <c r="A766" s="21" t="str">
        <f>TEXT(TEXT(B766,"yyyymmdd"),"00000000")&amp;TEXT(COUNTIF($B$2:B766,B766),"00")</f>
        <v>2023080403</v>
      </c>
      <c r="B766" s="21">
        <f t="shared" si="11"/>
        <v>45142</v>
      </c>
      <c r="C766" s="22">
        <v>2023</v>
      </c>
      <c r="D766" s="23">
        <v>8</v>
      </c>
      <c r="E766" s="24">
        <v>4</v>
      </c>
      <c r="F766" s="42" t="s">
        <v>17</v>
      </c>
      <c r="G766" s="42" t="s">
        <v>7</v>
      </c>
      <c r="H766" s="42" t="s">
        <v>173</v>
      </c>
      <c r="I766" s="42" t="s">
        <v>174</v>
      </c>
      <c r="J766" s="10">
        <v>900</v>
      </c>
      <c r="K766" s="7">
        <v>-900</v>
      </c>
      <c r="L766" s="1" t="s">
        <v>694</v>
      </c>
    </row>
    <row r="767" spans="1:13">
      <c r="A767" s="21" t="str">
        <f>TEXT(TEXT(B767,"yyyymmdd"),"00000000")&amp;TEXT(COUNTIF($B$2:B767,B767),"00")</f>
        <v>2023080404</v>
      </c>
      <c r="B767" s="21">
        <f t="shared" si="11"/>
        <v>45142</v>
      </c>
      <c r="C767" s="22">
        <v>2023</v>
      </c>
      <c r="D767" s="23">
        <v>8</v>
      </c>
      <c r="E767" s="24">
        <v>4</v>
      </c>
      <c r="F767" s="42" t="s">
        <v>17</v>
      </c>
      <c r="G767" s="42" t="s">
        <v>7</v>
      </c>
      <c r="H767" s="42" t="s">
        <v>138</v>
      </c>
      <c r="I767" s="42" t="s">
        <v>139</v>
      </c>
      <c r="J767" s="10">
        <v>7800</v>
      </c>
      <c r="K767" s="7">
        <v>-7800</v>
      </c>
      <c r="L767" s="1" t="s">
        <v>799</v>
      </c>
      <c r="M767" s="2" t="s">
        <v>719</v>
      </c>
    </row>
    <row r="768" spans="1:13">
      <c r="A768" s="21" t="str">
        <f>TEXT(TEXT(B768,"yyyymmdd"),"00000000")&amp;TEXT(COUNTIF($B$2:B768,B768),"00")</f>
        <v>2023080501</v>
      </c>
      <c r="B768" s="21">
        <f t="shared" si="11"/>
        <v>45143</v>
      </c>
      <c r="C768" s="22">
        <v>2023</v>
      </c>
      <c r="D768" s="23">
        <v>8</v>
      </c>
      <c r="E768" s="24">
        <v>5</v>
      </c>
      <c r="F768" s="42" t="s">
        <v>17</v>
      </c>
      <c r="G768" s="42" t="s">
        <v>7</v>
      </c>
      <c r="H768" s="42" t="s">
        <v>167</v>
      </c>
      <c r="I768" s="42" t="s">
        <v>214</v>
      </c>
      <c r="J768" s="10">
        <v>2000</v>
      </c>
      <c r="K768" s="7">
        <v>-2000</v>
      </c>
      <c r="L768" s="1" t="s">
        <v>603</v>
      </c>
      <c r="M768" s="2" t="s">
        <v>801</v>
      </c>
    </row>
    <row r="769" spans="1:13">
      <c r="A769" s="21" t="str">
        <f>TEXT(TEXT(B769,"yyyymmdd"),"00000000")&amp;TEXT(COUNTIF($B$2:B769,B769),"00")</f>
        <v>2023080502</v>
      </c>
      <c r="B769" s="21">
        <f t="shared" si="11"/>
        <v>45143</v>
      </c>
      <c r="C769" s="22">
        <v>2023</v>
      </c>
      <c r="D769" s="23">
        <v>8</v>
      </c>
      <c r="E769" s="24">
        <v>5</v>
      </c>
      <c r="F769" s="42" t="s">
        <v>17</v>
      </c>
      <c r="G769" s="42" t="s">
        <v>7</v>
      </c>
      <c r="H769" s="42" t="s">
        <v>110</v>
      </c>
      <c r="I769" s="42" t="s">
        <v>120</v>
      </c>
      <c r="J769" s="10">
        <v>800</v>
      </c>
      <c r="K769" s="7">
        <v>-800</v>
      </c>
      <c r="L769" s="1" t="s">
        <v>480</v>
      </c>
    </row>
    <row r="770" spans="1:13">
      <c r="A770" s="21" t="str">
        <f>TEXT(TEXT(B770,"yyyymmdd"),"00000000")&amp;TEXT(COUNTIF($B$2:B770,B770),"00")</f>
        <v>2023080701</v>
      </c>
      <c r="B770" s="21">
        <f t="shared" ref="B770:B833" si="12">DATE(C770,D770,E770)</f>
        <v>45145</v>
      </c>
      <c r="C770" s="22">
        <v>2023</v>
      </c>
      <c r="D770" s="23">
        <v>8</v>
      </c>
      <c r="E770" s="24">
        <v>7</v>
      </c>
      <c r="F770" s="42" t="s">
        <v>17</v>
      </c>
      <c r="G770" s="42" t="s">
        <v>7</v>
      </c>
      <c r="H770" s="42" t="s">
        <v>167</v>
      </c>
      <c r="I770" s="42" t="s">
        <v>168</v>
      </c>
      <c r="J770" s="10">
        <v>2100</v>
      </c>
      <c r="K770" s="7">
        <v>-2100</v>
      </c>
      <c r="L770" s="1" t="s">
        <v>619</v>
      </c>
    </row>
    <row r="771" spans="1:13">
      <c r="A771" s="21" t="str">
        <f>TEXT(TEXT(B771,"yyyymmdd"),"00000000")&amp;TEXT(COUNTIF($B$2:B771,B771),"00")</f>
        <v>2023080702</v>
      </c>
      <c r="B771" s="21">
        <f t="shared" si="12"/>
        <v>45145</v>
      </c>
      <c r="C771" s="22">
        <v>2023</v>
      </c>
      <c r="D771" s="23">
        <v>8</v>
      </c>
      <c r="E771" s="24">
        <v>7</v>
      </c>
      <c r="F771" s="42" t="s">
        <v>17</v>
      </c>
      <c r="G771" s="42" t="s">
        <v>13</v>
      </c>
      <c r="H771" s="42" t="s">
        <v>138</v>
      </c>
      <c r="I771" s="42" t="s">
        <v>139</v>
      </c>
      <c r="J771" s="10">
        <v>8000</v>
      </c>
      <c r="K771" s="7">
        <v>-8000</v>
      </c>
      <c r="L771" s="1" t="s">
        <v>709</v>
      </c>
    </row>
    <row r="772" spans="1:13">
      <c r="A772" s="21" t="str">
        <f>TEXT(TEXT(B772,"yyyymmdd"),"00000000")&amp;TEXT(COUNTIF($B$2:B772,B772),"00")</f>
        <v>2023080703</v>
      </c>
      <c r="B772" s="21">
        <f t="shared" si="12"/>
        <v>45145</v>
      </c>
      <c r="C772" s="22">
        <v>2023</v>
      </c>
      <c r="D772" s="23">
        <v>8</v>
      </c>
      <c r="E772" s="24">
        <v>7</v>
      </c>
      <c r="F772" s="42" t="s">
        <v>17</v>
      </c>
      <c r="G772" s="42" t="s">
        <v>7</v>
      </c>
      <c r="H772" s="42" t="s">
        <v>116</v>
      </c>
      <c r="I772" s="42" t="s">
        <v>128</v>
      </c>
      <c r="J772" s="10">
        <v>10000</v>
      </c>
      <c r="K772" s="7">
        <v>-10000</v>
      </c>
      <c r="L772" s="1" t="s">
        <v>803</v>
      </c>
      <c r="M772" s="2" t="s">
        <v>816</v>
      </c>
    </row>
    <row r="773" spans="1:13">
      <c r="A773" s="21" t="str">
        <f>TEXT(TEXT(B773,"yyyymmdd"),"00000000")&amp;TEXT(COUNTIF($B$2:B773,B773),"00")</f>
        <v>2023080801</v>
      </c>
      <c r="B773" s="21">
        <f t="shared" si="12"/>
        <v>45146</v>
      </c>
      <c r="C773" s="22">
        <v>2023</v>
      </c>
      <c r="D773" s="23">
        <v>8</v>
      </c>
      <c r="E773" s="24">
        <v>8</v>
      </c>
      <c r="F773" s="42" t="s">
        <v>17</v>
      </c>
      <c r="G773" s="42" t="s">
        <v>11</v>
      </c>
      <c r="H773" s="42" t="s">
        <v>99</v>
      </c>
      <c r="I773" s="42" t="s">
        <v>94</v>
      </c>
      <c r="J773" s="10">
        <v>-200000</v>
      </c>
      <c r="K773" s="7">
        <v>200000</v>
      </c>
      <c r="L773" s="1" t="s">
        <v>503</v>
      </c>
      <c r="M773" s="2" t="s">
        <v>814</v>
      </c>
    </row>
    <row r="774" spans="1:13">
      <c r="A774" s="21" t="str">
        <f>TEXT(TEXT(B774,"yyyymmdd"),"00000000")&amp;TEXT(COUNTIF($B$2:B774,B774),"00")</f>
        <v>2023080802</v>
      </c>
      <c r="B774" s="21">
        <f t="shared" si="12"/>
        <v>45146</v>
      </c>
      <c r="C774" s="22">
        <v>2023</v>
      </c>
      <c r="D774" s="23">
        <v>8</v>
      </c>
      <c r="E774" s="24">
        <v>8</v>
      </c>
      <c r="F774" s="42" t="s">
        <v>17</v>
      </c>
      <c r="G774" s="42" t="s">
        <v>13</v>
      </c>
      <c r="H774" s="42" t="s">
        <v>138</v>
      </c>
      <c r="I774" s="42" t="s">
        <v>139</v>
      </c>
      <c r="J774" s="10">
        <v>12500</v>
      </c>
      <c r="K774" s="7">
        <v>-12500</v>
      </c>
      <c r="L774" s="1" t="s">
        <v>805</v>
      </c>
      <c r="M774" s="2" t="s">
        <v>806</v>
      </c>
    </row>
    <row r="775" spans="1:13">
      <c r="A775" s="21" t="str">
        <f>TEXT(TEXT(B775,"yyyymmdd"),"00000000")&amp;TEXT(COUNTIF($B$2:B775,B775),"00")</f>
        <v>2023080803</v>
      </c>
      <c r="B775" s="21">
        <f t="shared" si="12"/>
        <v>45146</v>
      </c>
      <c r="C775" s="22">
        <v>2023</v>
      </c>
      <c r="D775" s="23">
        <v>8</v>
      </c>
      <c r="E775" s="24">
        <v>8</v>
      </c>
      <c r="F775" s="42" t="s">
        <v>17</v>
      </c>
      <c r="G775" s="42" t="s">
        <v>13</v>
      </c>
      <c r="H775" s="42" t="s">
        <v>167</v>
      </c>
      <c r="I775" s="42" t="s">
        <v>168</v>
      </c>
      <c r="J775" s="10">
        <v>2900</v>
      </c>
      <c r="K775" s="7">
        <v>-2900</v>
      </c>
      <c r="L775" s="1" t="s">
        <v>619</v>
      </c>
    </row>
    <row r="776" spans="1:13">
      <c r="A776" s="21" t="str">
        <f>TEXT(TEXT(B776,"yyyymmdd"),"00000000")&amp;TEXT(COUNTIF($B$2:B776,B776),"00")</f>
        <v>2023080804</v>
      </c>
      <c r="B776" s="21">
        <f t="shared" si="12"/>
        <v>45146</v>
      </c>
      <c r="C776" s="22">
        <v>2023</v>
      </c>
      <c r="D776" s="23">
        <v>8</v>
      </c>
      <c r="E776" s="24">
        <v>8</v>
      </c>
      <c r="F776" s="42" t="s">
        <v>17</v>
      </c>
      <c r="G776" s="42" t="s">
        <v>7</v>
      </c>
      <c r="H776" s="42" t="s">
        <v>167</v>
      </c>
      <c r="I776" s="42" t="s">
        <v>129</v>
      </c>
      <c r="J776" s="10">
        <v>206400</v>
      </c>
      <c r="K776" s="7">
        <v>-206400</v>
      </c>
      <c r="L776" s="1" t="s">
        <v>541</v>
      </c>
      <c r="M776" s="2" t="s">
        <v>804</v>
      </c>
    </row>
    <row r="777" spans="1:13">
      <c r="A777" s="21" t="str">
        <f>TEXT(TEXT(B777,"yyyymmdd"),"00000000")&amp;TEXT(COUNTIF($B$2:B777,B777),"00")</f>
        <v>2023080901</v>
      </c>
      <c r="B777" s="21">
        <f t="shared" si="12"/>
        <v>45147</v>
      </c>
      <c r="C777" s="22">
        <v>2023</v>
      </c>
      <c r="D777" s="23">
        <v>8</v>
      </c>
      <c r="E777" s="24">
        <v>9</v>
      </c>
      <c r="F777" s="42" t="s">
        <v>17</v>
      </c>
      <c r="G777" s="42" t="s">
        <v>7</v>
      </c>
      <c r="H777" s="42" t="s">
        <v>138</v>
      </c>
      <c r="I777" s="42" t="s">
        <v>139</v>
      </c>
      <c r="J777" s="10">
        <v>12900</v>
      </c>
      <c r="K777" s="7">
        <v>-12900</v>
      </c>
      <c r="L777" s="1" t="s">
        <v>811</v>
      </c>
      <c r="M777" s="2" t="s">
        <v>815</v>
      </c>
    </row>
    <row r="778" spans="1:13">
      <c r="A778" s="21" t="str">
        <f>TEXT(TEXT(B778,"yyyymmdd"),"00000000")&amp;TEXT(COUNTIF($B$2:B778,B778),"00")</f>
        <v>2023080902</v>
      </c>
      <c r="B778" s="21">
        <f t="shared" si="12"/>
        <v>45147</v>
      </c>
      <c r="C778" s="22">
        <v>2023</v>
      </c>
      <c r="D778" s="23">
        <v>8</v>
      </c>
      <c r="E778" s="24">
        <v>9</v>
      </c>
      <c r="F778" s="42" t="s">
        <v>17</v>
      </c>
      <c r="G778" s="42" t="s">
        <v>7</v>
      </c>
      <c r="H778" s="42" t="s">
        <v>110</v>
      </c>
      <c r="I778" s="42" t="s">
        <v>120</v>
      </c>
      <c r="J778" s="10">
        <v>2500</v>
      </c>
      <c r="K778" s="7">
        <v>-2500</v>
      </c>
      <c r="L778" s="1" t="s">
        <v>807</v>
      </c>
    </row>
    <row r="779" spans="1:13">
      <c r="A779" s="21" t="str">
        <f>TEXT(TEXT(B779,"yyyymmdd"),"00000000")&amp;TEXT(COUNTIF($B$2:B779,B779),"00")</f>
        <v>2023080903</v>
      </c>
      <c r="B779" s="21">
        <f t="shared" si="12"/>
        <v>45147</v>
      </c>
      <c r="C779" s="22">
        <v>2023</v>
      </c>
      <c r="D779" s="23">
        <v>8</v>
      </c>
      <c r="E779" s="24">
        <v>9</v>
      </c>
      <c r="F779" s="42" t="s">
        <v>17</v>
      </c>
      <c r="G779" s="42" t="s">
        <v>7</v>
      </c>
      <c r="H779" s="42" t="s">
        <v>110</v>
      </c>
      <c r="I779" s="42" t="s">
        <v>124</v>
      </c>
      <c r="J779" s="10">
        <v>4500</v>
      </c>
      <c r="K779" s="7">
        <v>-4500</v>
      </c>
      <c r="L779" s="1" t="s">
        <v>812</v>
      </c>
      <c r="M779" s="2" t="s">
        <v>815</v>
      </c>
    </row>
    <row r="780" spans="1:13">
      <c r="A780" s="21" t="str">
        <f>TEXT(TEXT(B780,"yyyymmdd"),"00000000")&amp;TEXT(COUNTIF($B$2:B780,B780),"00")</f>
        <v>2023080904</v>
      </c>
      <c r="B780" s="21">
        <f t="shared" si="12"/>
        <v>45147</v>
      </c>
      <c r="C780" s="22">
        <v>2023</v>
      </c>
      <c r="D780" s="23">
        <v>8</v>
      </c>
      <c r="E780" s="24">
        <v>9</v>
      </c>
      <c r="F780" s="42" t="s">
        <v>17</v>
      </c>
      <c r="G780" s="42" t="s">
        <v>7</v>
      </c>
      <c r="H780" s="42" t="s">
        <v>32</v>
      </c>
      <c r="I780" s="42" t="s">
        <v>141</v>
      </c>
      <c r="J780" s="10">
        <v>3500</v>
      </c>
      <c r="K780" s="7">
        <v>-3500</v>
      </c>
      <c r="L780" s="1" t="s">
        <v>810</v>
      </c>
      <c r="M780" s="2" t="s">
        <v>815</v>
      </c>
    </row>
    <row r="781" spans="1:13">
      <c r="A781" s="21" t="str">
        <f>TEXT(TEXT(B781,"yyyymmdd"),"00000000")&amp;TEXT(COUNTIF($B$2:B781,B781),"00")</f>
        <v>2023080905</v>
      </c>
      <c r="B781" s="21">
        <f t="shared" si="12"/>
        <v>45147</v>
      </c>
      <c r="C781" s="22">
        <v>2023</v>
      </c>
      <c r="D781" s="23">
        <v>8</v>
      </c>
      <c r="E781" s="24">
        <v>9</v>
      </c>
      <c r="F781" s="42" t="s">
        <v>17</v>
      </c>
      <c r="G781" s="42" t="s">
        <v>7</v>
      </c>
      <c r="H781" s="42" t="s">
        <v>110</v>
      </c>
      <c r="I781" s="42" t="s">
        <v>122</v>
      </c>
      <c r="J781" s="10">
        <v>3800</v>
      </c>
      <c r="K781" s="7">
        <v>-3800</v>
      </c>
      <c r="L781" s="1" t="s">
        <v>809</v>
      </c>
      <c r="M781" s="2" t="s">
        <v>815</v>
      </c>
    </row>
    <row r="782" spans="1:13">
      <c r="A782" s="21" t="str">
        <f>TEXT(TEXT(B782,"yyyymmdd"),"00000000")&amp;TEXT(COUNTIF($B$2:B782,B782),"00")</f>
        <v>2023080906</v>
      </c>
      <c r="B782" s="21">
        <f t="shared" si="12"/>
        <v>45147</v>
      </c>
      <c r="C782" s="22">
        <v>2023</v>
      </c>
      <c r="D782" s="23">
        <v>8</v>
      </c>
      <c r="E782" s="24">
        <v>9</v>
      </c>
      <c r="F782" s="42" t="s">
        <v>17</v>
      </c>
      <c r="G782" s="42" t="s">
        <v>7</v>
      </c>
      <c r="H782" s="42" t="s">
        <v>32</v>
      </c>
      <c r="I782" s="42" t="s">
        <v>141</v>
      </c>
      <c r="J782" s="10">
        <v>1000</v>
      </c>
      <c r="K782" s="7">
        <v>-1000</v>
      </c>
      <c r="L782" s="1" t="s">
        <v>761</v>
      </c>
    </row>
    <row r="783" spans="1:13">
      <c r="A783" s="21" t="str">
        <f>TEXT(TEXT(B783,"yyyymmdd"),"00000000")&amp;TEXT(COUNTIF($B$2:B783,B783),"00")</f>
        <v>2023080907</v>
      </c>
      <c r="B783" s="21">
        <f t="shared" si="12"/>
        <v>45147</v>
      </c>
      <c r="C783" s="22">
        <v>2023</v>
      </c>
      <c r="D783" s="23">
        <v>8</v>
      </c>
      <c r="E783" s="24">
        <v>9</v>
      </c>
      <c r="F783" s="42" t="s">
        <v>17</v>
      </c>
      <c r="G783" s="42" t="s">
        <v>7</v>
      </c>
      <c r="H783" s="42" t="s">
        <v>167</v>
      </c>
      <c r="I783" s="42" t="s">
        <v>168</v>
      </c>
      <c r="J783" s="10">
        <v>1100</v>
      </c>
      <c r="K783" s="7">
        <v>-1100</v>
      </c>
      <c r="L783" s="1" t="s">
        <v>813</v>
      </c>
      <c r="M783" s="2" t="s">
        <v>815</v>
      </c>
    </row>
    <row r="784" spans="1:13">
      <c r="A784" s="21" t="str">
        <f>TEXT(TEXT(B784,"yyyymmdd"),"00000000")&amp;TEXT(COUNTIF($B$2:B784,B784),"00")</f>
        <v>2023080908</v>
      </c>
      <c r="B784" s="21">
        <f t="shared" si="12"/>
        <v>45147</v>
      </c>
      <c r="C784" s="22">
        <v>2023</v>
      </c>
      <c r="D784" s="23">
        <v>8</v>
      </c>
      <c r="E784" s="24">
        <v>9</v>
      </c>
      <c r="F784" s="42" t="s">
        <v>17</v>
      </c>
      <c r="G784" s="42" t="s">
        <v>7</v>
      </c>
      <c r="H784" s="42" t="s">
        <v>155</v>
      </c>
      <c r="I784" s="42" t="s">
        <v>617</v>
      </c>
      <c r="J784" s="10">
        <v>1000</v>
      </c>
      <c r="K784" s="7">
        <v>-1000</v>
      </c>
      <c r="L784" s="1" t="s">
        <v>808</v>
      </c>
    </row>
    <row r="785" spans="1:13">
      <c r="A785" s="21" t="str">
        <f>TEXT(TEXT(B785,"yyyymmdd"),"00000000")&amp;TEXT(COUNTIF($B$2:B785,B785),"00")</f>
        <v>2023081101</v>
      </c>
      <c r="B785" s="21">
        <f t="shared" si="12"/>
        <v>45149</v>
      </c>
      <c r="C785" s="22">
        <v>2023</v>
      </c>
      <c r="D785" s="23">
        <v>8</v>
      </c>
      <c r="E785" s="24">
        <v>11</v>
      </c>
      <c r="F785" s="42" t="s">
        <v>17</v>
      </c>
      <c r="G785" s="42" t="s">
        <v>7</v>
      </c>
      <c r="H785" s="42" t="s">
        <v>116</v>
      </c>
      <c r="I785" s="42" t="s">
        <v>695</v>
      </c>
      <c r="J785" s="10">
        <v>6000</v>
      </c>
      <c r="K785" s="7">
        <v>-6000</v>
      </c>
      <c r="L785" s="1" t="s">
        <v>606</v>
      </c>
    </row>
    <row r="786" spans="1:13">
      <c r="A786" s="21" t="str">
        <f>TEXT(TEXT(B786,"yyyymmdd"),"00000000")&amp;TEXT(COUNTIF($B$2:B786,B786),"00")</f>
        <v>2023081102</v>
      </c>
      <c r="B786" s="21">
        <f t="shared" si="12"/>
        <v>45149</v>
      </c>
      <c r="C786" s="22">
        <v>2023</v>
      </c>
      <c r="D786" s="23">
        <v>8</v>
      </c>
      <c r="E786" s="24">
        <v>11</v>
      </c>
      <c r="F786" s="42" t="s">
        <v>17</v>
      </c>
      <c r="G786" s="42" t="s">
        <v>135</v>
      </c>
      <c r="H786" s="42" t="s">
        <v>135</v>
      </c>
      <c r="I786" s="42" t="s">
        <v>190</v>
      </c>
      <c r="J786" s="10">
        <v>-68</v>
      </c>
      <c r="K786" s="7">
        <v>68</v>
      </c>
      <c r="L786" s="1" t="s">
        <v>210</v>
      </c>
    </row>
    <row r="787" spans="1:13">
      <c r="A787" s="21" t="str">
        <f>TEXT(TEXT(B787,"yyyymmdd"),"00000000")&amp;TEXT(COUNTIF($B$2:B787,B787),"00")</f>
        <v>2023081103</v>
      </c>
      <c r="B787" s="21">
        <f t="shared" si="12"/>
        <v>45149</v>
      </c>
      <c r="C787" s="22">
        <v>2023</v>
      </c>
      <c r="D787" s="23">
        <v>8</v>
      </c>
      <c r="E787" s="24">
        <v>11</v>
      </c>
      <c r="F787" s="42" t="s">
        <v>17</v>
      </c>
      <c r="G787" s="42" t="s">
        <v>13</v>
      </c>
      <c r="H787" s="42" t="s">
        <v>138</v>
      </c>
      <c r="I787" s="42" t="s">
        <v>139</v>
      </c>
      <c r="J787" s="10">
        <v>7000</v>
      </c>
      <c r="K787" s="7">
        <v>-7000</v>
      </c>
      <c r="L787" s="1" t="s">
        <v>679</v>
      </c>
      <c r="M787" s="2" t="s">
        <v>815</v>
      </c>
    </row>
    <row r="788" spans="1:13">
      <c r="A788" s="21" t="str">
        <f>TEXT(TEXT(B788,"yyyymmdd"),"00000000")&amp;TEXT(COUNTIF($B$2:B788,B788),"00")</f>
        <v>2023081104</v>
      </c>
      <c r="B788" s="21">
        <f t="shared" si="12"/>
        <v>45149</v>
      </c>
      <c r="C788" s="22">
        <v>2023</v>
      </c>
      <c r="D788" s="23">
        <v>8</v>
      </c>
      <c r="E788" s="24">
        <v>11</v>
      </c>
      <c r="F788" s="42" t="s">
        <v>17</v>
      </c>
      <c r="G788" s="42" t="s">
        <v>7</v>
      </c>
      <c r="H788" s="42" t="s">
        <v>167</v>
      </c>
      <c r="I788" s="42" t="s">
        <v>168</v>
      </c>
      <c r="J788" s="10">
        <v>3200</v>
      </c>
      <c r="K788" s="7">
        <v>-3200</v>
      </c>
      <c r="L788" s="1" t="s">
        <v>619</v>
      </c>
    </row>
    <row r="789" spans="1:13">
      <c r="A789" s="21" t="str">
        <f>TEXT(TEXT(B789,"yyyymmdd"),"00000000")&amp;TEXT(COUNTIF($B$2:B789,B789),"00")</f>
        <v>2023081105</v>
      </c>
      <c r="B789" s="21">
        <f t="shared" si="12"/>
        <v>45149</v>
      </c>
      <c r="C789" s="22">
        <v>2023</v>
      </c>
      <c r="D789" s="23">
        <v>8</v>
      </c>
      <c r="E789" s="24">
        <v>11</v>
      </c>
      <c r="F789" s="42" t="s">
        <v>17</v>
      </c>
      <c r="G789" s="42" t="s">
        <v>7</v>
      </c>
      <c r="H789" s="42" t="s">
        <v>138</v>
      </c>
      <c r="I789" s="42" t="s">
        <v>139</v>
      </c>
      <c r="J789" s="10">
        <v>18950</v>
      </c>
      <c r="K789" s="7">
        <v>-18950</v>
      </c>
      <c r="L789" s="1" t="s">
        <v>818</v>
      </c>
    </row>
    <row r="790" spans="1:13">
      <c r="A790" s="21" t="str">
        <f>TEXT(TEXT(B790,"yyyymmdd"),"00000000")&amp;TEXT(COUNTIF($B$2:B790,B790),"00")</f>
        <v>2023081401</v>
      </c>
      <c r="B790" s="21">
        <f t="shared" si="12"/>
        <v>45152</v>
      </c>
      <c r="C790" s="22">
        <v>2023</v>
      </c>
      <c r="D790" s="23">
        <v>8</v>
      </c>
      <c r="E790" s="24">
        <v>14</v>
      </c>
      <c r="F790" s="42" t="s">
        <v>17</v>
      </c>
      <c r="G790" s="42" t="s">
        <v>135</v>
      </c>
      <c r="H790" s="42" t="s">
        <v>135</v>
      </c>
      <c r="I790" s="42" t="s">
        <v>190</v>
      </c>
      <c r="J790" s="10">
        <v>-4200</v>
      </c>
      <c r="K790" s="7">
        <v>4200</v>
      </c>
      <c r="L790" s="1" t="s">
        <v>592</v>
      </c>
    </row>
    <row r="791" spans="1:13">
      <c r="A791" s="21" t="str">
        <f>TEXT(TEXT(B791,"yyyymmdd"),"00000000")&amp;TEXT(COUNTIF($B$2:B791,B791),"00")</f>
        <v>2023081402</v>
      </c>
      <c r="B791" s="21">
        <f t="shared" si="12"/>
        <v>45152</v>
      </c>
      <c r="C791" s="22">
        <v>2023</v>
      </c>
      <c r="D791" s="23">
        <v>8</v>
      </c>
      <c r="E791" s="24">
        <v>14</v>
      </c>
      <c r="F791" s="42" t="s">
        <v>17</v>
      </c>
      <c r="G791" s="42" t="s">
        <v>7</v>
      </c>
      <c r="H791" s="42" t="s">
        <v>32</v>
      </c>
      <c r="I791" s="42" t="s">
        <v>141</v>
      </c>
      <c r="J791" s="10">
        <v>3100</v>
      </c>
      <c r="K791" s="7">
        <v>-3100</v>
      </c>
      <c r="L791" s="1" t="s">
        <v>810</v>
      </c>
    </row>
    <row r="792" spans="1:13">
      <c r="A792" s="21" t="str">
        <f>TEXT(TEXT(B792,"yyyymmdd"),"00000000")&amp;TEXT(COUNTIF($B$2:B792,B792),"00")</f>
        <v>2023081403</v>
      </c>
      <c r="B792" s="21">
        <f t="shared" si="12"/>
        <v>45152</v>
      </c>
      <c r="C792" s="22">
        <v>2023</v>
      </c>
      <c r="D792" s="23">
        <v>8</v>
      </c>
      <c r="E792" s="24">
        <v>14</v>
      </c>
      <c r="F792" s="42" t="s">
        <v>17</v>
      </c>
      <c r="G792" s="42" t="s">
        <v>7</v>
      </c>
      <c r="H792" s="42" t="s">
        <v>167</v>
      </c>
      <c r="I792" s="42" t="s">
        <v>168</v>
      </c>
      <c r="J792" s="10">
        <v>2100</v>
      </c>
      <c r="K792" s="7">
        <v>-2100</v>
      </c>
      <c r="L792" s="1" t="s">
        <v>671</v>
      </c>
    </row>
    <row r="793" spans="1:13">
      <c r="A793" s="21" t="str">
        <f>TEXT(TEXT(B793,"yyyymmdd"),"00000000")&amp;TEXT(COUNTIF($B$2:B793,B793),"00")</f>
        <v>2023081404</v>
      </c>
      <c r="B793" s="21">
        <f t="shared" si="12"/>
        <v>45152</v>
      </c>
      <c r="C793" s="22">
        <v>2023</v>
      </c>
      <c r="D793" s="23">
        <v>8</v>
      </c>
      <c r="E793" s="24">
        <v>14</v>
      </c>
      <c r="F793" s="42" t="s">
        <v>17</v>
      </c>
      <c r="G793" s="42" t="s">
        <v>13</v>
      </c>
      <c r="H793" s="42" t="s">
        <v>138</v>
      </c>
      <c r="I793" s="42" t="s">
        <v>139</v>
      </c>
      <c r="J793" s="10">
        <v>12900</v>
      </c>
      <c r="K793" s="7">
        <v>-12900</v>
      </c>
      <c r="L793" s="1" t="s">
        <v>819</v>
      </c>
    </row>
    <row r="794" spans="1:13">
      <c r="A794" s="21" t="str">
        <f>TEXT(TEXT(B794,"yyyymmdd"),"00000000")&amp;TEXT(COUNTIF($B$2:B794,B794),"00")</f>
        <v>2023081405</v>
      </c>
      <c r="B794" s="21">
        <f t="shared" si="12"/>
        <v>45152</v>
      </c>
      <c r="C794" s="22">
        <v>2023</v>
      </c>
      <c r="D794" s="23">
        <v>8</v>
      </c>
      <c r="E794" s="24">
        <v>14</v>
      </c>
      <c r="F794" s="42" t="s">
        <v>17</v>
      </c>
      <c r="G794" s="42" t="s">
        <v>13</v>
      </c>
      <c r="H794" s="42" t="s">
        <v>138</v>
      </c>
      <c r="I794" s="42" t="s">
        <v>139</v>
      </c>
      <c r="J794" s="10">
        <v>6250</v>
      </c>
      <c r="K794" s="7">
        <v>-6250</v>
      </c>
      <c r="L794" s="1" t="s">
        <v>794</v>
      </c>
    </row>
    <row r="795" spans="1:13">
      <c r="A795" s="21" t="str">
        <f>TEXT(TEXT(B795,"yyyymmdd"),"00000000")&amp;TEXT(COUNTIF($B$2:B795,B795),"00")</f>
        <v>2023081406</v>
      </c>
      <c r="B795" s="21">
        <f t="shared" si="12"/>
        <v>45152</v>
      </c>
      <c r="C795" s="22">
        <v>2023</v>
      </c>
      <c r="D795" s="23">
        <v>8</v>
      </c>
      <c r="E795" s="24">
        <v>14</v>
      </c>
      <c r="F795" s="42" t="s">
        <v>17</v>
      </c>
      <c r="G795" s="42" t="s">
        <v>7</v>
      </c>
      <c r="H795" s="42" t="s">
        <v>110</v>
      </c>
      <c r="I795" s="42" t="s">
        <v>124</v>
      </c>
      <c r="J795" s="10">
        <v>3300</v>
      </c>
      <c r="K795" s="7">
        <v>-3300</v>
      </c>
      <c r="L795" s="1" t="s">
        <v>706</v>
      </c>
    </row>
    <row r="796" spans="1:13">
      <c r="A796" s="21" t="str">
        <f>TEXT(TEXT(B796,"yyyymmdd"),"00000000")&amp;TEXT(COUNTIF($B$2:B796,B796),"00")</f>
        <v>2023081407</v>
      </c>
      <c r="B796" s="21">
        <f t="shared" si="12"/>
        <v>45152</v>
      </c>
      <c r="C796" s="22">
        <v>2023</v>
      </c>
      <c r="D796" s="23">
        <v>8</v>
      </c>
      <c r="E796" s="24">
        <v>14</v>
      </c>
      <c r="F796" s="42" t="s">
        <v>17</v>
      </c>
      <c r="G796" s="42" t="s">
        <v>13</v>
      </c>
      <c r="H796" s="42" t="s">
        <v>32</v>
      </c>
      <c r="I796" s="42" t="s">
        <v>620</v>
      </c>
      <c r="J796" s="10">
        <v>60000</v>
      </c>
      <c r="K796" s="7">
        <v>-60000</v>
      </c>
      <c r="L796" s="1" t="s">
        <v>598</v>
      </c>
    </row>
    <row r="797" spans="1:13">
      <c r="A797" s="21" t="str">
        <f>TEXT(TEXT(B797,"yyyymmdd"),"00000000")&amp;TEXT(COUNTIF($B$2:B797,B797),"00")</f>
        <v>2023081501</v>
      </c>
      <c r="B797" s="21">
        <f t="shared" si="12"/>
        <v>45153</v>
      </c>
      <c r="C797" s="22">
        <v>2023</v>
      </c>
      <c r="D797" s="23">
        <v>8</v>
      </c>
      <c r="E797" s="24">
        <v>15</v>
      </c>
      <c r="F797" s="42" t="s">
        <v>17</v>
      </c>
      <c r="G797" s="42" t="s">
        <v>7</v>
      </c>
      <c r="H797" s="42" t="s">
        <v>116</v>
      </c>
      <c r="I797" s="42" t="s">
        <v>225</v>
      </c>
      <c r="J797" s="10">
        <v>23800</v>
      </c>
      <c r="K797" s="7">
        <v>-23800</v>
      </c>
      <c r="L797" s="1" t="s">
        <v>583</v>
      </c>
    </row>
    <row r="798" spans="1:13">
      <c r="A798" s="21" t="str">
        <f>TEXT(TEXT(B798,"yyyymmdd"),"00000000")&amp;TEXT(COUNTIF($B$2:B798,B798),"00")</f>
        <v>2023081601</v>
      </c>
      <c r="B798" s="21">
        <f t="shared" si="12"/>
        <v>45154</v>
      </c>
      <c r="C798" s="22">
        <v>2023</v>
      </c>
      <c r="D798" s="23">
        <v>8</v>
      </c>
      <c r="E798" s="24">
        <v>16</v>
      </c>
      <c r="F798" s="42" t="s">
        <v>17</v>
      </c>
      <c r="G798" s="42" t="s">
        <v>13</v>
      </c>
      <c r="H798" s="42" t="s">
        <v>138</v>
      </c>
      <c r="I798" s="42" t="s">
        <v>139</v>
      </c>
      <c r="J798" s="10">
        <v>8000</v>
      </c>
      <c r="K798" s="7">
        <v>-8000</v>
      </c>
      <c r="L798" s="1" t="s">
        <v>821</v>
      </c>
    </row>
    <row r="799" spans="1:13">
      <c r="A799" s="21" t="str">
        <f>TEXT(TEXT(B799,"yyyymmdd"),"00000000")&amp;TEXT(COUNTIF($B$2:B799,B799),"00")</f>
        <v>2023081602</v>
      </c>
      <c r="B799" s="21">
        <f t="shared" si="12"/>
        <v>45154</v>
      </c>
      <c r="C799" s="22">
        <v>2023</v>
      </c>
      <c r="D799" s="23">
        <v>8</v>
      </c>
      <c r="E799" s="24">
        <v>16</v>
      </c>
      <c r="F799" s="42" t="s">
        <v>17</v>
      </c>
      <c r="G799" s="42" t="s">
        <v>7</v>
      </c>
      <c r="H799" s="42" t="s">
        <v>110</v>
      </c>
      <c r="I799" s="42" t="s">
        <v>120</v>
      </c>
      <c r="J799" s="10">
        <v>4500</v>
      </c>
      <c r="K799" s="7">
        <v>-4500</v>
      </c>
      <c r="L799" s="1" t="s">
        <v>820</v>
      </c>
    </row>
    <row r="800" spans="1:13">
      <c r="A800" s="21" t="str">
        <f>TEXT(TEXT(B800,"yyyymmdd"),"00000000")&amp;TEXT(COUNTIF($B$2:B800,B800),"00")</f>
        <v>2023081603</v>
      </c>
      <c r="B800" s="21">
        <f t="shared" si="12"/>
        <v>45154</v>
      </c>
      <c r="C800" s="22">
        <v>2023</v>
      </c>
      <c r="D800" s="23">
        <v>8</v>
      </c>
      <c r="E800" s="24">
        <v>16</v>
      </c>
      <c r="F800" s="42" t="s">
        <v>17</v>
      </c>
      <c r="G800" s="42" t="s">
        <v>13</v>
      </c>
      <c r="H800" s="42" t="s">
        <v>138</v>
      </c>
      <c r="I800" s="42" t="s">
        <v>139</v>
      </c>
      <c r="J800" s="10">
        <v>8500</v>
      </c>
      <c r="K800" s="7">
        <v>-8500</v>
      </c>
      <c r="L800" s="1" t="s">
        <v>660</v>
      </c>
    </row>
    <row r="801" spans="1:13">
      <c r="A801" s="21" t="str">
        <f>TEXT(TEXT(B801,"yyyymmdd"),"00000000")&amp;TEXT(COUNTIF($B$2:B801,B801),"00")</f>
        <v>2023081604</v>
      </c>
      <c r="B801" s="21">
        <f t="shared" si="12"/>
        <v>45154</v>
      </c>
      <c r="C801" s="22">
        <v>2023</v>
      </c>
      <c r="D801" s="23">
        <v>8</v>
      </c>
      <c r="E801" s="24">
        <v>16</v>
      </c>
      <c r="F801" s="42" t="s">
        <v>17</v>
      </c>
      <c r="G801" s="42" t="s">
        <v>7</v>
      </c>
      <c r="H801" s="42" t="s">
        <v>119</v>
      </c>
      <c r="I801" s="42" t="s">
        <v>180</v>
      </c>
      <c r="J801" s="10">
        <v>2000</v>
      </c>
      <c r="K801" s="7">
        <v>-2000</v>
      </c>
      <c r="L801" s="1" t="s">
        <v>181</v>
      </c>
      <c r="M801" s="2" t="s">
        <v>581</v>
      </c>
    </row>
    <row r="802" spans="1:13">
      <c r="A802" s="21" t="str">
        <f>TEXT(TEXT(B802,"yyyymmdd"),"00000000")&amp;TEXT(COUNTIF($B$2:B802,B802),"00")</f>
        <v>2023081701</v>
      </c>
      <c r="B802" s="21">
        <f t="shared" si="12"/>
        <v>45155</v>
      </c>
      <c r="C802" s="22">
        <v>2023</v>
      </c>
      <c r="D802" s="23">
        <v>8</v>
      </c>
      <c r="E802" s="24">
        <v>17</v>
      </c>
      <c r="F802" s="42" t="s">
        <v>17</v>
      </c>
      <c r="G802" s="42" t="s">
        <v>13</v>
      </c>
      <c r="H802" s="42" t="s">
        <v>138</v>
      </c>
      <c r="I802" s="42" t="s">
        <v>139</v>
      </c>
      <c r="J802" s="10">
        <v>6400</v>
      </c>
      <c r="K802" s="7">
        <v>-6400</v>
      </c>
      <c r="L802" s="1" t="s">
        <v>741</v>
      </c>
    </row>
    <row r="803" spans="1:13">
      <c r="A803" s="21" t="str">
        <f>TEXT(TEXT(B803,"yyyymmdd"),"00000000")&amp;TEXT(COUNTIF($B$2:B803,B803),"00")</f>
        <v>2023081702</v>
      </c>
      <c r="B803" s="21">
        <f t="shared" si="12"/>
        <v>45155</v>
      </c>
      <c r="C803" s="22">
        <v>2023</v>
      </c>
      <c r="D803" s="23">
        <v>8</v>
      </c>
      <c r="E803" s="24">
        <v>17</v>
      </c>
      <c r="F803" s="42" t="s">
        <v>17</v>
      </c>
      <c r="G803" s="42" t="s">
        <v>13</v>
      </c>
      <c r="H803" s="42" t="s">
        <v>138</v>
      </c>
      <c r="I803" s="42" t="s">
        <v>139</v>
      </c>
      <c r="J803" s="10">
        <v>9000</v>
      </c>
      <c r="K803" s="7">
        <v>-9000</v>
      </c>
      <c r="L803" s="1" t="s">
        <v>700</v>
      </c>
    </row>
    <row r="804" spans="1:13">
      <c r="A804" s="21" t="str">
        <f>TEXT(TEXT(B804,"yyyymmdd"),"00000000")&amp;TEXT(COUNTIF($B$2:B804,B804),"00")</f>
        <v>2023081801</v>
      </c>
      <c r="B804" s="21">
        <f t="shared" si="12"/>
        <v>45156</v>
      </c>
      <c r="C804" s="22">
        <v>2023</v>
      </c>
      <c r="D804" s="23">
        <v>8</v>
      </c>
      <c r="E804" s="24">
        <v>18</v>
      </c>
      <c r="F804" s="42" t="s">
        <v>17</v>
      </c>
      <c r="G804" s="42" t="s">
        <v>7</v>
      </c>
      <c r="H804" s="42" t="s">
        <v>110</v>
      </c>
      <c r="I804" s="42" t="s">
        <v>120</v>
      </c>
      <c r="J804" s="10">
        <v>11400</v>
      </c>
      <c r="K804" s="7">
        <v>-11400</v>
      </c>
      <c r="L804" s="1" t="s">
        <v>651</v>
      </c>
    </row>
    <row r="805" spans="1:13">
      <c r="A805" s="21" t="str">
        <f>TEXT(TEXT(B805,"yyyymmdd"),"00000000")&amp;TEXT(COUNTIF($B$2:B805,B805),"00")</f>
        <v>2023081802</v>
      </c>
      <c r="B805" s="21">
        <f t="shared" si="12"/>
        <v>45156</v>
      </c>
      <c r="C805" s="22">
        <v>2023</v>
      </c>
      <c r="D805" s="23">
        <v>8</v>
      </c>
      <c r="E805" s="24">
        <v>18</v>
      </c>
      <c r="F805" s="42" t="s">
        <v>17</v>
      </c>
      <c r="G805" s="42" t="s">
        <v>13</v>
      </c>
      <c r="H805" s="42" t="s">
        <v>138</v>
      </c>
      <c r="I805" s="42" t="s">
        <v>139</v>
      </c>
      <c r="J805" s="10">
        <v>6000</v>
      </c>
      <c r="K805" s="7">
        <v>-6000</v>
      </c>
      <c r="L805" s="1" t="s">
        <v>822</v>
      </c>
    </row>
    <row r="806" spans="1:13">
      <c r="A806" s="21" t="str">
        <f>TEXT(TEXT(B806,"yyyymmdd"),"00000000")&amp;TEXT(COUNTIF($B$2:B806,B806),"00")</f>
        <v>2023081901</v>
      </c>
      <c r="B806" s="21">
        <f t="shared" si="12"/>
        <v>45157</v>
      </c>
      <c r="C806" s="22">
        <v>2023</v>
      </c>
      <c r="D806" s="23">
        <v>8</v>
      </c>
      <c r="E806" s="24">
        <v>19</v>
      </c>
      <c r="F806" s="42" t="s">
        <v>17</v>
      </c>
      <c r="G806" s="42" t="s">
        <v>7</v>
      </c>
      <c r="H806" s="42" t="s">
        <v>32</v>
      </c>
      <c r="I806" s="42" t="s">
        <v>141</v>
      </c>
      <c r="J806" s="10">
        <v>2000</v>
      </c>
      <c r="K806" s="7">
        <v>-2000</v>
      </c>
      <c r="L806" s="1" t="s">
        <v>825</v>
      </c>
      <c r="M806" s="2" t="s">
        <v>815</v>
      </c>
    </row>
    <row r="807" spans="1:13">
      <c r="A807" s="21" t="str">
        <f>TEXT(TEXT(B807,"yyyymmdd"),"00000000")&amp;TEXT(COUNTIF($B$2:B807,B807),"00")</f>
        <v>2023081902</v>
      </c>
      <c r="B807" s="21">
        <f t="shared" si="12"/>
        <v>45157</v>
      </c>
      <c r="C807" s="22">
        <v>2023</v>
      </c>
      <c r="D807" s="23">
        <v>8</v>
      </c>
      <c r="E807" s="24">
        <v>19</v>
      </c>
      <c r="F807" s="42" t="s">
        <v>17</v>
      </c>
      <c r="G807" s="42" t="s">
        <v>7</v>
      </c>
      <c r="H807" s="42" t="s">
        <v>116</v>
      </c>
      <c r="I807" s="42" t="s">
        <v>695</v>
      </c>
      <c r="J807" s="10">
        <v>8000</v>
      </c>
      <c r="K807" s="7">
        <v>-8000</v>
      </c>
      <c r="L807" s="1" t="s">
        <v>824</v>
      </c>
      <c r="M807" s="2" t="s">
        <v>815</v>
      </c>
    </row>
    <row r="808" spans="1:13">
      <c r="A808" s="21" t="str">
        <f>TEXT(TEXT(B808,"yyyymmdd"),"00000000")&amp;TEXT(COUNTIF($B$2:B808,B808),"00")</f>
        <v>2023081903</v>
      </c>
      <c r="B808" s="21">
        <f t="shared" si="12"/>
        <v>45157</v>
      </c>
      <c r="C808" s="22">
        <v>2023</v>
      </c>
      <c r="D808" s="23">
        <v>8</v>
      </c>
      <c r="E808" s="24">
        <v>19</v>
      </c>
      <c r="F808" s="42" t="s">
        <v>17</v>
      </c>
      <c r="G808" s="42" t="s">
        <v>7</v>
      </c>
      <c r="H808" s="42" t="s">
        <v>138</v>
      </c>
      <c r="I808" s="42" t="s">
        <v>139</v>
      </c>
      <c r="J808" s="10">
        <v>6150</v>
      </c>
      <c r="K808" s="7">
        <v>-6150</v>
      </c>
      <c r="L808" s="1" t="s">
        <v>661</v>
      </c>
      <c r="M808" s="2" t="s">
        <v>815</v>
      </c>
    </row>
    <row r="809" spans="1:13">
      <c r="A809" s="21" t="str">
        <f>TEXT(TEXT(B809,"yyyymmdd"),"00000000")&amp;TEXT(COUNTIF($B$2:B809,B809),"00")</f>
        <v>2023081904</v>
      </c>
      <c r="B809" s="21">
        <f t="shared" si="12"/>
        <v>45157</v>
      </c>
      <c r="C809" s="22">
        <v>2023</v>
      </c>
      <c r="D809" s="23">
        <v>8</v>
      </c>
      <c r="E809" s="24">
        <v>19</v>
      </c>
      <c r="F809" s="42" t="s">
        <v>17</v>
      </c>
      <c r="G809" s="42" t="s">
        <v>7</v>
      </c>
      <c r="H809" s="42" t="s">
        <v>138</v>
      </c>
      <c r="I809" s="42" t="s">
        <v>139</v>
      </c>
      <c r="J809" s="10">
        <v>16300</v>
      </c>
      <c r="K809" s="7">
        <v>-16300</v>
      </c>
      <c r="L809" s="1" t="s">
        <v>823</v>
      </c>
      <c r="M809" s="2" t="s">
        <v>815</v>
      </c>
    </row>
    <row r="810" spans="1:13">
      <c r="A810" s="21" t="str">
        <f>TEXT(TEXT(B810,"yyyymmdd"),"00000000")&amp;TEXT(COUNTIF($B$2:B810,B810),"00")</f>
        <v>2023082001</v>
      </c>
      <c r="B810" s="21">
        <f t="shared" si="12"/>
        <v>45158</v>
      </c>
      <c r="C810" s="22">
        <v>2023</v>
      </c>
      <c r="D810" s="23">
        <v>8</v>
      </c>
      <c r="E810" s="24">
        <v>20</v>
      </c>
      <c r="F810" s="42" t="s">
        <v>17</v>
      </c>
      <c r="G810" s="42" t="s">
        <v>135</v>
      </c>
      <c r="H810" s="42" t="s">
        <v>135</v>
      </c>
      <c r="I810" s="42" t="s">
        <v>152</v>
      </c>
      <c r="J810" s="10">
        <v>-100000</v>
      </c>
      <c r="K810" s="7">
        <v>100000</v>
      </c>
      <c r="L810" s="1" t="s">
        <v>252</v>
      </c>
    </row>
    <row r="811" spans="1:13">
      <c r="A811" s="21" t="str">
        <f>TEXT(TEXT(B811,"yyyymmdd"),"00000000")&amp;TEXT(COUNTIF($B$2:B811,B811),"00")</f>
        <v>2023082002</v>
      </c>
      <c r="B811" s="21">
        <f t="shared" si="12"/>
        <v>45158</v>
      </c>
      <c r="C811" s="22">
        <v>2023</v>
      </c>
      <c r="D811" s="23">
        <v>8</v>
      </c>
      <c r="E811" s="24">
        <v>20</v>
      </c>
      <c r="F811" s="42" t="s">
        <v>17</v>
      </c>
      <c r="G811" s="42" t="s">
        <v>7</v>
      </c>
      <c r="H811" s="42" t="s">
        <v>173</v>
      </c>
      <c r="I811" s="42" t="s">
        <v>174</v>
      </c>
      <c r="J811" s="10">
        <v>900</v>
      </c>
      <c r="K811" s="7">
        <v>-900</v>
      </c>
      <c r="L811" s="1" t="s">
        <v>694</v>
      </c>
    </row>
    <row r="812" spans="1:13">
      <c r="A812" s="21" t="str">
        <f>TEXT(TEXT(B812,"yyyymmdd"),"00000000")&amp;TEXT(COUNTIF($B$2:B812,B812),"00")</f>
        <v>2023082101</v>
      </c>
      <c r="B812" s="21">
        <f t="shared" si="12"/>
        <v>45159</v>
      </c>
      <c r="C812" s="22">
        <v>2023</v>
      </c>
      <c r="D812" s="23">
        <v>8</v>
      </c>
      <c r="E812" s="24">
        <v>21</v>
      </c>
      <c r="F812" s="42" t="s">
        <v>17</v>
      </c>
      <c r="G812" s="42" t="s">
        <v>7</v>
      </c>
      <c r="H812" s="42" t="s">
        <v>138</v>
      </c>
      <c r="I812" s="42" t="s">
        <v>139</v>
      </c>
      <c r="J812" s="10">
        <v>8400</v>
      </c>
      <c r="K812" s="7">
        <v>-8400</v>
      </c>
      <c r="L812" s="1" t="s">
        <v>826</v>
      </c>
    </row>
    <row r="813" spans="1:13">
      <c r="A813" s="21" t="str">
        <f>TEXT(TEXT(B813,"yyyymmdd"),"00000000")&amp;TEXT(COUNTIF($B$2:B813,B813),"00")</f>
        <v>2023082102</v>
      </c>
      <c r="B813" s="21">
        <f t="shared" si="12"/>
        <v>45159</v>
      </c>
      <c r="C813" s="22">
        <v>2023</v>
      </c>
      <c r="D813" s="23">
        <v>8</v>
      </c>
      <c r="E813" s="24">
        <v>21</v>
      </c>
      <c r="F813" s="42" t="s">
        <v>17</v>
      </c>
      <c r="G813" s="42" t="s">
        <v>7</v>
      </c>
      <c r="H813" s="42" t="s">
        <v>173</v>
      </c>
      <c r="I813" s="42" t="s">
        <v>279</v>
      </c>
      <c r="J813" s="10">
        <v>2600</v>
      </c>
      <c r="K813" s="7">
        <v>-2600</v>
      </c>
      <c r="L813" s="1" t="s">
        <v>280</v>
      </c>
    </row>
    <row r="814" spans="1:13">
      <c r="A814" s="21" t="str">
        <f>TEXT(TEXT(B814,"yyyymmdd"),"00000000")&amp;TEXT(COUNTIF($B$2:B814,B814),"00")</f>
        <v>2023082103</v>
      </c>
      <c r="B814" s="21">
        <f t="shared" si="12"/>
        <v>45159</v>
      </c>
      <c r="C814" s="22">
        <v>2023</v>
      </c>
      <c r="D814" s="23">
        <v>8</v>
      </c>
      <c r="E814" s="24">
        <v>21</v>
      </c>
      <c r="F814" s="42" t="s">
        <v>17</v>
      </c>
      <c r="G814" s="42" t="s">
        <v>7</v>
      </c>
      <c r="H814" s="42" t="s">
        <v>117</v>
      </c>
      <c r="I814" s="42" t="s">
        <v>468</v>
      </c>
      <c r="J814" s="10">
        <v>67950</v>
      </c>
      <c r="K814" s="7">
        <v>-67950</v>
      </c>
      <c r="L814" s="1" t="s">
        <v>749</v>
      </c>
    </row>
    <row r="815" spans="1:13">
      <c r="A815" s="21" t="str">
        <f>TEXT(TEXT(B815,"yyyymmdd"),"00000000")&amp;TEXT(COUNTIF($B$2:B815,B815),"00")</f>
        <v>2023082201</v>
      </c>
      <c r="B815" s="21">
        <f t="shared" si="12"/>
        <v>45160</v>
      </c>
      <c r="C815" s="22">
        <v>2023</v>
      </c>
      <c r="D815" s="23">
        <v>8</v>
      </c>
      <c r="E815" s="24">
        <v>22</v>
      </c>
      <c r="F815" s="42" t="s">
        <v>17</v>
      </c>
      <c r="G815" s="42" t="s">
        <v>13</v>
      </c>
      <c r="H815" s="42" t="s">
        <v>32</v>
      </c>
      <c r="I815" s="42" t="s">
        <v>620</v>
      </c>
      <c r="J815" s="10">
        <v>60000</v>
      </c>
      <c r="K815" s="7">
        <v>-60000</v>
      </c>
      <c r="L815" s="1" t="s">
        <v>715</v>
      </c>
    </row>
    <row r="816" spans="1:13">
      <c r="A816" s="21" t="str">
        <f>TEXT(TEXT(B816,"yyyymmdd"),"00000000")&amp;TEXT(COUNTIF($B$2:B816,B816),"00")</f>
        <v>2023082202</v>
      </c>
      <c r="B816" s="21">
        <f t="shared" si="12"/>
        <v>45160</v>
      </c>
      <c r="C816" s="22">
        <v>2023</v>
      </c>
      <c r="D816" s="23">
        <v>8</v>
      </c>
      <c r="E816" s="24">
        <v>22</v>
      </c>
      <c r="F816" s="42" t="s">
        <v>17</v>
      </c>
      <c r="G816" s="42" t="s">
        <v>13</v>
      </c>
      <c r="H816" s="42" t="s">
        <v>138</v>
      </c>
      <c r="I816" s="42" t="s">
        <v>139</v>
      </c>
      <c r="J816" s="10">
        <v>7500</v>
      </c>
      <c r="K816" s="7">
        <v>-7500</v>
      </c>
      <c r="L816" s="1" t="s">
        <v>677</v>
      </c>
    </row>
    <row r="817" spans="1:13">
      <c r="A817" s="21" t="str">
        <f>TEXT(TEXT(B817,"yyyymmdd"),"00000000")&amp;TEXT(COUNTIF($B$2:B817,B817),"00")</f>
        <v>2023082203</v>
      </c>
      <c r="B817" s="21">
        <f t="shared" si="12"/>
        <v>45160</v>
      </c>
      <c r="C817" s="22">
        <v>2023</v>
      </c>
      <c r="D817" s="23">
        <v>8</v>
      </c>
      <c r="E817" s="24">
        <v>22</v>
      </c>
      <c r="F817" s="42" t="s">
        <v>17</v>
      </c>
      <c r="G817" s="42" t="s">
        <v>7</v>
      </c>
      <c r="H817" s="42" t="s">
        <v>110</v>
      </c>
      <c r="I817" s="42" t="s">
        <v>120</v>
      </c>
      <c r="J817" s="10">
        <v>1800</v>
      </c>
      <c r="K817" s="7">
        <v>-1800</v>
      </c>
      <c r="L817" s="1" t="s">
        <v>480</v>
      </c>
    </row>
    <row r="818" spans="1:13">
      <c r="A818" s="21" t="str">
        <f>TEXT(TEXT(B818,"yyyymmdd"),"00000000")&amp;TEXT(COUNTIF($B$2:B818,B818),"00")</f>
        <v>2023082204</v>
      </c>
      <c r="B818" s="21">
        <f t="shared" si="12"/>
        <v>45160</v>
      </c>
      <c r="C818" s="22">
        <v>2023</v>
      </c>
      <c r="D818" s="23">
        <v>8</v>
      </c>
      <c r="E818" s="24">
        <v>22</v>
      </c>
      <c r="F818" s="42" t="s">
        <v>17</v>
      </c>
      <c r="G818" s="42" t="s">
        <v>135</v>
      </c>
      <c r="H818" s="42" t="s">
        <v>135</v>
      </c>
      <c r="I818" s="42" t="s">
        <v>143</v>
      </c>
      <c r="J818" s="10">
        <v>-10000</v>
      </c>
      <c r="K818" s="7">
        <v>10000</v>
      </c>
      <c r="L818" s="1" t="s">
        <v>165</v>
      </c>
    </row>
    <row r="819" spans="1:13">
      <c r="A819" s="21" t="str">
        <f>TEXT(TEXT(B819,"yyyymmdd"),"00000000")&amp;TEXT(COUNTIF($B$2:B819,B819),"00")</f>
        <v>2023082205</v>
      </c>
      <c r="B819" s="21">
        <f t="shared" si="12"/>
        <v>45160</v>
      </c>
      <c r="C819" s="22">
        <v>2023</v>
      </c>
      <c r="D819" s="23">
        <v>8</v>
      </c>
      <c r="E819" s="24">
        <v>22</v>
      </c>
      <c r="F819" s="42" t="s">
        <v>17</v>
      </c>
      <c r="G819" s="42" t="s">
        <v>11</v>
      </c>
      <c r="H819" s="42" t="s">
        <v>99</v>
      </c>
      <c r="I819" s="42" t="s">
        <v>94</v>
      </c>
      <c r="J819" s="10">
        <v>-200000</v>
      </c>
      <c r="K819" s="7">
        <v>200000</v>
      </c>
      <c r="L819" s="1" t="s">
        <v>827</v>
      </c>
    </row>
    <row r="820" spans="1:13">
      <c r="A820" s="21" t="str">
        <f>TEXT(TEXT(B820,"yyyymmdd"),"00000000")&amp;TEXT(COUNTIF($B$2:B820,B820),"00")</f>
        <v>2023082206</v>
      </c>
      <c r="B820" s="21">
        <f t="shared" si="12"/>
        <v>45160</v>
      </c>
      <c r="C820" s="22">
        <v>2023</v>
      </c>
      <c r="D820" s="23">
        <v>8</v>
      </c>
      <c r="E820" s="24">
        <v>22</v>
      </c>
      <c r="F820" s="42" t="s">
        <v>17</v>
      </c>
      <c r="G820" s="42" t="s">
        <v>13</v>
      </c>
      <c r="H820" s="42" t="s">
        <v>138</v>
      </c>
      <c r="I820" s="42" t="s">
        <v>139</v>
      </c>
      <c r="J820" s="10">
        <v>8000</v>
      </c>
      <c r="K820" s="7">
        <v>-8000</v>
      </c>
      <c r="L820" s="1" t="s">
        <v>794</v>
      </c>
    </row>
    <row r="821" spans="1:13">
      <c r="A821" s="21" t="str">
        <f>TEXT(TEXT(B821,"yyyymmdd"),"00000000")&amp;TEXT(COUNTIF($B$2:B821,B821),"00")</f>
        <v>2023082301</v>
      </c>
      <c r="B821" s="21">
        <f t="shared" si="12"/>
        <v>45161</v>
      </c>
      <c r="C821" s="22">
        <v>2023</v>
      </c>
      <c r="D821" s="23">
        <v>8</v>
      </c>
      <c r="E821" s="24">
        <v>23</v>
      </c>
      <c r="F821" s="42" t="s">
        <v>17</v>
      </c>
      <c r="G821" s="42" t="s">
        <v>13</v>
      </c>
      <c r="H821" s="42" t="s">
        <v>138</v>
      </c>
      <c r="I821" s="42" t="s">
        <v>139</v>
      </c>
      <c r="J821" s="10">
        <v>9000</v>
      </c>
      <c r="K821" s="7">
        <v>-9000</v>
      </c>
      <c r="L821" s="1" t="s">
        <v>779</v>
      </c>
    </row>
    <row r="822" spans="1:13">
      <c r="A822" s="21" t="str">
        <f>TEXT(TEXT(B822,"yyyymmdd"),"00000000")&amp;TEXT(COUNTIF($B$2:B822,B822),"00")</f>
        <v>2023082302</v>
      </c>
      <c r="B822" s="21">
        <f t="shared" si="12"/>
        <v>45161</v>
      </c>
      <c r="C822" s="22">
        <v>2023</v>
      </c>
      <c r="D822" s="23">
        <v>8</v>
      </c>
      <c r="E822" s="24">
        <v>23</v>
      </c>
      <c r="F822" s="42" t="s">
        <v>17</v>
      </c>
      <c r="G822" s="42" t="s">
        <v>7</v>
      </c>
      <c r="H822" s="42" t="s">
        <v>167</v>
      </c>
      <c r="I822" s="42" t="s">
        <v>168</v>
      </c>
      <c r="J822" s="10">
        <v>2700</v>
      </c>
      <c r="K822" s="7">
        <v>-2700</v>
      </c>
      <c r="L822" s="1" t="s">
        <v>619</v>
      </c>
    </row>
    <row r="823" spans="1:13">
      <c r="A823" s="21" t="str">
        <f>TEXT(TEXT(B823,"yyyymmdd"),"00000000")&amp;TEXT(COUNTIF($B$2:B823,B823),"00")</f>
        <v>2023083001</v>
      </c>
      <c r="B823" s="21">
        <f t="shared" si="12"/>
        <v>45168</v>
      </c>
      <c r="C823" s="22">
        <v>2023</v>
      </c>
      <c r="D823" s="23">
        <v>8</v>
      </c>
      <c r="E823" s="24">
        <v>30</v>
      </c>
      <c r="F823" s="42" t="s">
        <v>17</v>
      </c>
      <c r="G823" s="42" t="s">
        <v>170</v>
      </c>
      <c r="H823" s="42" t="s">
        <v>155</v>
      </c>
      <c r="I823" s="42" t="s">
        <v>156</v>
      </c>
      <c r="J823" s="10">
        <v>1497</v>
      </c>
      <c r="K823" s="7">
        <v>-1497</v>
      </c>
      <c r="L823" s="1" t="s">
        <v>303</v>
      </c>
    </row>
    <row r="824" spans="1:13">
      <c r="A824" s="21" t="str">
        <f>TEXT(TEXT(B824,"yyyymmdd"),"00000000")&amp;TEXT(COUNTIF($B$2:B824,B824),"00")</f>
        <v>2023083101</v>
      </c>
      <c r="B824" s="21">
        <f t="shared" si="12"/>
        <v>45169</v>
      </c>
      <c r="C824" s="22">
        <v>2023</v>
      </c>
      <c r="D824" s="23">
        <v>8</v>
      </c>
      <c r="E824" s="24">
        <v>31</v>
      </c>
      <c r="F824" s="42" t="s">
        <v>17</v>
      </c>
      <c r="G824" s="42" t="s">
        <v>7</v>
      </c>
      <c r="H824" s="42" t="s">
        <v>116</v>
      </c>
      <c r="I824" s="42" t="s">
        <v>404</v>
      </c>
      <c r="J824" s="10">
        <v>3000</v>
      </c>
      <c r="K824" s="7">
        <v>-3000</v>
      </c>
      <c r="L824" s="1" t="s">
        <v>828</v>
      </c>
      <c r="M824" s="2" t="s">
        <v>815</v>
      </c>
    </row>
    <row r="825" spans="1:13">
      <c r="A825" s="21" t="str">
        <f>TEXT(TEXT(B825,"yyyymmdd"),"00000000")&amp;TEXT(COUNTIF($B$2:B825,B825),"00")</f>
        <v>2023083102</v>
      </c>
      <c r="B825" s="21">
        <f t="shared" si="12"/>
        <v>45169</v>
      </c>
      <c r="C825" s="22">
        <v>2023</v>
      </c>
      <c r="D825" s="23">
        <v>8</v>
      </c>
      <c r="E825" s="24">
        <v>31</v>
      </c>
      <c r="F825" s="42" t="s">
        <v>17</v>
      </c>
      <c r="G825" s="42" t="s">
        <v>7</v>
      </c>
      <c r="H825" s="42" t="s">
        <v>138</v>
      </c>
      <c r="I825" s="42" t="s">
        <v>139</v>
      </c>
      <c r="J825" s="10">
        <v>19500</v>
      </c>
      <c r="K825" s="7">
        <v>-19500</v>
      </c>
      <c r="L825" s="1" t="s">
        <v>829</v>
      </c>
      <c r="M825" s="2" t="s">
        <v>815</v>
      </c>
    </row>
    <row r="826" spans="1:13">
      <c r="A826" s="21" t="str">
        <f>TEXT(TEXT(B826,"yyyymmdd"),"00000000")&amp;TEXT(COUNTIF($B$2:B826,B826),"00")</f>
        <v>2023083103</v>
      </c>
      <c r="B826" s="21">
        <f t="shared" si="12"/>
        <v>45169</v>
      </c>
      <c r="C826" s="22">
        <v>2023</v>
      </c>
      <c r="D826" s="23">
        <v>8</v>
      </c>
      <c r="E826" s="24">
        <v>31</v>
      </c>
      <c r="F826" s="42" t="s">
        <v>17</v>
      </c>
      <c r="G826" s="42" t="s">
        <v>7</v>
      </c>
      <c r="H826" s="42" t="s">
        <v>110</v>
      </c>
      <c r="I826" s="42" t="s">
        <v>120</v>
      </c>
      <c r="J826" s="10">
        <v>6150</v>
      </c>
      <c r="K826" s="7">
        <v>-6150</v>
      </c>
      <c r="L826" s="1" t="s">
        <v>830</v>
      </c>
      <c r="M826" s="2" t="s">
        <v>815</v>
      </c>
    </row>
    <row r="827" spans="1:13">
      <c r="A827" s="21" t="str">
        <f>TEXT(TEXT(B827,"yyyymmdd"),"00000000")&amp;TEXT(COUNTIF($B$2:B827,B827),"00")</f>
        <v>2023083104</v>
      </c>
      <c r="B827" s="21">
        <f t="shared" si="12"/>
        <v>45169</v>
      </c>
      <c r="C827" s="22">
        <v>2023</v>
      </c>
      <c r="D827" s="23">
        <v>8</v>
      </c>
      <c r="E827" s="24">
        <v>31</v>
      </c>
      <c r="F827" s="42" t="s">
        <v>17</v>
      </c>
      <c r="G827" s="42" t="s">
        <v>7</v>
      </c>
      <c r="H827" s="42" t="s">
        <v>110</v>
      </c>
      <c r="I827" s="42" t="s">
        <v>120</v>
      </c>
      <c r="J827" s="10">
        <v>8650</v>
      </c>
      <c r="K827" s="7">
        <v>-8650</v>
      </c>
      <c r="L827" s="1" t="s">
        <v>831</v>
      </c>
      <c r="M827" s="2" t="s">
        <v>815</v>
      </c>
    </row>
    <row r="828" spans="1:13">
      <c r="A828" s="21" t="str">
        <f>TEXT(TEXT(B828,"yyyymmdd"),"00000000")&amp;TEXT(COUNTIF($B$2:B828,B828),"00")</f>
        <v>2023090101</v>
      </c>
      <c r="B828" s="21">
        <f t="shared" si="12"/>
        <v>45170</v>
      </c>
      <c r="C828" s="22">
        <v>2023</v>
      </c>
      <c r="D828" s="23">
        <v>9</v>
      </c>
      <c r="E828" s="24">
        <v>1</v>
      </c>
      <c r="F828" s="42" t="s">
        <v>17</v>
      </c>
      <c r="G828" s="42" t="s">
        <v>151</v>
      </c>
      <c r="H828" s="42" t="s">
        <v>151</v>
      </c>
      <c r="I828" s="42" t="s">
        <v>152</v>
      </c>
      <c r="J828" s="10">
        <v>-500000</v>
      </c>
      <c r="K828" s="7">
        <v>500000</v>
      </c>
      <c r="L828" s="1" t="s">
        <v>252</v>
      </c>
    </row>
    <row r="829" spans="1:13">
      <c r="A829" s="21" t="str">
        <f>TEXT(TEXT(B829,"yyyymmdd"),"00000000")&amp;TEXT(COUNTIF($B$2:B829,B829),"00")</f>
        <v>2023090102</v>
      </c>
      <c r="B829" s="21">
        <f t="shared" si="12"/>
        <v>45170</v>
      </c>
      <c r="C829" s="22">
        <v>2023</v>
      </c>
      <c r="D829" s="23">
        <v>9</v>
      </c>
      <c r="E829" s="24">
        <v>1</v>
      </c>
      <c r="F829" s="42" t="s">
        <v>17</v>
      </c>
      <c r="G829" s="42" t="s">
        <v>7</v>
      </c>
      <c r="H829" s="42" t="s">
        <v>138</v>
      </c>
      <c r="I829" s="42" t="s">
        <v>139</v>
      </c>
      <c r="J829" s="10">
        <v>6000</v>
      </c>
      <c r="K829" s="7">
        <v>-6000</v>
      </c>
      <c r="L829" s="1" t="s">
        <v>285</v>
      </c>
      <c r="M829" s="2" t="s">
        <v>815</v>
      </c>
    </row>
    <row r="830" spans="1:13">
      <c r="A830" s="21" t="str">
        <f>TEXT(TEXT(B830,"yyyymmdd"),"00000000")&amp;TEXT(COUNTIF($B$2:B830,B830),"00")</f>
        <v>2023090103</v>
      </c>
      <c r="B830" s="21">
        <f t="shared" si="12"/>
        <v>45170</v>
      </c>
      <c r="C830" s="22">
        <v>2023</v>
      </c>
      <c r="D830" s="23">
        <v>9</v>
      </c>
      <c r="E830" s="24">
        <v>1</v>
      </c>
      <c r="F830" s="42" t="s">
        <v>17</v>
      </c>
      <c r="G830" s="42" t="s">
        <v>7</v>
      </c>
      <c r="H830" s="42" t="s">
        <v>32</v>
      </c>
      <c r="I830" s="42" t="s">
        <v>141</v>
      </c>
      <c r="J830" s="10">
        <v>90000</v>
      </c>
      <c r="K830" s="7">
        <v>-90000</v>
      </c>
      <c r="L830" s="1" t="s">
        <v>601</v>
      </c>
      <c r="M830" s="2" t="s">
        <v>832</v>
      </c>
    </row>
    <row r="831" spans="1:13">
      <c r="A831" s="21" t="str">
        <f>TEXT(TEXT(B831,"yyyymmdd"),"00000000")&amp;TEXT(COUNTIF($B$2:B831,B831),"00")</f>
        <v>2023090104</v>
      </c>
      <c r="B831" s="21">
        <f t="shared" si="12"/>
        <v>45170</v>
      </c>
      <c r="C831" s="22">
        <v>2023</v>
      </c>
      <c r="D831" s="23">
        <v>9</v>
      </c>
      <c r="E831" s="24">
        <v>1</v>
      </c>
      <c r="F831" s="42" t="s">
        <v>17</v>
      </c>
      <c r="G831" s="42" t="s">
        <v>13</v>
      </c>
      <c r="H831" s="42" t="s">
        <v>138</v>
      </c>
      <c r="I831" s="42" t="s">
        <v>139</v>
      </c>
      <c r="J831" s="10">
        <v>5000</v>
      </c>
      <c r="K831" s="7">
        <v>-5000</v>
      </c>
      <c r="L831" s="1" t="s">
        <v>619</v>
      </c>
    </row>
    <row r="832" spans="1:13">
      <c r="A832" s="21" t="str">
        <f>TEXT(TEXT(B832,"yyyymmdd"),"00000000")&amp;TEXT(COUNTIF($B$2:B832,B832),"00")</f>
        <v>2023090105</v>
      </c>
      <c r="B832" s="21">
        <f t="shared" si="12"/>
        <v>45170</v>
      </c>
      <c r="C832" s="22">
        <v>2023</v>
      </c>
      <c r="D832" s="23">
        <v>9</v>
      </c>
      <c r="E832" s="24">
        <v>1</v>
      </c>
      <c r="F832" s="42" t="s">
        <v>17</v>
      </c>
      <c r="G832" s="42" t="s">
        <v>7</v>
      </c>
      <c r="H832" s="42" t="s">
        <v>117</v>
      </c>
      <c r="I832" s="42" t="s">
        <v>453</v>
      </c>
      <c r="J832" s="10">
        <v>16500</v>
      </c>
      <c r="K832" s="7">
        <v>-16500</v>
      </c>
      <c r="L832" s="1" t="s">
        <v>754</v>
      </c>
      <c r="M832" s="2" t="s">
        <v>815</v>
      </c>
    </row>
    <row r="833" spans="1:13">
      <c r="A833" s="21" t="str">
        <f>TEXT(TEXT(B833,"yyyymmdd"),"00000000")&amp;TEXT(COUNTIF($B$2:B833,B833),"00")</f>
        <v>2023090201</v>
      </c>
      <c r="B833" s="21">
        <f t="shared" si="12"/>
        <v>45171</v>
      </c>
      <c r="C833" s="22">
        <v>2023</v>
      </c>
      <c r="D833" s="23">
        <v>9</v>
      </c>
      <c r="E833" s="24">
        <v>2</v>
      </c>
      <c r="F833" s="42" t="s">
        <v>17</v>
      </c>
      <c r="G833" s="42" t="s">
        <v>7</v>
      </c>
      <c r="H833" s="42" t="s">
        <v>138</v>
      </c>
      <c r="I833" s="42" t="s">
        <v>139</v>
      </c>
      <c r="J833" s="10">
        <v>12500</v>
      </c>
      <c r="K833" s="7">
        <v>-12500</v>
      </c>
      <c r="L833" s="1" t="s">
        <v>833</v>
      </c>
      <c r="M833" s="2" t="s">
        <v>850</v>
      </c>
    </row>
    <row r="834" spans="1:13">
      <c r="A834" s="21" t="str">
        <f>TEXT(TEXT(B834,"yyyymmdd"),"00000000")&amp;TEXT(COUNTIF($B$2:B834,B834),"00")</f>
        <v>2023090202</v>
      </c>
      <c r="B834" s="21">
        <f t="shared" ref="B834:B897" si="13">DATE(C834,D834,E834)</f>
        <v>45171</v>
      </c>
      <c r="C834" s="22">
        <v>2023</v>
      </c>
      <c r="D834" s="23">
        <v>9</v>
      </c>
      <c r="E834" s="24">
        <v>2</v>
      </c>
      <c r="F834" s="42" t="s">
        <v>17</v>
      </c>
      <c r="G834" s="42" t="s">
        <v>7</v>
      </c>
      <c r="H834" s="42" t="s">
        <v>138</v>
      </c>
      <c r="I834" s="42" t="s">
        <v>139</v>
      </c>
      <c r="J834" s="10">
        <v>6750</v>
      </c>
      <c r="K834" s="7">
        <v>-6750</v>
      </c>
      <c r="L834" s="1" t="s">
        <v>661</v>
      </c>
      <c r="M834" s="2" t="s">
        <v>815</v>
      </c>
    </row>
    <row r="835" spans="1:13">
      <c r="A835" s="21" t="str">
        <f>TEXT(TEXT(B835,"yyyymmdd"),"00000000")&amp;TEXT(COUNTIF($B$2:B835,B835),"00")</f>
        <v>2023090401</v>
      </c>
      <c r="B835" s="21">
        <f t="shared" si="13"/>
        <v>45173</v>
      </c>
      <c r="C835" s="22">
        <v>2023</v>
      </c>
      <c r="D835" s="23">
        <v>9</v>
      </c>
      <c r="E835" s="24">
        <v>4</v>
      </c>
      <c r="F835" s="42" t="s">
        <v>17</v>
      </c>
      <c r="G835" s="42" t="s">
        <v>7</v>
      </c>
      <c r="H835" s="42" t="s">
        <v>138</v>
      </c>
      <c r="I835" s="42" t="s">
        <v>139</v>
      </c>
      <c r="J835" s="10">
        <v>9000</v>
      </c>
      <c r="K835" s="7">
        <v>-9000</v>
      </c>
      <c r="L835" s="1" t="s">
        <v>701</v>
      </c>
    </row>
    <row r="836" spans="1:13">
      <c r="A836" s="21" t="str">
        <f>TEXT(TEXT(B836,"yyyymmdd"),"00000000")&amp;TEXT(COUNTIF($B$2:B836,B836),"00")</f>
        <v>2023090402</v>
      </c>
      <c r="B836" s="21">
        <f t="shared" si="13"/>
        <v>45173</v>
      </c>
      <c r="C836" s="22">
        <v>2023</v>
      </c>
      <c r="D836" s="23">
        <v>9</v>
      </c>
      <c r="E836" s="24">
        <v>4</v>
      </c>
      <c r="F836" s="42" t="s">
        <v>17</v>
      </c>
      <c r="G836" s="42" t="s">
        <v>13</v>
      </c>
      <c r="H836" s="42" t="s">
        <v>138</v>
      </c>
      <c r="I836" s="42" t="s">
        <v>139</v>
      </c>
      <c r="J836" s="10">
        <v>6250</v>
      </c>
      <c r="K836" s="7">
        <v>-6250</v>
      </c>
      <c r="L836" s="1" t="s">
        <v>679</v>
      </c>
    </row>
    <row r="837" spans="1:13">
      <c r="A837" s="21" t="str">
        <f>TEXT(TEXT(B837,"yyyymmdd"),"00000000")&amp;TEXT(COUNTIF($B$2:B837,B837),"00")</f>
        <v>2023090403</v>
      </c>
      <c r="B837" s="21">
        <f t="shared" si="13"/>
        <v>45173</v>
      </c>
      <c r="C837" s="22">
        <v>2023</v>
      </c>
      <c r="D837" s="23">
        <v>9</v>
      </c>
      <c r="E837" s="24">
        <v>4</v>
      </c>
      <c r="F837" s="42" t="s">
        <v>17</v>
      </c>
      <c r="G837" s="42" t="s">
        <v>7</v>
      </c>
      <c r="H837" s="42" t="s">
        <v>117</v>
      </c>
      <c r="I837" s="42" t="s">
        <v>453</v>
      </c>
      <c r="J837" s="10">
        <v>15000</v>
      </c>
      <c r="K837" s="7">
        <v>-15000</v>
      </c>
      <c r="L837" s="1" t="s">
        <v>754</v>
      </c>
    </row>
    <row r="838" spans="1:13">
      <c r="A838" s="21" t="str">
        <f>TEXT(TEXT(B838,"yyyymmdd"),"00000000")&amp;TEXT(COUNTIF($B$2:B838,B838),"00")</f>
        <v>2023090404</v>
      </c>
      <c r="B838" s="21">
        <f t="shared" si="13"/>
        <v>45173</v>
      </c>
      <c r="C838" s="22">
        <v>2023</v>
      </c>
      <c r="D838" s="23">
        <v>9</v>
      </c>
      <c r="E838" s="24">
        <v>4</v>
      </c>
      <c r="F838" s="42" t="s">
        <v>17</v>
      </c>
      <c r="G838" s="42" t="s">
        <v>11</v>
      </c>
      <c r="H838" s="42" t="s">
        <v>99</v>
      </c>
      <c r="I838" s="42" t="s">
        <v>11</v>
      </c>
      <c r="J838" s="10">
        <v>-1</v>
      </c>
      <c r="K838" s="7">
        <v>1</v>
      </c>
      <c r="L838" s="1" t="s">
        <v>834</v>
      </c>
    </row>
    <row r="839" spans="1:13">
      <c r="A839" s="21" t="str">
        <f>TEXT(TEXT(B839,"yyyymmdd"),"00000000")&amp;TEXT(COUNTIF($B$2:B839,B839),"00")</f>
        <v>2023090501</v>
      </c>
      <c r="B839" s="21">
        <f t="shared" si="13"/>
        <v>45174</v>
      </c>
      <c r="C839" s="22">
        <v>2023</v>
      </c>
      <c r="D839" s="23">
        <v>9</v>
      </c>
      <c r="E839" s="24">
        <v>5</v>
      </c>
      <c r="F839" s="42" t="s">
        <v>17</v>
      </c>
      <c r="G839" s="42" t="s">
        <v>7</v>
      </c>
      <c r="H839" s="42" t="s">
        <v>173</v>
      </c>
      <c r="I839" s="42" t="s">
        <v>207</v>
      </c>
      <c r="J839" s="10">
        <v>17440</v>
      </c>
      <c r="K839" s="7">
        <v>-17440</v>
      </c>
      <c r="L839" s="1" t="s">
        <v>208</v>
      </c>
    </row>
    <row r="840" spans="1:13">
      <c r="A840" s="21" t="str">
        <f>TEXT(TEXT(B840,"yyyymmdd"),"00000000")&amp;TEXT(COUNTIF($B$2:B840,B840),"00")</f>
        <v>2023090502</v>
      </c>
      <c r="B840" s="21">
        <f t="shared" si="13"/>
        <v>45174</v>
      </c>
      <c r="C840" s="22">
        <v>2023</v>
      </c>
      <c r="D840" s="23">
        <v>9</v>
      </c>
      <c r="E840" s="24">
        <v>5</v>
      </c>
      <c r="F840" s="42" t="s">
        <v>17</v>
      </c>
      <c r="G840" s="42" t="s">
        <v>13</v>
      </c>
      <c r="H840" s="42" t="s">
        <v>138</v>
      </c>
      <c r="I840" s="42" t="s">
        <v>139</v>
      </c>
      <c r="J840" s="10">
        <v>5000</v>
      </c>
      <c r="K840" s="7">
        <v>-5000</v>
      </c>
      <c r="L840" s="1" t="s">
        <v>619</v>
      </c>
    </row>
    <row r="841" spans="1:13">
      <c r="A841" s="21" t="str">
        <f>TEXT(TEXT(B841,"yyyymmdd"),"00000000")&amp;TEXT(COUNTIF($B$2:B841,B841),"00")</f>
        <v>2023090601</v>
      </c>
      <c r="B841" s="21">
        <f t="shared" si="13"/>
        <v>45175</v>
      </c>
      <c r="C841" s="22">
        <v>2023</v>
      </c>
      <c r="D841" s="23">
        <v>9</v>
      </c>
      <c r="E841" s="24">
        <v>6</v>
      </c>
      <c r="F841" s="42" t="s">
        <v>17</v>
      </c>
      <c r="G841" s="42" t="s">
        <v>7</v>
      </c>
      <c r="H841" s="42" t="s">
        <v>32</v>
      </c>
      <c r="I841" s="42" t="s">
        <v>141</v>
      </c>
      <c r="J841" s="10">
        <v>2800</v>
      </c>
      <c r="K841" s="7">
        <v>-2800</v>
      </c>
      <c r="L841" s="1" t="s">
        <v>810</v>
      </c>
    </row>
    <row r="842" spans="1:13">
      <c r="A842" s="21" t="str">
        <f>TEXT(TEXT(B842,"yyyymmdd"),"00000000")&amp;TEXT(COUNTIF($B$2:B842,B842),"00")</f>
        <v>2023090602</v>
      </c>
      <c r="B842" s="21">
        <f t="shared" si="13"/>
        <v>45175</v>
      </c>
      <c r="C842" s="22">
        <v>2023</v>
      </c>
      <c r="D842" s="23">
        <v>9</v>
      </c>
      <c r="E842" s="24">
        <v>6</v>
      </c>
      <c r="F842" s="42" t="s">
        <v>17</v>
      </c>
      <c r="G842" s="42" t="s">
        <v>13</v>
      </c>
      <c r="H842" s="42" t="s">
        <v>138</v>
      </c>
      <c r="I842" s="42" t="s">
        <v>139</v>
      </c>
      <c r="J842" s="10">
        <v>6000</v>
      </c>
      <c r="K842" s="7">
        <v>-6000</v>
      </c>
      <c r="L842" s="1" t="s">
        <v>794</v>
      </c>
    </row>
    <row r="843" spans="1:13">
      <c r="A843" s="21" t="str">
        <f>TEXT(TEXT(B843,"yyyymmdd"),"00000000")&amp;TEXT(COUNTIF($B$2:B843,B843),"00")</f>
        <v>2023090603</v>
      </c>
      <c r="B843" s="21">
        <f t="shared" si="13"/>
        <v>45175</v>
      </c>
      <c r="C843" s="22">
        <v>2023</v>
      </c>
      <c r="D843" s="23">
        <v>9</v>
      </c>
      <c r="E843" s="24">
        <v>6</v>
      </c>
      <c r="F843" s="42" t="s">
        <v>17</v>
      </c>
      <c r="G843" s="42" t="s">
        <v>7</v>
      </c>
      <c r="H843" s="42" t="s">
        <v>167</v>
      </c>
      <c r="I843" s="42" t="s">
        <v>168</v>
      </c>
      <c r="J843" s="10">
        <v>2200</v>
      </c>
      <c r="K843" s="7">
        <v>-2200</v>
      </c>
      <c r="L843" s="1" t="s">
        <v>748</v>
      </c>
    </row>
    <row r="844" spans="1:13">
      <c r="A844" s="21" t="str">
        <f>TEXT(TEXT(B844,"yyyymmdd"),"00000000")&amp;TEXT(COUNTIF($B$2:B844,B844),"00")</f>
        <v>2023090701</v>
      </c>
      <c r="B844" s="21">
        <f t="shared" si="13"/>
        <v>45176</v>
      </c>
      <c r="C844" s="22">
        <v>2023</v>
      </c>
      <c r="D844" s="23">
        <v>9</v>
      </c>
      <c r="E844" s="24">
        <v>7</v>
      </c>
      <c r="F844" s="42" t="s">
        <v>17</v>
      </c>
      <c r="G844" s="42" t="s">
        <v>13</v>
      </c>
      <c r="H844" s="42" t="s">
        <v>138</v>
      </c>
      <c r="I844" s="42" t="s">
        <v>139</v>
      </c>
      <c r="J844" s="10">
        <v>4900</v>
      </c>
      <c r="K844" s="7">
        <v>-4900</v>
      </c>
      <c r="L844" s="1" t="s">
        <v>741</v>
      </c>
    </row>
    <row r="845" spans="1:13">
      <c r="A845" s="21" t="str">
        <f>TEXT(TEXT(B845,"yyyymmdd"),"00000000")&amp;TEXT(COUNTIF($B$2:B845,B845),"00")</f>
        <v>2023090702</v>
      </c>
      <c r="B845" s="21">
        <f t="shared" si="13"/>
        <v>45176</v>
      </c>
      <c r="C845" s="22">
        <v>2023</v>
      </c>
      <c r="D845" s="23">
        <v>9</v>
      </c>
      <c r="E845" s="24">
        <v>7</v>
      </c>
      <c r="F845" s="42" t="s">
        <v>17</v>
      </c>
      <c r="G845" s="42" t="s">
        <v>7</v>
      </c>
      <c r="H845" s="42" t="s">
        <v>116</v>
      </c>
      <c r="I845" s="42" t="s">
        <v>217</v>
      </c>
      <c r="J845" s="10">
        <v>4000</v>
      </c>
      <c r="K845" s="7">
        <v>-4000</v>
      </c>
      <c r="L845" s="1" t="s">
        <v>836</v>
      </c>
    </row>
    <row r="846" spans="1:13">
      <c r="A846" s="21" t="str">
        <f>TEXT(TEXT(B846,"yyyymmdd"),"00000000")&amp;TEXT(COUNTIF($B$2:B846,B846),"00")</f>
        <v>2023090703</v>
      </c>
      <c r="B846" s="21">
        <f t="shared" si="13"/>
        <v>45176</v>
      </c>
      <c r="C846" s="22">
        <v>2023</v>
      </c>
      <c r="D846" s="23">
        <v>9</v>
      </c>
      <c r="E846" s="24">
        <v>7</v>
      </c>
      <c r="F846" s="42" t="s">
        <v>17</v>
      </c>
      <c r="G846" s="42" t="s">
        <v>13</v>
      </c>
      <c r="H846" s="42" t="s">
        <v>167</v>
      </c>
      <c r="I846" s="42" t="s">
        <v>168</v>
      </c>
      <c r="J846" s="10">
        <v>2600</v>
      </c>
      <c r="K846" s="7">
        <v>-2600</v>
      </c>
      <c r="L846" s="1" t="s">
        <v>748</v>
      </c>
    </row>
    <row r="847" spans="1:13">
      <c r="A847" s="21" t="str">
        <f>TEXT(TEXT(B847,"yyyymmdd"),"00000000")&amp;TEXT(COUNTIF($B$2:B847,B847),"00")</f>
        <v>2023090704</v>
      </c>
      <c r="B847" s="21">
        <f t="shared" si="13"/>
        <v>45176</v>
      </c>
      <c r="C847" s="22">
        <v>2023</v>
      </c>
      <c r="D847" s="23">
        <v>9</v>
      </c>
      <c r="E847" s="24">
        <v>7</v>
      </c>
      <c r="F847" s="42" t="s">
        <v>17</v>
      </c>
      <c r="G847" s="42" t="s">
        <v>13</v>
      </c>
      <c r="H847" s="42" t="s">
        <v>167</v>
      </c>
      <c r="I847" s="42" t="s">
        <v>168</v>
      </c>
      <c r="J847" s="10">
        <v>1400</v>
      </c>
      <c r="K847" s="7">
        <v>-1400</v>
      </c>
      <c r="L847" s="1" t="s">
        <v>748</v>
      </c>
    </row>
    <row r="848" spans="1:13">
      <c r="A848" s="21" t="str">
        <f>TEXT(TEXT(B848,"yyyymmdd"),"00000000")&amp;TEXT(COUNTIF($B$2:B848,B848),"00")</f>
        <v>2023090801</v>
      </c>
      <c r="B848" s="21">
        <f t="shared" si="13"/>
        <v>45177</v>
      </c>
      <c r="C848" s="22">
        <v>2023</v>
      </c>
      <c r="D848" s="23">
        <v>9</v>
      </c>
      <c r="E848" s="24">
        <v>8</v>
      </c>
      <c r="F848" s="42" t="s">
        <v>17</v>
      </c>
      <c r="G848" s="42" t="s">
        <v>13</v>
      </c>
      <c r="H848" s="42" t="s">
        <v>138</v>
      </c>
      <c r="I848" s="42" t="s">
        <v>139</v>
      </c>
      <c r="J848" s="10">
        <v>4500</v>
      </c>
      <c r="K848" s="7">
        <v>-4500</v>
      </c>
      <c r="L848" s="1" t="s">
        <v>300</v>
      </c>
    </row>
    <row r="849" spans="1:13">
      <c r="A849" s="21" t="str">
        <f>TEXT(TEXT(B849,"yyyymmdd"),"00000000")&amp;TEXT(COUNTIF($B$2:B849,B849),"00")</f>
        <v>2023090802</v>
      </c>
      <c r="B849" s="21">
        <f t="shared" si="13"/>
        <v>45177</v>
      </c>
      <c r="C849" s="22">
        <v>2023</v>
      </c>
      <c r="D849" s="23">
        <v>9</v>
      </c>
      <c r="E849" s="24">
        <v>8</v>
      </c>
      <c r="F849" s="42" t="s">
        <v>17</v>
      </c>
      <c r="G849" s="42" t="s">
        <v>7</v>
      </c>
      <c r="H849" s="42" t="s">
        <v>138</v>
      </c>
      <c r="I849" s="42" t="s">
        <v>139</v>
      </c>
      <c r="J849" s="10">
        <v>19400</v>
      </c>
      <c r="K849" s="7">
        <v>-19400</v>
      </c>
      <c r="L849" s="1" t="s">
        <v>844</v>
      </c>
    </row>
    <row r="850" spans="1:13">
      <c r="A850" s="21" t="str">
        <f>TEXT(TEXT(B850,"yyyymmdd"),"00000000")&amp;TEXT(COUNTIF($B$2:B850,B850),"00")</f>
        <v>2023090803</v>
      </c>
      <c r="B850" s="21">
        <f t="shared" si="13"/>
        <v>45177</v>
      </c>
      <c r="C850" s="22">
        <v>2023</v>
      </c>
      <c r="D850" s="23">
        <v>9</v>
      </c>
      <c r="E850" s="24">
        <v>8</v>
      </c>
      <c r="F850" s="42" t="s">
        <v>17</v>
      </c>
      <c r="G850" s="42" t="s">
        <v>7</v>
      </c>
      <c r="H850" s="42" t="s">
        <v>117</v>
      </c>
      <c r="I850" s="42" t="s">
        <v>453</v>
      </c>
      <c r="J850" s="10">
        <v>10900</v>
      </c>
      <c r="K850" s="7">
        <v>-10900</v>
      </c>
      <c r="L850" s="1" t="s">
        <v>754</v>
      </c>
    </row>
    <row r="851" spans="1:13">
      <c r="A851" s="21" t="str">
        <f>TEXT(TEXT(B851,"yyyymmdd"),"00000000")&amp;TEXT(COUNTIF($B$2:B851,B851),"00")</f>
        <v>2023090901</v>
      </c>
      <c r="B851" s="21">
        <f t="shared" si="13"/>
        <v>45178</v>
      </c>
      <c r="C851" s="22">
        <v>2023</v>
      </c>
      <c r="D851" s="23">
        <v>9</v>
      </c>
      <c r="E851" s="24">
        <v>9</v>
      </c>
      <c r="F851" s="42" t="s">
        <v>17</v>
      </c>
      <c r="G851" s="42" t="s">
        <v>7</v>
      </c>
      <c r="H851" s="42" t="s">
        <v>167</v>
      </c>
      <c r="I851" s="42" t="s">
        <v>168</v>
      </c>
      <c r="J851" s="10">
        <v>1950</v>
      </c>
      <c r="K851" s="7">
        <v>-1950</v>
      </c>
      <c r="L851" s="1" t="s">
        <v>845</v>
      </c>
      <c r="M851" s="2" t="s">
        <v>846</v>
      </c>
    </row>
    <row r="852" spans="1:13">
      <c r="A852" s="21" t="str">
        <f>TEXT(TEXT(B852,"yyyymmdd"),"00000000")&amp;TEXT(COUNTIF($B$2:B852,B852),"00")</f>
        <v>2023091101</v>
      </c>
      <c r="B852" s="21">
        <f t="shared" si="13"/>
        <v>45180</v>
      </c>
      <c r="C852" s="22">
        <v>2023</v>
      </c>
      <c r="D852" s="23">
        <v>9</v>
      </c>
      <c r="E852" s="24">
        <v>11</v>
      </c>
      <c r="F852" s="42" t="s">
        <v>17</v>
      </c>
      <c r="G852" s="42" t="s">
        <v>7</v>
      </c>
      <c r="H852" s="42" t="s">
        <v>119</v>
      </c>
      <c r="I852" s="42" t="s">
        <v>180</v>
      </c>
      <c r="J852" s="10">
        <v>100000</v>
      </c>
      <c r="K852" s="7">
        <v>-100000</v>
      </c>
      <c r="L852" s="1" t="s">
        <v>847</v>
      </c>
      <c r="M852" s="2" t="s">
        <v>848</v>
      </c>
    </row>
    <row r="853" spans="1:13">
      <c r="A853" s="21" t="str">
        <f>TEXT(TEXT(B853,"yyyymmdd"),"00000000")&amp;TEXT(COUNTIF($B$2:B853,B853),"00")</f>
        <v>2023091102</v>
      </c>
      <c r="B853" s="21">
        <f t="shared" si="13"/>
        <v>45180</v>
      </c>
      <c r="C853" s="22">
        <v>2023</v>
      </c>
      <c r="D853" s="23">
        <v>9</v>
      </c>
      <c r="E853" s="24">
        <v>11</v>
      </c>
      <c r="F853" s="42" t="s">
        <v>17</v>
      </c>
      <c r="G853" s="42" t="s">
        <v>7</v>
      </c>
      <c r="H853" s="42" t="s">
        <v>167</v>
      </c>
      <c r="I853" s="42" t="s">
        <v>214</v>
      </c>
      <c r="J853" s="10">
        <v>1000</v>
      </c>
      <c r="K853" s="7">
        <v>-1000</v>
      </c>
      <c r="L853" s="1" t="s">
        <v>603</v>
      </c>
      <c r="M853" s="2" t="s">
        <v>849</v>
      </c>
    </row>
    <row r="854" spans="1:13">
      <c r="A854" s="21" t="str">
        <f>TEXT(TEXT(B854,"yyyymmdd"),"00000000")&amp;TEXT(COUNTIF($B$2:B854,B854),"00")</f>
        <v>2023091103</v>
      </c>
      <c r="B854" s="21">
        <f t="shared" si="13"/>
        <v>45180</v>
      </c>
      <c r="C854" s="22">
        <v>2023</v>
      </c>
      <c r="D854" s="23">
        <v>9</v>
      </c>
      <c r="E854" s="24">
        <v>11</v>
      </c>
      <c r="F854" s="42" t="s">
        <v>17</v>
      </c>
      <c r="G854" s="42" t="s">
        <v>13</v>
      </c>
      <c r="H854" s="42" t="s">
        <v>138</v>
      </c>
      <c r="I854" s="42" t="s">
        <v>139</v>
      </c>
      <c r="J854" s="10">
        <v>5000</v>
      </c>
      <c r="K854" s="7">
        <v>-5000</v>
      </c>
      <c r="L854" s="1" t="s">
        <v>676</v>
      </c>
    </row>
    <row r="855" spans="1:13">
      <c r="A855" s="21" t="str">
        <f>TEXT(TEXT(B855,"yyyymmdd"),"00000000")&amp;TEXT(COUNTIF($B$2:B855,B855),"00")</f>
        <v>2023091201</v>
      </c>
      <c r="B855" s="21">
        <f t="shared" si="13"/>
        <v>45181</v>
      </c>
      <c r="C855" s="22">
        <v>2023</v>
      </c>
      <c r="D855" s="23">
        <v>9</v>
      </c>
      <c r="E855" s="24">
        <v>12</v>
      </c>
      <c r="F855" s="42" t="s">
        <v>17</v>
      </c>
      <c r="G855" s="42" t="s">
        <v>13</v>
      </c>
      <c r="H855" s="42" t="s">
        <v>138</v>
      </c>
      <c r="I855" s="42" t="s">
        <v>139</v>
      </c>
      <c r="J855" s="10">
        <v>1000</v>
      </c>
      <c r="K855" s="7">
        <v>-1000</v>
      </c>
      <c r="L855" s="1" t="s">
        <v>619</v>
      </c>
    </row>
    <row r="856" spans="1:13">
      <c r="A856" s="21" t="str">
        <f>TEXT(TEXT(B856,"yyyymmdd"),"00000000")&amp;TEXT(COUNTIF($B$2:B856,B856),"00")</f>
        <v>2023091202</v>
      </c>
      <c r="B856" s="21">
        <f t="shared" si="13"/>
        <v>45181</v>
      </c>
      <c r="C856" s="22">
        <v>2023</v>
      </c>
      <c r="D856" s="23">
        <v>9</v>
      </c>
      <c r="E856" s="24">
        <v>12</v>
      </c>
      <c r="F856" s="42" t="s">
        <v>17</v>
      </c>
      <c r="G856" s="42" t="s">
        <v>13</v>
      </c>
      <c r="H856" s="42" t="s">
        <v>138</v>
      </c>
      <c r="I856" s="42" t="s">
        <v>139</v>
      </c>
      <c r="J856" s="10">
        <v>8000</v>
      </c>
      <c r="K856" s="7">
        <v>-8000</v>
      </c>
      <c r="L856" s="1" t="s">
        <v>700</v>
      </c>
    </row>
    <row r="857" spans="1:13">
      <c r="A857" s="21" t="str">
        <f>TEXT(TEXT(B857,"yyyymmdd"),"00000000")&amp;TEXT(COUNTIF($B$2:B857,B857),"00")</f>
        <v>2023091301</v>
      </c>
      <c r="B857" s="21">
        <f t="shared" si="13"/>
        <v>45182</v>
      </c>
      <c r="C857" s="22">
        <v>2023</v>
      </c>
      <c r="D857" s="23">
        <v>9</v>
      </c>
      <c r="E857" s="24">
        <v>13</v>
      </c>
      <c r="F857" s="42" t="s">
        <v>17</v>
      </c>
      <c r="G857" s="42" t="s">
        <v>7</v>
      </c>
      <c r="H857" s="42" t="s">
        <v>110</v>
      </c>
      <c r="I857" s="42" t="s">
        <v>124</v>
      </c>
      <c r="J857" s="10">
        <v>6750</v>
      </c>
      <c r="K857" s="7">
        <v>-6750</v>
      </c>
      <c r="L857" s="1" t="s">
        <v>770</v>
      </c>
    </row>
    <row r="858" spans="1:13">
      <c r="A858" s="21" t="str">
        <f>TEXT(TEXT(B858,"yyyymmdd"),"00000000")&amp;TEXT(COUNTIF($B$2:B858,B858),"00")</f>
        <v>2023091302</v>
      </c>
      <c r="B858" s="21">
        <f t="shared" si="13"/>
        <v>45182</v>
      </c>
      <c r="C858" s="22">
        <v>2023</v>
      </c>
      <c r="D858" s="23">
        <v>9</v>
      </c>
      <c r="E858" s="24">
        <v>13</v>
      </c>
      <c r="F858" s="42" t="s">
        <v>17</v>
      </c>
      <c r="G858" s="42" t="s">
        <v>13</v>
      </c>
      <c r="H858" s="42" t="s">
        <v>110</v>
      </c>
      <c r="I858" s="42" t="s">
        <v>122</v>
      </c>
      <c r="J858" s="10">
        <v>4600</v>
      </c>
      <c r="K858" s="7">
        <v>-4600</v>
      </c>
      <c r="L858" s="1" t="s">
        <v>619</v>
      </c>
    </row>
    <row r="859" spans="1:13">
      <c r="A859" s="21" t="str">
        <f>TEXT(TEXT(B859,"yyyymmdd"),"00000000")&amp;TEXT(COUNTIF($B$2:B859,B859),"00")</f>
        <v>2023091303</v>
      </c>
      <c r="B859" s="21">
        <f t="shared" si="13"/>
        <v>45182</v>
      </c>
      <c r="C859" s="22">
        <v>2023</v>
      </c>
      <c r="D859" s="23">
        <v>9</v>
      </c>
      <c r="E859" s="24">
        <v>13</v>
      </c>
      <c r="F859" s="42" t="s">
        <v>17</v>
      </c>
      <c r="G859" s="42" t="s">
        <v>7</v>
      </c>
      <c r="H859" s="42" t="s">
        <v>138</v>
      </c>
      <c r="I859" s="42" t="s">
        <v>139</v>
      </c>
      <c r="J859" s="10">
        <v>9000</v>
      </c>
      <c r="K859" s="7">
        <v>-9000</v>
      </c>
      <c r="L859" s="1" t="s">
        <v>851</v>
      </c>
    </row>
    <row r="860" spans="1:13">
      <c r="A860" s="21" t="str">
        <f>TEXT(TEXT(B860,"yyyymmdd"),"00000000")&amp;TEXT(COUNTIF($B$2:B860,B860),"00")</f>
        <v>2023091401</v>
      </c>
      <c r="B860" s="21">
        <f t="shared" si="13"/>
        <v>45183</v>
      </c>
      <c r="C860" s="22">
        <v>2023</v>
      </c>
      <c r="D860" s="23">
        <v>9</v>
      </c>
      <c r="E860" s="24">
        <v>14</v>
      </c>
      <c r="F860" s="42" t="s">
        <v>17</v>
      </c>
      <c r="G860" s="42" t="s">
        <v>13</v>
      </c>
      <c r="H860" s="42" t="s">
        <v>138</v>
      </c>
      <c r="I860" s="42" t="s">
        <v>139</v>
      </c>
      <c r="J860" s="10">
        <v>7000</v>
      </c>
      <c r="K860" s="7">
        <v>-7000</v>
      </c>
      <c r="L860" s="1" t="s">
        <v>679</v>
      </c>
    </row>
    <row r="861" spans="1:13">
      <c r="A861" s="21" t="str">
        <f>TEXT(TEXT(B861,"yyyymmdd"),"00000000")&amp;TEXT(COUNTIF($B$2:B861,B861),"00")</f>
        <v>2023091402</v>
      </c>
      <c r="B861" s="21">
        <f t="shared" si="13"/>
        <v>45183</v>
      </c>
      <c r="C861" s="22">
        <v>2023</v>
      </c>
      <c r="D861" s="23">
        <v>9</v>
      </c>
      <c r="E861" s="24">
        <v>14</v>
      </c>
      <c r="F861" s="42" t="s">
        <v>17</v>
      </c>
      <c r="G861" s="42" t="s">
        <v>13</v>
      </c>
      <c r="H861" s="42" t="s">
        <v>138</v>
      </c>
      <c r="I861" s="42" t="s">
        <v>139</v>
      </c>
      <c r="J861" s="10">
        <v>1000</v>
      </c>
      <c r="K861" s="7">
        <v>-1000</v>
      </c>
      <c r="L861" s="1" t="s">
        <v>619</v>
      </c>
    </row>
    <row r="862" spans="1:13">
      <c r="A862" s="21" t="str">
        <f>TEXT(TEXT(B862,"yyyymmdd"),"00000000")&amp;TEXT(COUNTIF($B$2:B862,B862),"00")</f>
        <v>2023091403</v>
      </c>
      <c r="B862" s="21">
        <f t="shared" si="13"/>
        <v>45183</v>
      </c>
      <c r="C862" s="22">
        <v>2023</v>
      </c>
      <c r="D862" s="23">
        <v>9</v>
      </c>
      <c r="E862" s="24">
        <v>14</v>
      </c>
      <c r="F862" s="42" t="s">
        <v>17</v>
      </c>
      <c r="G862" s="42" t="s">
        <v>7</v>
      </c>
      <c r="H862" s="42" t="s">
        <v>116</v>
      </c>
      <c r="I862" s="42" t="s">
        <v>217</v>
      </c>
      <c r="J862" s="10">
        <v>3000</v>
      </c>
      <c r="K862" s="7">
        <v>-3000</v>
      </c>
      <c r="L862" s="1" t="s">
        <v>836</v>
      </c>
    </row>
    <row r="863" spans="1:13">
      <c r="A863" s="21" t="str">
        <f>TEXT(TEXT(B863,"yyyymmdd"),"00000000")&amp;TEXT(COUNTIF($B$2:B863,B863),"00")</f>
        <v>2023091404</v>
      </c>
      <c r="B863" s="21">
        <f t="shared" si="13"/>
        <v>45183</v>
      </c>
      <c r="C863" s="22">
        <v>2023</v>
      </c>
      <c r="D863" s="23">
        <v>9</v>
      </c>
      <c r="E863" s="24">
        <v>14</v>
      </c>
      <c r="F863" s="42" t="s">
        <v>17</v>
      </c>
      <c r="G863" s="42" t="s">
        <v>13</v>
      </c>
      <c r="H863" s="42" t="s">
        <v>138</v>
      </c>
      <c r="I863" s="42" t="s">
        <v>139</v>
      </c>
      <c r="J863" s="10">
        <v>7500</v>
      </c>
      <c r="K863" s="7">
        <v>-7500</v>
      </c>
      <c r="L863" s="1" t="s">
        <v>680</v>
      </c>
    </row>
    <row r="864" spans="1:13">
      <c r="A864" s="21" t="str">
        <f>TEXT(TEXT(B864,"yyyymmdd"),"00000000")&amp;TEXT(COUNTIF($B$2:B864,B864),"00")</f>
        <v>2023091501</v>
      </c>
      <c r="B864" s="21">
        <f t="shared" si="13"/>
        <v>45184</v>
      </c>
      <c r="C864" s="22">
        <v>2023</v>
      </c>
      <c r="D864" s="23">
        <v>9</v>
      </c>
      <c r="E864" s="24">
        <v>15</v>
      </c>
      <c r="F864" s="42" t="s">
        <v>17</v>
      </c>
      <c r="G864" s="42" t="s">
        <v>13</v>
      </c>
      <c r="H864" s="42" t="s">
        <v>138</v>
      </c>
      <c r="I864" s="42" t="s">
        <v>139</v>
      </c>
      <c r="J864" s="10">
        <v>9000</v>
      </c>
      <c r="K864" s="7">
        <v>-9000</v>
      </c>
      <c r="L864" s="1" t="s">
        <v>852</v>
      </c>
    </row>
    <row r="865" spans="1:13">
      <c r="A865" s="21" t="str">
        <f>TEXT(TEXT(B865,"yyyymmdd"),"00000000")&amp;TEXT(COUNTIF($B$2:B865,B865),"00")</f>
        <v>2023091502</v>
      </c>
      <c r="B865" s="21">
        <f t="shared" si="13"/>
        <v>45184</v>
      </c>
      <c r="C865" s="22">
        <v>2023</v>
      </c>
      <c r="D865" s="23">
        <v>9</v>
      </c>
      <c r="E865" s="24">
        <v>15</v>
      </c>
      <c r="F865" s="42" t="s">
        <v>17</v>
      </c>
      <c r="G865" s="42" t="s">
        <v>13</v>
      </c>
      <c r="H865" s="42" t="s">
        <v>138</v>
      </c>
      <c r="I865" s="42" t="s">
        <v>139</v>
      </c>
      <c r="J865" s="10">
        <v>1000</v>
      </c>
      <c r="K865" s="7">
        <v>-1000</v>
      </c>
      <c r="L865" s="1" t="s">
        <v>619</v>
      </c>
    </row>
    <row r="866" spans="1:13">
      <c r="A866" s="21" t="str">
        <f>TEXT(TEXT(B866,"yyyymmdd"),"00000000")&amp;TEXT(COUNTIF($B$2:B866,B866),"00")</f>
        <v>2023091701</v>
      </c>
      <c r="B866" s="21">
        <f t="shared" si="13"/>
        <v>45186</v>
      </c>
      <c r="C866" s="22">
        <v>2023</v>
      </c>
      <c r="D866" s="23">
        <v>9</v>
      </c>
      <c r="E866" s="24">
        <v>17</v>
      </c>
      <c r="F866" s="42" t="s">
        <v>17</v>
      </c>
      <c r="G866" s="42" t="s">
        <v>7</v>
      </c>
      <c r="H866" s="42" t="s">
        <v>167</v>
      </c>
      <c r="I866" s="42" t="s">
        <v>168</v>
      </c>
      <c r="J866" s="10">
        <v>200</v>
      </c>
      <c r="K866" s="7">
        <v>-200</v>
      </c>
      <c r="L866" s="1" t="s">
        <v>845</v>
      </c>
    </row>
    <row r="867" spans="1:13">
      <c r="A867" s="21" t="str">
        <f>TEXT(TEXT(B867,"yyyymmdd"),"00000000")&amp;TEXT(COUNTIF($B$2:B867,B867),"00")</f>
        <v>2023091702</v>
      </c>
      <c r="B867" s="21">
        <f t="shared" si="13"/>
        <v>45186</v>
      </c>
      <c r="C867" s="22">
        <v>2023</v>
      </c>
      <c r="D867" s="23">
        <v>9</v>
      </c>
      <c r="E867" s="24">
        <v>17</v>
      </c>
      <c r="F867" s="42" t="s">
        <v>17</v>
      </c>
      <c r="G867" s="42" t="s">
        <v>7</v>
      </c>
      <c r="H867" s="42" t="s">
        <v>112</v>
      </c>
      <c r="I867" s="42" t="s">
        <v>342</v>
      </c>
      <c r="J867" s="10">
        <v>79610</v>
      </c>
      <c r="K867" s="7">
        <v>-79610</v>
      </c>
      <c r="L867" s="1" t="s">
        <v>479</v>
      </c>
    </row>
    <row r="868" spans="1:13">
      <c r="A868" s="21" t="str">
        <f>TEXT(TEXT(B868,"yyyymmdd"),"00000000")&amp;TEXT(COUNTIF($B$2:B868,B868),"00")</f>
        <v>2023091801</v>
      </c>
      <c r="B868" s="21">
        <f t="shared" si="13"/>
        <v>45187</v>
      </c>
      <c r="C868" s="22">
        <v>2023</v>
      </c>
      <c r="D868" s="23">
        <v>9</v>
      </c>
      <c r="E868" s="24">
        <v>18</v>
      </c>
      <c r="F868" s="42" t="s">
        <v>17</v>
      </c>
      <c r="G868" s="42" t="s">
        <v>13</v>
      </c>
      <c r="H868" s="42" t="s">
        <v>138</v>
      </c>
      <c r="I868" s="42" t="s">
        <v>139</v>
      </c>
      <c r="J868" s="10">
        <v>7000</v>
      </c>
      <c r="K868" s="7">
        <v>-7000</v>
      </c>
      <c r="L868" s="1" t="s">
        <v>634</v>
      </c>
    </row>
    <row r="869" spans="1:13">
      <c r="A869" s="21" t="str">
        <f>TEXT(TEXT(B869,"yyyymmdd"),"00000000")&amp;TEXT(COUNTIF($B$2:B869,B869),"00")</f>
        <v>2023091802</v>
      </c>
      <c r="B869" s="21">
        <f t="shared" si="13"/>
        <v>45187</v>
      </c>
      <c r="C869" s="22">
        <v>2023</v>
      </c>
      <c r="D869" s="23">
        <v>9</v>
      </c>
      <c r="E869" s="24">
        <v>18</v>
      </c>
      <c r="F869" s="42" t="s">
        <v>17</v>
      </c>
      <c r="G869" s="42" t="s">
        <v>13</v>
      </c>
      <c r="H869" s="42" t="s">
        <v>113</v>
      </c>
      <c r="I869" s="42" t="s">
        <v>171</v>
      </c>
      <c r="J869" s="10">
        <v>15000</v>
      </c>
      <c r="K869" s="7">
        <v>-15000</v>
      </c>
      <c r="L869" s="1" t="s">
        <v>502</v>
      </c>
    </row>
    <row r="870" spans="1:13">
      <c r="A870" s="21" t="str">
        <f>TEXT(TEXT(B870,"yyyymmdd"),"00000000")&amp;TEXT(COUNTIF($B$2:B870,B870),"00")</f>
        <v>2023091901</v>
      </c>
      <c r="B870" s="21">
        <f t="shared" si="13"/>
        <v>45188</v>
      </c>
      <c r="C870" s="22">
        <v>2023</v>
      </c>
      <c r="D870" s="23">
        <v>9</v>
      </c>
      <c r="E870" s="24">
        <v>19</v>
      </c>
      <c r="F870" s="42" t="s">
        <v>17</v>
      </c>
      <c r="G870" s="42" t="s">
        <v>13</v>
      </c>
      <c r="H870" s="42" t="s">
        <v>138</v>
      </c>
      <c r="I870" s="42" t="s">
        <v>139</v>
      </c>
      <c r="J870" s="10">
        <v>4600</v>
      </c>
      <c r="K870" s="7">
        <v>-4600</v>
      </c>
      <c r="L870" s="1" t="s">
        <v>300</v>
      </c>
    </row>
    <row r="871" spans="1:13">
      <c r="A871" s="21" t="str">
        <f>TEXT(TEXT(B871,"yyyymmdd"),"00000000")&amp;TEXT(COUNTIF($B$2:B871,B871),"00")</f>
        <v>2023091902</v>
      </c>
      <c r="B871" s="21">
        <f t="shared" si="13"/>
        <v>45188</v>
      </c>
      <c r="C871" s="22">
        <v>2023</v>
      </c>
      <c r="D871" s="23">
        <v>9</v>
      </c>
      <c r="E871" s="24">
        <v>19</v>
      </c>
      <c r="F871" s="42" t="s">
        <v>17</v>
      </c>
      <c r="G871" s="42" t="s">
        <v>7</v>
      </c>
      <c r="H871" s="42" t="s">
        <v>32</v>
      </c>
      <c r="I871" s="42" t="s">
        <v>854</v>
      </c>
      <c r="J871" s="10">
        <v>11300</v>
      </c>
      <c r="K871" s="7">
        <v>-11300</v>
      </c>
      <c r="L871" s="1" t="s">
        <v>855</v>
      </c>
      <c r="M871" s="2" t="s">
        <v>856</v>
      </c>
    </row>
    <row r="872" spans="1:13">
      <c r="A872" s="21" t="str">
        <f>TEXT(TEXT(B872,"yyyymmdd"),"00000000")&amp;TEXT(COUNTIF($B$2:B872,B872),"00")</f>
        <v>2023091903</v>
      </c>
      <c r="B872" s="21">
        <f t="shared" si="13"/>
        <v>45188</v>
      </c>
      <c r="C872" s="22">
        <v>2023</v>
      </c>
      <c r="D872" s="23">
        <v>9</v>
      </c>
      <c r="E872" s="24">
        <v>19</v>
      </c>
      <c r="F872" s="42" t="s">
        <v>17</v>
      </c>
      <c r="G872" s="42" t="s">
        <v>13</v>
      </c>
      <c r="H872" s="42" t="s">
        <v>138</v>
      </c>
      <c r="I872" s="42" t="s">
        <v>139</v>
      </c>
      <c r="J872" s="10">
        <v>6500</v>
      </c>
      <c r="K872" s="7">
        <v>-6500</v>
      </c>
      <c r="L872" s="1" t="s">
        <v>679</v>
      </c>
    </row>
    <row r="873" spans="1:13">
      <c r="A873" s="21" t="str">
        <f>TEXT(TEXT(B873,"yyyymmdd"),"00000000")&amp;TEXT(COUNTIF($B$2:B873,B873),"00")</f>
        <v>2023091904</v>
      </c>
      <c r="B873" s="21">
        <f t="shared" si="13"/>
        <v>45188</v>
      </c>
      <c r="C873" s="22">
        <v>2023</v>
      </c>
      <c r="D873" s="23">
        <v>9</v>
      </c>
      <c r="E873" s="24">
        <v>19</v>
      </c>
      <c r="F873" s="42" t="s">
        <v>17</v>
      </c>
      <c r="G873" s="42" t="s">
        <v>13</v>
      </c>
      <c r="H873" s="42" t="s">
        <v>138</v>
      </c>
      <c r="I873" s="42" t="s">
        <v>139</v>
      </c>
      <c r="J873" s="10">
        <v>1000</v>
      </c>
      <c r="K873" s="7">
        <v>-1000</v>
      </c>
      <c r="L873" s="1" t="s">
        <v>619</v>
      </c>
    </row>
    <row r="874" spans="1:13">
      <c r="A874" s="21" t="str">
        <f>TEXT(TEXT(B874,"yyyymmdd"),"00000000")&amp;TEXT(COUNTIF($B$2:B874,B874),"00")</f>
        <v>2023091905</v>
      </c>
      <c r="B874" s="21">
        <f t="shared" si="13"/>
        <v>45188</v>
      </c>
      <c r="C874" s="22">
        <v>2023</v>
      </c>
      <c r="D874" s="23">
        <v>9</v>
      </c>
      <c r="E874" s="24">
        <v>19</v>
      </c>
      <c r="F874" s="42" t="s">
        <v>17</v>
      </c>
      <c r="G874" s="42" t="s">
        <v>135</v>
      </c>
      <c r="H874" s="42" t="s">
        <v>135</v>
      </c>
      <c r="I874" s="42" t="s">
        <v>190</v>
      </c>
      <c r="J874" s="10">
        <v>-100000</v>
      </c>
      <c r="K874" s="7">
        <v>100000</v>
      </c>
      <c r="L874" s="1" t="s">
        <v>853</v>
      </c>
    </row>
    <row r="875" spans="1:13">
      <c r="A875" s="21" t="str">
        <f>TEXT(TEXT(B875,"yyyymmdd"),"00000000")&amp;TEXT(COUNTIF($B$2:B875,B875),"00")</f>
        <v>2023092001</v>
      </c>
      <c r="B875" s="21">
        <f t="shared" si="13"/>
        <v>45189</v>
      </c>
      <c r="C875" s="22">
        <v>2023</v>
      </c>
      <c r="D875" s="23">
        <v>9</v>
      </c>
      <c r="E875" s="24">
        <v>20</v>
      </c>
      <c r="F875" s="42" t="s">
        <v>17</v>
      </c>
      <c r="G875" s="42" t="s">
        <v>13</v>
      </c>
      <c r="H875" s="42" t="s">
        <v>138</v>
      </c>
      <c r="I875" s="42" t="s">
        <v>139</v>
      </c>
      <c r="J875" s="10">
        <v>6000</v>
      </c>
      <c r="K875" s="7">
        <v>-6000</v>
      </c>
      <c r="L875" s="1" t="s">
        <v>675</v>
      </c>
    </row>
    <row r="876" spans="1:13">
      <c r="A876" s="21" t="str">
        <f>TEXT(TEXT(B876,"yyyymmdd"),"00000000")&amp;TEXT(COUNTIF($B$2:B876,B876),"00")</f>
        <v>2023092002</v>
      </c>
      <c r="B876" s="21">
        <f t="shared" si="13"/>
        <v>45189</v>
      </c>
      <c r="C876" s="22">
        <v>2023</v>
      </c>
      <c r="D876" s="23">
        <v>9</v>
      </c>
      <c r="E876" s="24">
        <v>20</v>
      </c>
      <c r="F876" s="42" t="s">
        <v>17</v>
      </c>
      <c r="G876" s="42" t="s">
        <v>7</v>
      </c>
      <c r="H876" s="42" t="s">
        <v>117</v>
      </c>
      <c r="I876" s="42" t="s">
        <v>453</v>
      </c>
      <c r="J876" s="10">
        <v>15500</v>
      </c>
      <c r="K876" s="7">
        <v>-15500</v>
      </c>
      <c r="L876" s="1" t="s">
        <v>754</v>
      </c>
      <c r="M876" s="2" t="s">
        <v>888</v>
      </c>
    </row>
    <row r="877" spans="1:13">
      <c r="A877" s="21" t="str">
        <f>TEXT(TEXT(B877,"yyyymmdd"),"00000000")&amp;TEXT(COUNTIF($B$2:B877,B877),"00")</f>
        <v>2023092003</v>
      </c>
      <c r="B877" s="21">
        <f t="shared" si="13"/>
        <v>45189</v>
      </c>
      <c r="C877" s="22">
        <v>2023</v>
      </c>
      <c r="D877" s="23">
        <v>9</v>
      </c>
      <c r="E877" s="24">
        <v>20</v>
      </c>
      <c r="F877" s="42" t="s">
        <v>17</v>
      </c>
      <c r="G877" s="42" t="s">
        <v>7</v>
      </c>
      <c r="H877" s="42" t="s">
        <v>110</v>
      </c>
      <c r="I877" s="42" t="s">
        <v>122</v>
      </c>
      <c r="J877" s="10">
        <v>2000</v>
      </c>
      <c r="K877" s="7">
        <v>-2000</v>
      </c>
      <c r="L877" s="1" t="s">
        <v>859</v>
      </c>
    </row>
    <row r="878" spans="1:13">
      <c r="A878" s="21" t="str">
        <f>TEXT(TEXT(B878,"yyyymmdd"),"00000000")&amp;TEXT(COUNTIF($B$2:B878,B878),"00")</f>
        <v>2023092004</v>
      </c>
      <c r="B878" s="21">
        <f t="shared" si="13"/>
        <v>45189</v>
      </c>
      <c r="C878" s="22">
        <v>2023</v>
      </c>
      <c r="D878" s="23">
        <v>9</v>
      </c>
      <c r="E878" s="24">
        <v>20</v>
      </c>
      <c r="F878" s="42" t="s">
        <v>17</v>
      </c>
      <c r="G878" s="42" t="s">
        <v>13</v>
      </c>
      <c r="H878" s="42" t="s">
        <v>138</v>
      </c>
      <c r="I878" s="42" t="s">
        <v>139</v>
      </c>
      <c r="J878" s="10">
        <v>11500</v>
      </c>
      <c r="K878" s="7">
        <v>-11500</v>
      </c>
      <c r="L878" s="1" t="s">
        <v>858</v>
      </c>
    </row>
    <row r="879" spans="1:13">
      <c r="A879" s="21" t="str">
        <f>TEXT(TEXT(B879,"yyyymmdd"),"00000000")&amp;TEXT(COUNTIF($B$2:B879,B879),"00")</f>
        <v>2023092005</v>
      </c>
      <c r="B879" s="21">
        <f t="shared" si="13"/>
        <v>45189</v>
      </c>
      <c r="C879" s="22">
        <v>2023</v>
      </c>
      <c r="D879" s="23">
        <v>9</v>
      </c>
      <c r="E879" s="24">
        <v>20</v>
      </c>
      <c r="F879" s="42" t="s">
        <v>17</v>
      </c>
      <c r="G879" s="42" t="s">
        <v>7</v>
      </c>
      <c r="H879" s="42" t="s">
        <v>110</v>
      </c>
      <c r="I879" s="42" t="s">
        <v>122</v>
      </c>
      <c r="J879" s="10">
        <v>3000</v>
      </c>
      <c r="K879" s="7">
        <v>-3000</v>
      </c>
      <c r="L879" s="1" t="s">
        <v>860</v>
      </c>
    </row>
    <row r="880" spans="1:13">
      <c r="A880" s="21" t="str">
        <f>TEXT(TEXT(B880,"yyyymmdd"),"00000000")&amp;TEXT(COUNTIF($B$2:B880,B880),"00")</f>
        <v>2023092006</v>
      </c>
      <c r="B880" s="21">
        <f t="shared" si="13"/>
        <v>45189</v>
      </c>
      <c r="C880" s="22">
        <v>2023</v>
      </c>
      <c r="D880" s="23">
        <v>9</v>
      </c>
      <c r="E880" s="24">
        <v>20</v>
      </c>
      <c r="F880" s="42" t="s">
        <v>17</v>
      </c>
      <c r="G880" s="42" t="s">
        <v>7</v>
      </c>
      <c r="H880" s="42" t="s">
        <v>118</v>
      </c>
      <c r="I880" s="42" t="s">
        <v>644</v>
      </c>
      <c r="J880" s="10">
        <v>3175</v>
      </c>
      <c r="K880" s="7">
        <v>-3175</v>
      </c>
      <c r="L880" s="1" t="s">
        <v>857</v>
      </c>
    </row>
    <row r="881" spans="1:12">
      <c r="A881" s="21" t="str">
        <f>TEXT(TEXT(B881,"yyyymmdd"),"00000000")&amp;TEXT(COUNTIF($B$2:B881,B881),"00")</f>
        <v>2023092101</v>
      </c>
      <c r="B881" s="21">
        <f t="shared" si="13"/>
        <v>45190</v>
      </c>
      <c r="C881" s="22">
        <v>2023</v>
      </c>
      <c r="D881" s="23">
        <v>9</v>
      </c>
      <c r="E881" s="24">
        <v>21</v>
      </c>
      <c r="F881" s="42" t="s">
        <v>17</v>
      </c>
      <c r="G881" s="42" t="s">
        <v>13</v>
      </c>
      <c r="H881" s="42" t="s">
        <v>138</v>
      </c>
      <c r="I881" s="42" t="s">
        <v>139</v>
      </c>
      <c r="J881" s="10">
        <v>8600</v>
      </c>
      <c r="K881" s="7">
        <v>-8600</v>
      </c>
      <c r="L881" s="1" t="s">
        <v>861</v>
      </c>
    </row>
    <row r="882" spans="1:12">
      <c r="A882" s="21" t="str">
        <f>TEXT(TEXT(B882,"yyyymmdd"),"00000000")&amp;TEXT(COUNTIF($B$2:B882,B882),"00")</f>
        <v>2023092102</v>
      </c>
      <c r="B882" s="21">
        <f t="shared" si="13"/>
        <v>45190</v>
      </c>
      <c r="C882" s="22">
        <v>2023</v>
      </c>
      <c r="D882" s="23">
        <v>9</v>
      </c>
      <c r="E882" s="24">
        <v>21</v>
      </c>
      <c r="F882" s="42" t="s">
        <v>17</v>
      </c>
      <c r="G882" s="42" t="s">
        <v>13</v>
      </c>
      <c r="H882" s="42" t="s">
        <v>138</v>
      </c>
      <c r="I882" s="42" t="s">
        <v>139</v>
      </c>
      <c r="J882" s="10">
        <v>16875</v>
      </c>
      <c r="K882" s="7">
        <v>-16875</v>
      </c>
      <c r="L882" s="1" t="s">
        <v>862</v>
      </c>
    </row>
    <row r="883" spans="1:12">
      <c r="A883" s="21" t="str">
        <f>TEXT(TEXT(B883,"yyyymmdd"),"00000000")&amp;TEXT(COUNTIF($B$2:B883,B883),"00")</f>
        <v>2023092103</v>
      </c>
      <c r="B883" s="21">
        <f t="shared" si="13"/>
        <v>45190</v>
      </c>
      <c r="C883" s="22">
        <v>2023</v>
      </c>
      <c r="D883" s="23">
        <v>9</v>
      </c>
      <c r="E883" s="24">
        <v>21</v>
      </c>
      <c r="F883" s="42" t="s">
        <v>17</v>
      </c>
      <c r="G883" s="42" t="s">
        <v>7</v>
      </c>
      <c r="H883" s="42" t="s">
        <v>173</v>
      </c>
      <c r="I883" s="42" t="s">
        <v>174</v>
      </c>
      <c r="J883" s="10">
        <v>2420</v>
      </c>
      <c r="K883" s="7">
        <v>-2420</v>
      </c>
      <c r="L883" s="1" t="s">
        <v>863</v>
      </c>
    </row>
    <row r="884" spans="1:12">
      <c r="A884" s="21" t="str">
        <f>TEXT(TEXT(B884,"yyyymmdd"),"00000000")&amp;TEXT(COUNTIF($B$2:B884,B884),"00")</f>
        <v>2023092201</v>
      </c>
      <c r="B884" s="21">
        <f t="shared" si="13"/>
        <v>45191</v>
      </c>
      <c r="C884" s="22">
        <v>2023</v>
      </c>
      <c r="D884" s="23">
        <v>9</v>
      </c>
      <c r="E884" s="24">
        <v>22</v>
      </c>
      <c r="F884" s="42" t="s">
        <v>17</v>
      </c>
      <c r="G884" s="42" t="s">
        <v>7</v>
      </c>
      <c r="H884" s="42" t="s">
        <v>110</v>
      </c>
      <c r="I884" s="42" t="s">
        <v>124</v>
      </c>
      <c r="J884" s="10">
        <v>800</v>
      </c>
      <c r="K884" s="7">
        <v>-800</v>
      </c>
      <c r="L884" s="1" t="s">
        <v>865</v>
      </c>
    </row>
    <row r="885" spans="1:12">
      <c r="A885" s="21" t="str">
        <f>TEXT(TEXT(B885,"yyyymmdd"),"00000000")&amp;TEXT(COUNTIF($B$2:B885,B885),"00")</f>
        <v>2023092202</v>
      </c>
      <c r="B885" s="21">
        <f t="shared" si="13"/>
        <v>45191</v>
      </c>
      <c r="C885" s="22">
        <v>2023</v>
      </c>
      <c r="D885" s="23">
        <v>9</v>
      </c>
      <c r="E885" s="24">
        <v>22</v>
      </c>
      <c r="F885" s="42" t="s">
        <v>17</v>
      </c>
      <c r="G885" s="42" t="s">
        <v>13</v>
      </c>
      <c r="H885" s="42" t="s">
        <v>138</v>
      </c>
      <c r="I885" s="42" t="s">
        <v>139</v>
      </c>
      <c r="J885" s="10">
        <v>6200</v>
      </c>
      <c r="K885" s="7">
        <v>-6200</v>
      </c>
      <c r="L885" s="1" t="s">
        <v>661</v>
      </c>
    </row>
    <row r="886" spans="1:12">
      <c r="A886" s="21" t="str">
        <f>TEXT(TEXT(B886,"yyyymmdd"),"00000000")&amp;TEXT(COUNTIF($B$2:B886,B886),"00")</f>
        <v>2023092203</v>
      </c>
      <c r="B886" s="21">
        <f t="shared" si="13"/>
        <v>45191</v>
      </c>
      <c r="C886" s="22">
        <v>2023</v>
      </c>
      <c r="D886" s="23">
        <v>9</v>
      </c>
      <c r="E886" s="24">
        <v>22</v>
      </c>
      <c r="F886" s="42" t="s">
        <v>17</v>
      </c>
      <c r="G886" s="42" t="s">
        <v>7</v>
      </c>
      <c r="H886" s="42" t="s">
        <v>117</v>
      </c>
      <c r="I886" s="42" t="s">
        <v>453</v>
      </c>
      <c r="J886" s="10">
        <v>12500</v>
      </c>
      <c r="K886" s="7">
        <v>-12500</v>
      </c>
      <c r="L886" s="1" t="s">
        <v>754</v>
      </c>
    </row>
    <row r="887" spans="1:12">
      <c r="A887" s="21" t="str">
        <f>TEXT(TEXT(B887,"yyyymmdd"),"00000000")&amp;TEXT(COUNTIF($B$2:B887,B887),"00")</f>
        <v>2023092204</v>
      </c>
      <c r="B887" s="21">
        <f t="shared" si="13"/>
        <v>45191</v>
      </c>
      <c r="C887" s="22">
        <v>2023</v>
      </c>
      <c r="D887" s="23">
        <v>9</v>
      </c>
      <c r="E887" s="24">
        <v>22</v>
      </c>
      <c r="F887" s="42" t="s">
        <v>17</v>
      </c>
      <c r="G887" s="42" t="s">
        <v>13</v>
      </c>
      <c r="H887" s="42" t="s">
        <v>138</v>
      </c>
      <c r="I887" s="42" t="s">
        <v>139</v>
      </c>
      <c r="J887" s="10">
        <v>8000</v>
      </c>
      <c r="K887" s="7">
        <v>-8000</v>
      </c>
      <c r="L887" s="1" t="s">
        <v>864</v>
      </c>
    </row>
    <row r="888" spans="1:12">
      <c r="A888" s="21" t="str">
        <f>TEXT(TEXT(B888,"yyyymmdd"),"00000000")&amp;TEXT(COUNTIF($B$2:B888,B888),"00")</f>
        <v>2023092301</v>
      </c>
      <c r="B888" s="21">
        <f t="shared" si="13"/>
        <v>45192</v>
      </c>
      <c r="C888" s="22">
        <v>2023</v>
      </c>
      <c r="D888" s="23">
        <v>9</v>
      </c>
      <c r="E888" s="24">
        <v>23</v>
      </c>
      <c r="F888" s="42" t="s">
        <v>17</v>
      </c>
      <c r="G888" s="42" t="s">
        <v>11</v>
      </c>
      <c r="H888" s="42" t="s">
        <v>99</v>
      </c>
      <c r="I888" s="42" t="s">
        <v>94</v>
      </c>
      <c r="J888" s="10">
        <v>-100000</v>
      </c>
      <c r="K888" s="7">
        <v>100000</v>
      </c>
      <c r="L888" s="1" t="s">
        <v>433</v>
      </c>
    </row>
    <row r="889" spans="1:12">
      <c r="A889" s="21" t="str">
        <f>TEXT(TEXT(B889,"yyyymmdd"),"00000000")&amp;TEXT(COUNTIF($B$2:B889,B889),"00")</f>
        <v>2023092302</v>
      </c>
      <c r="B889" s="21">
        <f t="shared" si="13"/>
        <v>45192</v>
      </c>
      <c r="C889" s="22">
        <v>2023</v>
      </c>
      <c r="D889" s="23">
        <v>9</v>
      </c>
      <c r="E889" s="24">
        <v>23</v>
      </c>
      <c r="F889" s="42" t="s">
        <v>498</v>
      </c>
      <c r="G889" s="42" t="s">
        <v>11</v>
      </c>
      <c r="H889" s="42" t="s">
        <v>99</v>
      </c>
      <c r="I889" s="42" t="s">
        <v>94</v>
      </c>
      <c r="J889" s="10">
        <v>100000</v>
      </c>
      <c r="K889" s="7">
        <v>-100000</v>
      </c>
      <c r="L889" s="1" t="s">
        <v>294</v>
      </c>
    </row>
    <row r="890" spans="1:12">
      <c r="A890" s="21" t="str">
        <f>TEXT(TEXT(B890,"yyyymmdd"),"00000000")&amp;TEXT(COUNTIF($B$2:B890,B890),"00")</f>
        <v>2023092303</v>
      </c>
      <c r="B890" s="21">
        <f t="shared" si="13"/>
        <v>45192</v>
      </c>
      <c r="C890" s="22">
        <v>2023</v>
      </c>
      <c r="D890" s="23">
        <v>9</v>
      </c>
      <c r="E890" s="24">
        <v>23</v>
      </c>
      <c r="F890" s="42" t="s">
        <v>17</v>
      </c>
      <c r="G890" s="42" t="s">
        <v>7</v>
      </c>
      <c r="H890" s="42" t="s">
        <v>116</v>
      </c>
      <c r="I890" s="42" t="s">
        <v>225</v>
      </c>
      <c r="J890" s="10">
        <v>20150</v>
      </c>
      <c r="K890" s="7">
        <v>-20150</v>
      </c>
      <c r="L890" s="1" t="s">
        <v>583</v>
      </c>
    </row>
    <row r="891" spans="1:12">
      <c r="A891" s="21" t="str">
        <f>TEXT(TEXT(B891,"yyyymmdd"),"00000000")&amp;TEXT(COUNTIF($B$2:B891,B891),"00")</f>
        <v>2023092304</v>
      </c>
      <c r="B891" s="21">
        <f t="shared" si="13"/>
        <v>45192</v>
      </c>
      <c r="C891" s="22">
        <v>2023</v>
      </c>
      <c r="D891" s="23">
        <v>9</v>
      </c>
      <c r="E891" s="24">
        <v>23</v>
      </c>
      <c r="F891" s="42" t="s">
        <v>17</v>
      </c>
      <c r="G891" s="42" t="s">
        <v>7</v>
      </c>
      <c r="H891" s="42" t="s">
        <v>138</v>
      </c>
      <c r="I891" s="42" t="s">
        <v>139</v>
      </c>
      <c r="J891" s="10">
        <v>8900</v>
      </c>
      <c r="K891" s="7">
        <v>-8900</v>
      </c>
      <c r="L891" s="1" t="s">
        <v>867</v>
      </c>
    </row>
    <row r="892" spans="1:12">
      <c r="A892" s="21" t="str">
        <f>TEXT(TEXT(B892,"yyyymmdd"),"00000000")&amp;TEXT(COUNTIF($B$2:B892,B892),"00")</f>
        <v>2023092305</v>
      </c>
      <c r="B892" s="21">
        <f t="shared" si="13"/>
        <v>45192</v>
      </c>
      <c r="C892" s="22">
        <v>2023</v>
      </c>
      <c r="D892" s="23">
        <v>9</v>
      </c>
      <c r="E892" s="24">
        <v>23</v>
      </c>
      <c r="F892" s="42" t="s">
        <v>17</v>
      </c>
      <c r="G892" s="42" t="s">
        <v>7</v>
      </c>
      <c r="H892" s="42" t="s">
        <v>138</v>
      </c>
      <c r="I892" s="42" t="s">
        <v>139</v>
      </c>
      <c r="J892" s="10">
        <v>8900</v>
      </c>
      <c r="K892" s="7">
        <v>-8900</v>
      </c>
      <c r="L892" s="1" t="s">
        <v>285</v>
      </c>
    </row>
    <row r="893" spans="1:12">
      <c r="A893" s="21" t="str">
        <f>TEXT(TEXT(B893,"yyyymmdd"),"00000000")&amp;TEXT(COUNTIF($B$2:B893,B893),"00")</f>
        <v>2023092306</v>
      </c>
      <c r="B893" s="21">
        <f t="shared" si="13"/>
        <v>45192</v>
      </c>
      <c r="C893" s="22">
        <v>2023</v>
      </c>
      <c r="D893" s="23">
        <v>9</v>
      </c>
      <c r="E893" s="24">
        <v>23</v>
      </c>
      <c r="F893" s="42" t="s">
        <v>17</v>
      </c>
      <c r="G893" s="42" t="s">
        <v>7</v>
      </c>
      <c r="H893" s="42" t="s">
        <v>110</v>
      </c>
      <c r="I893" s="42" t="s">
        <v>122</v>
      </c>
      <c r="J893" s="10">
        <v>3000</v>
      </c>
      <c r="K893" s="7">
        <v>-3000</v>
      </c>
      <c r="L893" s="1" t="s">
        <v>866</v>
      </c>
    </row>
    <row r="894" spans="1:12">
      <c r="A894" s="21" t="str">
        <f>TEXT(TEXT(B894,"yyyymmdd"),"00000000")&amp;TEXT(COUNTIF($B$2:B894,B894),"00")</f>
        <v>2023092307</v>
      </c>
      <c r="B894" s="21">
        <f t="shared" si="13"/>
        <v>45192</v>
      </c>
      <c r="C894" s="22">
        <v>2023</v>
      </c>
      <c r="D894" s="23">
        <v>9</v>
      </c>
      <c r="E894" s="24">
        <v>23</v>
      </c>
      <c r="F894" s="42" t="s">
        <v>17</v>
      </c>
      <c r="G894" s="42" t="s">
        <v>7</v>
      </c>
      <c r="H894" s="42" t="s">
        <v>111</v>
      </c>
      <c r="I894" s="42" t="s">
        <v>334</v>
      </c>
      <c r="J894" s="10">
        <v>17250</v>
      </c>
      <c r="K894" s="7">
        <v>-17250</v>
      </c>
      <c r="L894" s="1" t="s">
        <v>868</v>
      </c>
    </row>
    <row r="895" spans="1:12">
      <c r="A895" s="21" t="str">
        <f>TEXT(TEXT(B895,"yyyymmdd"),"00000000")&amp;TEXT(COUNTIF($B$2:B895,B895),"00")</f>
        <v>2023092308</v>
      </c>
      <c r="B895" s="21">
        <f t="shared" si="13"/>
        <v>45192</v>
      </c>
      <c r="C895" s="22">
        <v>2023</v>
      </c>
      <c r="D895" s="23">
        <v>9</v>
      </c>
      <c r="E895" s="24">
        <v>23</v>
      </c>
      <c r="F895" s="42" t="s">
        <v>498</v>
      </c>
      <c r="G895" s="42" t="s">
        <v>11</v>
      </c>
      <c r="H895" s="42" t="s">
        <v>99</v>
      </c>
      <c r="I895" s="42" t="s">
        <v>11</v>
      </c>
      <c r="J895" s="10">
        <v>-72550</v>
      </c>
      <c r="K895" s="7">
        <v>72550</v>
      </c>
      <c r="L895" s="1" t="s">
        <v>877</v>
      </c>
    </row>
    <row r="896" spans="1:12">
      <c r="A896" s="21" t="str">
        <f>TEXT(TEXT(B896,"yyyymmdd"),"00000000")&amp;TEXT(COUNTIF($B$2:B896,B896),"00")</f>
        <v>2023092309</v>
      </c>
      <c r="B896" s="21">
        <f t="shared" si="13"/>
        <v>45192</v>
      </c>
      <c r="C896" s="22">
        <v>2023</v>
      </c>
      <c r="D896" s="23">
        <v>9</v>
      </c>
      <c r="E896" s="24">
        <v>23</v>
      </c>
      <c r="F896" s="42" t="s">
        <v>17</v>
      </c>
      <c r="G896" s="42" t="s">
        <v>7</v>
      </c>
      <c r="H896" s="42" t="s">
        <v>116</v>
      </c>
      <c r="I896" s="42" t="s">
        <v>212</v>
      </c>
      <c r="J896" s="10">
        <v>2000</v>
      </c>
      <c r="K896" s="7">
        <v>-2000</v>
      </c>
      <c r="L896" s="1" t="s">
        <v>869</v>
      </c>
    </row>
    <row r="897" spans="1:13">
      <c r="A897" s="21" t="str">
        <f>TEXT(TEXT(B897,"yyyymmdd"),"00000000")&amp;TEXT(COUNTIF($B$2:B897,B897),"00")</f>
        <v>2023092501</v>
      </c>
      <c r="B897" s="21">
        <f t="shared" si="13"/>
        <v>45194</v>
      </c>
      <c r="C897" s="22">
        <v>2023</v>
      </c>
      <c r="D897" s="23">
        <v>9</v>
      </c>
      <c r="E897" s="24">
        <v>25</v>
      </c>
      <c r="F897" s="42" t="s">
        <v>17</v>
      </c>
      <c r="G897" s="42" t="s">
        <v>13</v>
      </c>
      <c r="H897" s="42" t="s">
        <v>138</v>
      </c>
      <c r="I897" s="42" t="s">
        <v>139</v>
      </c>
      <c r="J897" s="10">
        <v>4500</v>
      </c>
      <c r="K897" s="7">
        <v>-4500</v>
      </c>
      <c r="L897" s="1" t="s">
        <v>675</v>
      </c>
    </row>
    <row r="898" spans="1:13">
      <c r="A898" s="21" t="str">
        <f>TEXT(TEXT(B898,"yyyymmdd"),"00000000")&amp;TEXT(COUNTIF($B$2:B898,B898),"00")</f>
        <v>2023092601</v>
      </c>
      <c r="B898" s="21">
        <f t="shared" ref="B898:B961" si="14">DATE(C898,D898,E898)</f>
        <v>45195</v>
      </c>
      <c r="C898" s="22">
        <v>2023</v>
      </c>
      <c r="D898" s="23">
        <v>9</v>
      </c>
      <c r="E898" s="24">
        <v>26</v>
      </c>
      <c r="F898" s="42" t="s">
        <v>17</v>
      </c>
      <c r="G898" s="42" t="s">
        <v>13</v>
      </c>
      <c r="H898" s="42" t="s">
        <v>138</v>
      </c>
      <c r="I898" s="42" t="s">
        <v>139</v>
      </c>
      <c r="J898" s="10">
        <v>5000</v>
      </c>
      <c r="K898" s="7">
        <v>-5000</v>
      </c>
      <c r="L898" s="1" t="s">
        <v>870</v>
      </c>
    </row>
    <row r="899" spans="1:13">
      <c r="A899" s="21" t="str">
        <f>TEXT(TEXT(B899,"yyyymmdd"),"00000000")&amp;TEXT(COUNTIF($B$2:B899,B899),"00")</f>
        <v>2023092602</v>
      </c>
      <c r="B899" s="21">
        <f t="shared" si="14"/>
        <v>45195</v>
      </c>
      <c r="C899" s="22">
        <v>2023</v>
      </c>
      <c r="D899" s="23">
        <v>9</v>
      </c>
      <c r="E899" s="24">
        <v>26</v>
      </c>
      <c r="F899" s="42" t="s">
        <v>17</v>
      </c>
      <c r="G899" s="42" t="s">
        <v>13</v>
      </c>
      <c r="H899" s="42" t="s">
        <v>138</v>
      </c>
      <c r="I899" s="42" t="s">
        <v>139</v>
      </c>
      <c r="J899" s="10">
        <v>1000</v>
      </c>
      <c r="K899" s="7">
        <v>-1000</v>
      </c>
      <c r="L899" s="1" t="s">
        <v>619</v>
      </c>
    </row>
    <row r="900" spans="1:13">
      <c r="A900" s="21" t="str">
        <f>TEXT(TEXT(B900,"yyyymmdd"),"00000000")&amp;TEXT(COUNTIF($B$2:B900,B900),"00")</f>
        <v>2023092603</v>
      </c>
      <c r="B900" s="21">
        <f t="shared" si="14"/>
        <v>45195</v>
      </c>
      <c r="C900" s="22">
        <v>2023</v>
      </c>
      <c r="D900" s="23">
        <v>9</v>
      </c>
      <c r="E900" s="24">
        <v>26</v>
      </c>
      <c r="F900" s="42" t="s">
        <v>17</v>
      </c>
      <c r="G900" s="42" t="s">
        <v>7</v>
      </c>
      <c r="H900" s="42" t="s">
        <v>110</v>
      </c>
      <c r="I900" s="42" t="s">
        <v>120</v>
      </c>
      <c r="J900" s="10">
        <v>3400</v>
      </c>
      <c r="K900" s="7">
        <v>-3400</v>
      </c>
      <c r="L900" s="1" t="s">
        <v>871</v>
      </c>
    </row>
    <row r="901" spans="1:13">
      <c r="A901" s="21" t="str">
        <f>TEXT(TEXT(B901,"yyyymmdd"),"00000000")&amp;TEXT(COUNTIF($B$2:B901,B901),"00")</f>
        <v>2023092701</v>
      </c>
      <c r="B901" s="21">
        <f t="shared" si="14"/>
        <v>45196</v>
      </c>
      <c r="C901" s="22">
        <v>2023</v>
      </c>
      <c r="D901" s="23">
        <v>9</v>
      </c>
      <c r="E901" s="24">
        <v>27</v>
      </c>
      <c r="F901" s="42" t="s">
        <v>17</v>
      </c>
      <c r="G901" s="42" t="s">
        <v>7</v>
      </c>
      <c r="H901" s="42" t="s">
        <v>110</v>
      </c>
      <c r="I901" s="42" t="s">
        <v>124</v>
      </c>
      <c r="J901" s="10">
        <v>1800</v>
      </c>
      <c r="K901" s="7">
        <v>-1800</v>
      </c>
      <c r="L901" s="1" t="s">
        <v>865</v>
      </c>
    </row>
    <row r="902" spans="1:13">
      <c r="A902" s="21" t="str">
        <f>TEXT(TEXT(B902,"yyyymmdd"),"00000000")&amp;TEXT(COUNTIF($B$2:B902,B902),"00")</f>
        <v>2023092702</v>
      </c>
      <c r="B902" s="21">
        <f t="shared" si="14"/>
        <v>45196</v>
      </c>
      <c r="C902" s="22">
        <v>2023</v>
      </c>
      <c r="D902" s="23">
        <v>9</v>
      </c>
      <c r="E902" s="24">
        <v>27</v>
      </c>
      <c r="F902" s="42" t="s">
        <v>17</v>
      </c>
      <c r="G902" s="42" t="s">
        <v>13</v>
      </c>
      <c r="H902" s="42" t="s">
        <v>138</v>
      </c>
      <c r="I902" s="42" t="s">
        <v>139</v>
      </c>
      <c r="J902" s="10">
        <v>3900</v>
      </c>
      <c r="K902" s="7">
        <v>-3900</v>
      </c>
      <c r="L902" s="1" t="s">
        <v>741</v>
      </c>
    </row>
    <row r="903" spans="1:13">
      <c r="A903" s="21" t="str">
        <f>TEXT(TEXT(B903,"yyyymmdd"),"00000000")&amp;TEXT(COUNTIF($B$2:B903,B903),"00")</f>
        <v>2023092703</v>
      </c>
      <c r="B903" s="21">
        <f t="shared" si="14"/>
        <v>45196</v>
      </c>
      <c r="C903" s="22">
        <v>2023</v>
      </c>
      <c r="D903" s="23">
        <v>9</v>
      </c>
      <c r="E903" s="24">
        <v>27</v>
      </c>
      <c r="F903" s="42" t="s">
        <v>17</v>
      </c>
      <c r="G903" s="42" t="s">
        <v>13</v>
      </c>
      <c r="H903" s="42" t="s">
        <v>138</v>
      </c>
      <c r="I903" s="42" t="s">
        <v>139</v>
      </c>
      <c r="J903" s="10">
        <v>6000</v>
      </c>
      <c r="K903" s="7">
        <v>-6000</v>
      </c>
      <c r="L903" s="1" t="s">
        <v>822</v>
      </c>
    </row>
    <row r="904" spans="1:13">
      <c r="A904" s="21" t="str">
        <f>TEXT(TEXT(B904,"yyyymmdd"),"00000000")&amp;TEXT(COUNTIF($B$2:B904,B904),"00")</f>
        <v>2023092801</v>
      </c>
      <c r="B904" s="21">
        <f t="shared" si="14"/>
        <v>45197</v>
      </c>
      <c r="C904" s="22">
        <v>2023</v>
      </c>
      <c r="D904" s="23">
        <v>9</v>
      </c>
      <c r="E904" s="24">
        <v>28</v>
      </c>
      <c r="F904" s="42" t="s">
        <v>498</v>
      </c>
      <c r="G904" s="42" t="s">
        <v>11</v>
      </c>
      <c r="H904" s="42" t="s">
        <v>99</v>
      </c>
      <c r="I904" s="42" t="s">
        <v>11</v>
      </c>
      <c r="J904" s="10">
        <v>-200000</v>
      </c>
      <c r="K904" s="7">
        <v>200000</v>
      </c>
      <c r="L904" s="1" t="s">
        <v>252</v>
      </c>
      <c r="M904" s="2" t="s">
        <v>872</v>
      </c>
    </row>
    <row r="905" spans="1:13">
      <c r="A905" s="21" t="str">
        <f>TEXT(TEXT(B905,"yyyymmdd"),"00000000")&amp;TEXT(COUNTIF($B$2:B905,B905),"00")</f>
        <v>2023092802</v>
      </c>
      <c r="B905" s="21">
        <f t="shared" si="14"/>
        <v>45197</v>
      </c>
      <c r="C905" s="22">
        <v>2023</v>
      </c>
      <c r="D905" s="23">
        <v>9</v>
      </c>
      <c r="E905" s="24">
        <v>28</v>
      </c>
      <c r="F905" s="42" t="s">
        <v>498</v>
      </c>
      <c r="G905" s="42" t="s">
        <v>7</v>
      </c>
      <c r="H905" s="42" t="s">
        <v>167</v>
      </c>
      <c r="I905" s="42" t="s">
        <v>545</v>
      </c>
      <c r="J905" s="10">
        <v>144350</v>
      </c>
      <c r="K905" s="7">
        <v>-144350</v>
      </c>
      <c r="L905" s="1" t="s">
        <v>873</v>
      </c>
      <c r="M905" s="2" t="s">
        <v>874</v>
      </c>
    </row>
    <row r="906" spans="1:13">
      <c r="A906" s="21" t="str">
        <f>TEXT(TEXT(B906,"yyyymmdd"),"00000000")&amp;TEXT(COUNTIF($B$2:B906,B906),"00")</f>
        <v>2023092901</v>
      </c>
      <c r="B906" s="21">
        <f t="shared" si="14"/>
        <v>45198</v>
      </c>
      <c r="C906" s="22">
        <v>2023</v>
      </c>
      <c r="D906" s="23">
        <v>9</v>
      </c>
      <c r="E906" s="24">
        <v>29</v>
      </c>
      <c r="F906" s="42" t="s">
        <v>17</v>
      </c>
      <c r="G906" s="42" t="s">
        <v>135</v>
      </c>
      <c r="H906" s="42" t="s">
        <v>135</v>
      </c>
      <c r="I906" s="42" t="s">
        <v>190</v>
      </c>
      <c r="J906" s="10">
        <v>-2500</v>
      </c>
      <c r="K906" s="7">
        <v>2500</v>
      </c>
      <c r="L906" s="1" t="s">
        <v>592</v>
      </c>
    </row>
    <row r="907" spans="1:13">
      <c r="A907" s="21" t="str">
        <f>TEXT(TEXT(B907,"yyyymmdd"),"00000000")&amp;TEXT(COUNTIF($B$2:B907,B907),"00")</f>
        <v>2023092902</v>
      </c>
      <c r="B907" s="21">
        <f t="shared" si="14"/>
        <v>45198</v>
      </c>
      <c r="C907" s="22">
        <v>2023</v>
      </c>
      <c r="D907" s="23">
        <v>9</v>
      </c>
      <c r="E907" s="24">
        <v>29</v>
      </c>
      <c r="F907" s="42" t="s">
        <v>17</v>
      </c>
      <c r="G907" s="42" t="s">
        <v>11</v>
      </c>
      <c r="H907" s="42" t="s">
        <v>99</v>
      </c>
      <c r="I907" s="42" t="s">
        <v>11</v>
      </c>
      <c r="J907" s="10">
        <v>-100</v>
      </c>
      <c r="K907" s="7">
        <v>100</v>
      </c>
      <c r="L907" s="1" t="s">
        <v>252</v>
      </c>
      <c r="M907" s="2" t="s">
        <v>875</v>
      </c>
    </row>
    <row r="908" spans="1:13">
      <c r="A908" s="21" t="str">
        <f>TEXT(TEXT(B908,"yyyymmdd"),"00000000")&amp;TEXT(COUNTIF($B$2:B908,B908),"00")</f>
        <v>2023093001</v>
      </c>
      <c r="B908" s="21">
        <f t="shared" si="14"/>
        <v>45199</v>
      </c>
      <c r="C908" s="22">
        <v>2023</v>
      </c>
      <c r="D908" s="23">
        <v>9</v>
      </c>
      <c r="E908" s="24">
        <v>30</v>
      </c>
      <c r="F908" s="42" t="s">
        <v>17</v>
      </c>
      <c r="G908" s="42" t="s">
        <v>170</v>
      </c>
      <c r="H908" s="42" t="s">
        <v>155</v>
      </c>
      <c r="I908" s="42" t="s">
        <v>156</v>
      </c>
      <c r="J908" s="10">
        <v>1528</v>
      </c>
      <c r="K908" s="7">
        <v>-1528</v>
      </c>
      <c r="L908" s="1" t="s">
        <v>303</v>
      </c>
    </row>
    <row r="909" spans="1:13">
      <c r="A909" s="21" t="str">
        <f>TEXT(TEXT(B909,"yyyymmdd"),"00000000")&amp;TEXT(COUNTIF($B$2:B909,B909),"00")</f>
        <v>2023100101</v>
      </c>
      <c r="B909" s="21">
        <f t="shared" si="14"/>
        <v>45200</v>
      </c>
      <c r="C909" s="22">
        <v>2023</v>
      </c>
      <c r="D909" s="23">
        <v>10</v>
      </c>
      <c r="E909" s="24">
        <v>1</v>
      </c>
      <c r="F909" s="42" t="s">
        <v>17</v>
      </c>
      <c r="G909" s="42" t="s">
        <v>151</v>
      </c>
      <c r="H909" s="42" t="s">
        <v>151</v>
      </c>
      <c r="I909" s="42" t="s">
        <v>152</v>
      </c>
      <c r="J909" s="10">
        <v>-500000</v>
      </c>
      <c r="K909" s="7">
        <v>500000</v>
      </c>
      <c r="L909" s="1" t="s">
        <v>252</v>
      </c>
      <c r="M909" s="2" t="s">
        <v>876</v>
      </c>
    </row>
    <row r="910" spans="1:13">
      <c r="A910" s="21" t="str">
        <f>TEXT(TEXT(B910,"yyyymmdd"),"00000000")&amp;TEXT(COUNTIF($B$2:B910,B910),"00")</f>
        <v>2023100201</v>
      </c>
      <c r="B910" s="21">
        <f t="shared" si="14"/>
        <v>45201</v>
      </c>
      <c r="C910" s="22">
        <v>2023</v>
      </c>
      <c r="D910" s="23">
        <v>10</v>
      </c>
      <c r="E910" s="24">
        <v>2</v>
      </c>
      <c r="F910" s="42" t="s">
        <v>17</v>
      </c>
      <c r="G910" s="42" t="s">
        <v>13</v>
      </c>
      <c r="H910" s="42" t="s">
        <v>138</v>
      </c>
      <c r="I910" s="42" t="s">
        <v>139</v>
      </c>
      <c r="J910" s="10">
        <v>6000</v>
      </c>
      <c r="K910" s="7">
        <v>-6000</v>
      </c>
      <c r="L910" s="1" t="s">
        <v>300</v>
      </c>
    </row>
    <row r="911" spans="1:13">
      <c r="A911" s="21" t="str">
        <f>TEXT(TEXT(B911,"yyyymmdd"),"00000000")&amp;TEXT(COUNTIF($B$2:B911,B911),"00")</f>
        <v>2023100202</v>
      </c>
      <c r="B911" s="21">
        <f t="shared" si="14"/>
        <v>45201</v>
      </c>
      <c r="C911" s="22">
        <v>2023</v>
      </c>
      <c r="D911" s="23">
        <v>10</v>
      </c>
      <c r="E911" s="24">
        <v>2</v>
      </c>
      <c r="F911" s="42" t="s">
        <v>498</v>
      </c>
      <c r="G911" s="42" t="s">
        <v>135</v>
      </c>
      <c r="H911" s="42" t="s">
        <v>135</v>
      </c>
      <c r="I911" s="42" t="s">
        <v>190</v>
      </c>
      <c r="J911" s="10">
        <v>-1950</v>
      </c>
      <c r="K911" s="7">
        <v>1950</v>
      </c>
      <c r="L911" s="1" t="s">
        <v>604</v>
      </c>
    </row>
    <row r="912" spans="1:13">
      <c r="A912" s="21" t="str">
        <f>TEXT(TEXT(B912,"yyyymmdd"),"00000000")&amp;TEXT(COUNTIF($B$2:B912,B912),"00")</f>
        <v>2023100203</v>
      </c>
      <c r="B912" s="21">
        <f t="shared" si="14"/>
        <v>45201</v>
      </c>
      <c r="C912" s="22">
        <v>2023</v>
      </c>
      <c r="D912" s="23">
        <v>10</v>
      </c>
      <c r="E912" s="24">
        <v>2</v>
      </c>
      <c r="F912" s="42" t="s">
        <v>17</v>
      </c>
      <c r="G912" s="42" t="s">
        <v>13</v>
      </c>
      <c r="H912" s="42" t="s">
        <v>138</v>
      </c>
      <c r="I912" s="42" t="s">
        <v>139</v>
      </c>
      <c r="J912" s="10">
        <v>7000</v>
      </c>
      <c r="K912" s="7">
        <v>-7000</v>
      </c>
      <c r="L912" s="1" t="s">
        <v>794</v>
      </c>
    </row>
    <row r="913" spans="1:13">
      <c r="A913" s="21" t="str">
        <f>TEXT(TEXT(B913,"yyyymmdd"),"00000000")&amp;TEXT(COUNTIF($B$2:B913,B913),"00")</f>
        <v>2023100301</v>
      </c>
      <c r="B913" s="21">
        <f t="shared" si="14"/>
        <v>45202</v>
      </c>
      <c r="C913" s="22">
        <v>2023</v>
      </c>
      <c r="D913" s="23">
        <v>10</v>
      </c>
      <c r="E913" s="24">
        <v>3</v>
      </c>
      <c r="F913" s="42" t="s">
        <v>17</v>
      </c>
      <c r="G913" s="42" t="s">
        <v>13</v>
      </c>
      <c r="H913" s="42" t="s">
        <v>138</v>
      </c>
      <c r="I913" s="42" t="s">
        <v>139</v>
      </c>
      <c r="J913" s="10">
        <v>12900</v>
      </c>
      <c r="K913" s="7">
        <v>-12900</v>
      </c>
      <c r="L913" s="1" t="s">
        <v>819</v>
      </c>
    </row>
    <row r="914" spans="1:13">
      <c r="A914" s="21" t="str">
        <f>TEXT(TEXT(B914,"yyyymmdd"),"00000000")&amp;TEXT(COUNTIF($B$2:B914,B914),"00")</f>
        <v>2023100302</v>
      </c>
      <c r="B914" s="21">
        <f t="shared" si="14"/>
        <v>45202</v>
      </c>
      <c r="C914" s="22">
        <v>2023</v>
      </c>
      <c r="D914" s="23">
        <v>10</v>
      </c>
      <c r="E914" s="24">
        <v>3</v>
      </c>
      <c r="F914" s="42" t="s">
        <v>17</v>
      </c>
      <c r="G914" s="42" t="s">
        <v>7</v>
      </c>
      <c r="H914" s="42" t="s">
        <v>110</v>
      </c>
      <c r="I914" s="42" t="s">
        <v>120</v>
      </c>
      <c r="J914" s="10">
        <v>1800</v>
      </c>
      <c r="K914" s="7">
        <v>-1800</v>
      </c>
      <c r="L914" s="1" t="s">
        <v>480</v>
      </c>
    </row>
    <row r="915" spans="1:13">
      <c r="A915" s="21" t="str">
        <f>TEXT(TEXT(B915,"yyyymmdd"),"00000000")&amp;TEXT(COUNTIF($B$2:B915,B915),"00")</f>
        <v>2023100303</v>
      </c>
      <c r="B915" s="21">
        <f t="shared" si="14"/>
        <v>45202</v>
      </c>
      <c r="C915" s="22">
        <v>2023</v>
      </c>
      <c r="D915" s="23">
        <v>10</v>
      </c>
      <c r="E915" s="24">
        <v>3</v>
      </c>
      <c r="F915" s="42" t="s">
        <v>17</v>
      </c>
      <c r="G915" s="42" t="s">
        <v>13</v>
      </c>
      <c r="H915" s="42" t="s">
        <v>138</v>
      </c>
      <c r="I915" s="42" t="s">
        <v>139</v>
      </c>
      <c r="J915" s="10">
        <v>5200</v>
      </c>
      <c r="K915" s="7">
        <v>-5200</v>
      </c>
      <c r="L915" s="1" t="s">
        <v>661</v>
      </c>
    </row>
    <row r="916" spans="1:13">
      <c r="A916" s="21" t="str">
        <f>TEXT(TEXT(B916,"yyyymmdd"),"00000000")&amp;TEXT(COUNTIF($B$2:B916,B916),"00")</f>
        <v>2023100401</v>
      </c>
      <c r="B916" s="21">
        <f t="shared" si="14"/>
        <v>45203</v>
      </c>
      <c r="C916" s="22">
        <v>2023</v>
      </c>
      <c r="D916" s="23">
        <v>10</v>
      </c>
      <c r="E916" s="24">
        <v>4</v>
      </c>
      <c r="F916" s="42" t="s">
        <v>17</v>
      </c>
      <c r="G916" s="42" t="s">
        <v>13</v>
      </c>
      <c r="H916" s="42" t="s">
        <v>138</v>
      </c>
      <c r="I916" s="42" t="s">
        <v>139</v>
      </c>
      <c r="J916" s="10">
        <v>3900</v>
      </c>
      <c r="K916" s="7">
        <v>-3900</v>
      </c>
      <c r="L916" s="1" t="s">
        <v>741</v>
      </c>
    </row>
    <row r="917" spans="1:13">
      <c r="A917" s="21" t="str">
        <f>TEXT(TEXT(B917,"yyyymmdd"),"00000000")&amp;TEXT(COUNTIF($B$2:B917,B917),"00")</f>
        <v>2023100402</v>
      </c>
      <c r="B917" s="21">
        <f t="shared" si="14"/>
        <v>45203</v>
      </c>
      <c r="C917" s="22">
        <v>2023</v>
      </c>
      <c r="D917" s="23">
        <v>10</v>
      </c>
      <c r="E917" s="24">
        <v>4</v>
      </c>
      <c r="F917" s="42" t="s">
        <v>17</v>
      </c>
      <c r="G917" s="42" t="s">
        <v>13</v>
      </c>
      <c r="H917" s="42" t="s">
        <v>138</v>
      </c>
      <c r="I917" s="42" t="s">
        <v>139</v>
      </c>
      <c r="J917" s="10">
        <v>7000</v>
      </c>
      <c r="K917" s="7">
        <v>-7000</v>
      </c>
      <c r="L917" s="1" t="s">
        <v>679</v>
      </c>
    </row>
    <row r="918" spans="1:13">
      <c r="A918" s="21" t="str">
        <f>TEXT(TEXT(B918,"yyyymmdd"),"00000000")&amp;TEXT(COUNTIF($B$2:B918,B918),"00")</f>
        <v>2023100501</v>
      </c>
      <c r="B918" s="21">
        <f t="shared" si="14"/>
        <v>45204</v>
      </c>
      <c r="C918" s="22">
        <v>2023</v>
      </c>
      <c r="D918" s="23">
        <v>10</v>
      </c>
      <c r="E918" s="24">
        <v>5</v>
      </c>
      <c r="F918" s="42" t="s">
        <v>17</v>
      </c>
      <c r="G918" s="42" t="s">
        <v>13</v>
      </c>
      <c r="H918" s="42" t="s">
        <v>138</v>
      </c>
      <c r="I918" s="42" t="s">
        <v>139</v>
      </c>
      <c r="J918" s="10">
        <v>7000</v>
      </c>
      <c r="K918" s="7">
        <v>-7000</v>
      </c>
      <c r="L918" s="1" t="s">
        <v>679</v>
      </c>
    </row>
    <row r="919" spans="1:13">
      <c r="A919" s="21" t="str">
        <f>TEXT(TEXT(B919,"yyyymmdd"),"00000000")&amp;TEXT(COUNTIF($B$2:B919,B919),"00")</f>
        <v>2023100502</v>
      </c>
      <c r="B919" s="21">
        <f t="shared" si="14"/>
        <v>45204</v>
      </c>
      <c r="C919" s="22">
        <v>2023</v>
      </c>
      <c r="D919" s="23">
        <v>10</v>
      </c>
      <c r="E919" s="24">
        <v>5</v>
      </c>
      <c r="F919" s="42" t="s">
        <v>17</v>
      </c>
      <c r="G919" s="42" t="s">
        <v>13</v>
      </c>
      <c r="H919" s="42" t="s">
        <v>138</v>
      </c>
      <c r="I919" s="42" t="s">
        <v>139</v>
      </c>
      <c r="J919" s="10">
        <v>1000</v>
      </c>
      <c r="K919" s="7">
        <v>-1000</v>
      </c>
      <c r="L919" s="1" t="s">
        <v>619</v>
      </c>
    </row>
    <row r="920" spans="1:13">
      <c r="A920" s="21" t="str">
        <f>TEXT(TEXT(B920,"yyyymmdd"),"00000000")&amp;TEXT(COUNTIF($B$2:B920,B920),"00")</f>
        <v>2023100503</v>
      </c>
      <c r="B920" s="21">
        <f t="shared" si="14"/>
        <v>45204</v>
      </c>
      <c r="C920" s="22">
        <v>2023</v>
      </c>
      <c r="D920" s="23">
        <v>10</v>
      </c>
      <c r="E920" s="24">
        <v>5</v>
      </c>
      <c r="F920" s="42" t="s">
        <v>17</v>
      </c>
      <c r="G920" s="42" t="s">
        <v>7</v>
      </c>
      <c r="H920" s="42" t="s">
        <v>119</v>
      </c>
      <c r="I920" s="42" t="s">
        <v>180</v>
      </c>
      <c r="J920" s="10">
        <v>4500</v>
      </c>
      <c r="K920" s="7">
        <v>-4500</v>
      </c>
      <c r="L920" s="1" t="s">
        <v>181</v>
      </c>
      <c r="M920" s="2" t="s">
        <v>881</v>
      </c>
    </row>
    <row r="921" spans="1:13">
      <c r="A921" s="21" t="str">
        <f>TEXT(TEXT(B921,"yyyymmdd"),"00000000")&amp;TEXT(COUNTIF($B$2:B921,B921),"00")</f>
        <v>2023100601</v>
      </c>
      <c r="B921" s="21">
        <f t="shared" si="14"/>
        <v>45205</v>
      </c>
      <c r="C921" s="22">
        <v>2023</v>
      </c>
      <c r="D921" s="23">
        <v>10</v>
      </c>
      <c r="E921" s="24">
        <v>6</v>
      </c>
      <c r="F921" s="42" t="s">
        <v>17</v>
      </c>
      <c r="G921" s="42" t="s">
        <v>7</v>
      </c>
      <c r="H921" s="42" t="s">
        <v>173</v>
      </c>
      <c r="I921" s="42" t="s">
        <v>207</v>
      </c>
      <c r="J921" s="10">
        <v>16520</v>
      </c>
      <c r="K921" s="7">
        <v>-16520</v>
      </c>
      <c r="L921" s="1" t="s">
        <v>208</v>
      </c>
    </row>
    <row r="922" spans="1:13">
      <c r="A922" s="21" t="str">
        <f>TEXT(TEXT(B922,"yyyymmdd"),"00000000")&amp;TEXT(COUNTIF($B$2:B922,B922),"00")</f>
        <v>2023100602</v>
      </c>
      <c r="B922" s="21">
        <f t="shared" si="14"/>
        <v>45205</v>
      </c>
      <c r="C922" s="22">
        <v>2023</v>
      </c>
      <c r="D922" s="23">
        <v>10</v>
      </c>
      <c r="E922" s="24">
        <v>6</v>
      </c>
      <c r="F922" s="42" t="s">
        <v>17</v>
      </c>
      <c r="G922" s="42" t="s">
        <v>7</v>
      </c>
      <c r="H922" s="42" t="s">
        <v>138</v>
      </c>
      <c r="I922" s="42" t="s">
        <v>139</v>
      </c>
      <c r="J922" s="10">
        <v>39966</v>
      </c>
      <c r="K922" s="7">
        <v>-39966</v>
      </c>
      <c r="L922" s="1" t="s">
        <v>884</v>
      </c>
      <c r="M922" s="2" t="s">
        <v>885</v>
      </c>
    </row>
    <row r="923" spans="1:13">
      <c r="A923" s="21" t="str">
        <f>TEXT(TEXT(B923,"yyyymmdd"),"00000000")&amp;TEXT(COUNTIF($B$2:B923,B923),"00")</f>
        <v>2023100603</v>
      </c>
      <c r="B923" s="21">
        <f t="shared" si="14"/>
        <v>45205</v>
      </c>
      <c r="C923" s="22">
        <v>2023</v>
      </c>
      <c r="D923" s="23">
        <v>10</v>
      </c>
      <c r="E923" s="24">
        <v>6</v>
      </c>
      <c r="F923" s="42" t="s">
        <v>17</v>
      </c>
      <c r="G923" s="42" t="s">
        <v>13</v>
      </c>
      <c r="H923" s="42" t="s">
        <v>138</v>
      </c>
      <c r="I923" s="42" t="s">
        <v>139</v>
      </c>
      <c r="J923" s="10">
        <v>7500</v>
      </c>
      <c r="K923" s="7">
        <v>-7500</v>
      </c>
      <c r="L923" s="1" t="s">
        <v>677</v>
      </c>
    </row>
    <row r="924" spans="1:13">
      <c r="A924" s="21" t="str">
        <f>TEXT(TEXT(B924,"yyyymmdd"),"00000000")&amp;TEXT(COUNTIF($B$2:B924,B924),"00")</f>
        <v>2023100604</v>
      </c>
      <c r="B924" s="21">
        <f t="shared" si="14"/>
        <v>45205</v>
      </c>
      <c r="C924" s="22">
        <v>2023</v>
      </c>
      <c r="D924" s="23">
        <v>10</v>
      </c>
      <c r="E924" s="24">
        <v>6</v>
      </c>
      <c r="F924" s="42" t="s">
        <v>17</v>
      </c>
      <c r="G924" s="42" t="s">
        <v>7</v>
      </c>
      <c r="H924" s="42" t="s">
        <v>167</v>
      </c>
      <c r="I924" s="42" t="s">
        <v>168</v>
      </c>
      <c r="J924" s="10">
        <v>1500</v>
      </c>
      <c r="K924" s="7">
        <v>-1500</v>
      </c>
      <c r="L924" s="1" t="s">
        <v>619</v>
      </c>
      <c r="M924" s="2" t="s">
        <v>882</v>
      </c>
    </row>
    <row r="925" spans="1:13">
      <c r="A925" s="21" t="str">
        <f>TEXT(TEXT(B925,"yyyymmdd"),"00000000")&amp;TEXT(COUNTIF($B$2:B925,B925),"00")</f>
        <v>2023100605</v>
      </c>
      <c r="B925" s="21">
        <f t="shared" si="14"/>
        <v>45205</v>
      </c>
      <c r="C925" s="22">
        <v>2023</v>
      </c>
      <c r="D925" s="23">
        <v>10</v>
      </c>
      <c r="E925" s="24">
        <v>6</v>
      </c>
      <c r="F925" s="42" t="s">
        <v>17</v>
      </c>
      <c r="G925" s="42" t="s">
        <v>7</v>
      </c>
      <c r="H925" s="42" t="s">
        <v>110</v>
      </c>
      <c r="I925" s="42" t="s">
        <v>120</v>
      </c>
      <c r="J925" s="10">
        <v>1500</v>
      </c>
      <c r="K925" s="7">
        <v>-1500</v>
      </c>
      <c r="L925" s="1" t="s">
        <v>480</v>
      </c>
    </row>
    <row r="926" spans="1:13">
      <c r="A926" s="21" t="str">
        <f>TEXT(TEXT(B926,"yyyymmdd"),"00000000")&amp;TEXT(COUNTIF($B$2:B926,B926),"00")</f>
        <v>2023100606</v>
      </c>
      <c r="B926" s="21">
        <f t="shared" si="14"/>
        <v>45205</v>
      </c>
      <c r="C926" s="22">
        <v>2023</v>
      </c>
      <c r="D926" s="23">
        <v>10</v>
      </c>
      <c r="E926" s="24">
        <v>6</v>
      </c>
      <c r="F926" s="42" t="s">
        <v>17</v>
      </c>
      <c r="G926" s="42" t="s">
        <v>7</v>
      </c>
      <c r="H926" s="42" t="s">
        <v>116</v>
      </c>
      <c r="I926" s="42" t="s">
        <v>217</v>
      </c>
      <c r="J926" s="10">
        <v>3000</v>
      </c>
      <c r="K926" s="7">
        <v>-3000</v>
      </c>
      <c r="L926" s="1" t="s">
        <v>883</v>
      </c>
    </row>
    <row r="927" spans="1:13">
      <c r="A927" s="21" t="str">
        <f>TEXT(TEXT(B927,"yyyymmdd"),"00000000")&amp;TEXT(COUNTIF($B$2:B927,B927),"00")</f>
        <v>2023100701</v>
      </c>
      <c r="B927" s="21">
        <f t="shared" si="14"/>
        <v>45206</v>
      </c>
      <c r="C927" s="22">
        <v>2023</v>
      </c>
      <c r="D927" s="23">
        <v>10</v>
      </c>
      <c r="E927" s="24">
        <v>7</v>
      </c>
      <c r="F927" s="42" t="s">
        <v>17</v>
      </c>
      <c r="G927" s="42" t="s">
        <v>7</v>
      </c>
      <c r="H927" s="42" t="s">
        <v>32</v>
      </c>
      <c r="I927" s="42" t="s">
        <v>533</v>
      </c>
      <c r="J927" s="10">
        <v>32000</v>
      </c>
      <c r="K927" s="7">
        <v>-32000</v>
      </c>
      <c r="L927" s="1" t="s">
        <v>886</v>
      </c>
    </row>
    <row r="928" spans="1:13">
      <c r="A928" s="21" t="str">
        <f>TEXT(TEXT(B928,"yyyymmdd"),"00000000")&amp;TEXT(COUNTIF($B$2:B928,B928),"00")</f>
        <v>2023100702</v>
      </c>
      <c r="B928" s="21">
        <f t="shared" si="14"/>
        <v>45206</v>
      </c>
      <c r="C928" s="22">
        <v>2023</v>
      </c>
      <c r="D928" s="23">
        <v>10</v>
      </c>
      <c r="E928" s="24">
        <v>7</v>
      </c>
      <c r="F928" s="42" t="s">
        <v>17</v>
      </c>
      <c r="G928" s="42" t="s">
        <v>13</v>
      </c>
      <c r="H928" s="42" t="s">
        <v>138</v>
      </c>
      <c r="I928" s="42" t="s">
        <v>139</v>
      </c>
      <c r="J928" s="10">
        <v>12000</v>
      </c>
      <c r="K928" s="7">
        <v>-12000</v>
      </c>
      <c r="L928" s="1" t="s">
        <v>858</v>
      </c>
    </row>
    <row r="929" spans="1:12">
      <c r="A929" s="21" t="str">
        <f>TEXT(TEXT(B929,"yyyymmdd"),"00000000")&amp;TEXT(COUNTIF($B$2:B929,B929),"00")</f>
        <v>2023100801</v>
      </c>
      <c r="B929" s="21">
        <f t="shared" si="14"/>
        <v>45207</v>
      </c>
      <c r="C929" s="22">
        <v>2023</v>
      </c>
      <c r="D929" s="23">
        <v>10</v>
      </c>
      <c r="E929" s="24">
        <v>8</v>
      </c>
      <c r="F929" s="42" t="s">
        <v>17</v>
      </c>
      <c r="G929" s="42" t="s">
        <v>13</v>
      </c>
      <c r="H929" s="42" t="s">
        <v>138</v>
      </c>
      <c r="I929" s="42" t="s">
        <v>139</v>
      </c>
      <c r="J929" s="10">
        <v>6000</v>
      </c>
      <c r="K929" s="7">
        <v>-6000</v>
      </c>
      <c r="L929" s="1" t="s">
        <v>822</v>
      </c>
    </row>
    <row r="930" spans="1:12">
      <c r="A930" s="21" t="str">
        <f>TEXT(TEXT(B930,"yyyymmdd"),"00000000")&amp;TEXT(COUNTIF($B$2:B930,B930),"00")</f>
        <v>2023100901</v>
      </c>
      <c r="B930" s="21">
        <f t="shared" si="14"/>
        <v>45208</v>
      </c>
      <c r="C930" s="22">
        <v>2023</v>
      </c>
      <c r="D930" s="23">
        <v>10</v>
      </c>
      <c r="E930" s="24">
        <v>9</v>
      </c>
      <c r="F930" s="42" t="s">
        <v>17</v>
      </c>
      <c r="G930" s="42" t="s">
        <v>7</v>
      </c>
      <c r="H930" s="42" t="s">
        <v>119</v>
      </c>
      <c r="I930" s="42" t="s">
        <v>180</v>
      </c>
      <c r="J930" s="10">
        <v>2000</v>
      </c>
      <c r="K930" s="7">
        <v>-2000</v>
      </c>
      <c r="L930" s="1" t="s">
        <v>887</v>
      </c>
    </row>
    <row r="931" spans="1:12">
      <c r="A931" s="21" t="str">
        <f>TEXT(TEXT(B931,"yyyymmdd"),"00000000")&amp;TEXT(COUNTIF($B$2:B931,B931),"00")</f>
        <v>2023101001</v>
      </c>
      <c r="B931" s="21">
        <f t="shared" si="14"/>
        <v>45209</v>
      </c>
      <c r="C931" s="22">
        <v>2023</v>
      </c>
      <c r="D931" s="23">
        <v>10</v>
      </c>
      <c r="E931" s="24">
        <v>10</v>
      </c>
      <c r="F931" s="42" t="s">
        <v>17</v>
      </c>
      <c r="G931" s="42" t="s">
        <v>13</v>
      </c>
      <c r="H931" s="42" t="s">
        <v>32</v>
      </c>
      <c r="I931" s="42" t="s">
        <v>620</v>
      </c>
      <c r="J931" s="10">
        <v>60000</v>
      </c>
      <c r="K931" s="7">
        <v>-60000</v>
      </c>
      <c r="L931" s="1" t="s">
        <v>715</v>
      </c>
    </row>
    <row r="932" spans="1:12">
      <c r="A932" s="21" t="str">
        <f>TEXT(TEXT(B932,"yyyymmdd"),"00000000")&amp;TEXT(COUNTIF($B$2:B932,B932),"00")</f>
        <v>2023101002</v>
      </c>
      <c r="B932" s="21">
        <f t="shared" si="14"/>
        <v>45209</v>
      </c>
      <c r="C932" s="22">
        <v>2023</v>
      </c>
      <c r="D932" s="23">
        <v>10</v>
      </c>
      <c r="E932" s="24">
        <v>10</v>
      </c>
      <c r="F932" s="42" t="s">
        <v>17</v>
      </c>
      <c r="G932" s="42" t="s">
        <v>13</v>
      </c>
      <c r="H932" s="42" t="s">
        <v>138</v>
      </c>
      <c r="I932" s="42" t="s">
        <v>139</v>
      </c>
      <c r="J932" s="10">
        <v>11000</v>
      </c>
      <c r="K932" s="7">
        <v>-11000</v>
      </c>
      <c r="L932" s="1" t="s">
        <v>701</v>
      </c>
    </row>
    <row r="933" spans="1:12">
      <c r="A933" s="21" t="str">
        <f>TEXT(TEXT(B933,"yyyymmdd"),"00000000")&amp;TEXT(COUNTIF($B$2:B933,B933),"00")</f>
        <v>2023101003</v>
      </c>
      <c r="B933" s="21">
        <f t="shared" si="14"/>
        <v>45209</v>
      </c>
      <c r="C933" s="22">
        <v>2023</v>
      </c>
      <c r="D933" s="23">
        <v>10</v>
      </c>
      <c r="E933" s="24">
        <v>10</v>
      </c>
      <c r="F933" s="42" t="s">
        <v>17</v>
      </c>
      <c r="G933" s="42" t="s">
        <v>13</v>
      </c>
      <c r="H933" s="42" t="s">
        <v>138</v>
      </c>
      <c r="I933" s="42" t="s">
        <v>139</v>
      </c>
      <c r="J933" s="10">
        <v>5500</v>
      </c>
      <c r="K933" s="7">
        <v>-5500</v>
      </c>
      <c r="L933" s="1" t="s">
        <v>675</v>
      </c>
    </row>
    <row r="934" spans="1:12">
      <c r="A934" s="21" t="str">
        <f>TEXT(TEXT(B934,"yyyymmdd"),"00000000")&amp;TEXT(COUNTIF($B$2:B934,B934),"00")</f>
        <v>2023101004</v>
      </c>
      <c r="B934" s="21">
        <f t="shared" si="14"/>
        <v>45209</v>
      </c>
      <c r="C934" s="22">
        <v>2023</v>
      </c>
      <c r="D934" s="23">
        <v>10</v>
      </c>
      <c r="E934" s="24">
        <v>10</v>
      </c>
      <c r="F934" s="42" t="s">
        <v>17</v>
      </c>
      <c r="G934" s="42" t="s">
        <v>13</v>
      </c>
      <c r="H934" s="42" t="s">
        <v>138</v>
      </c>
      <c r="I934" s="42" t="s">
        <v>139</v>
      </c>
      <c r="J934" s="10">
        <v>1000</v>
      </c>
      <c r="K934" s="7">
        <v>-1000</v>
      </c>
      <c r="L934" s="1" t="s">
        <v>619</v>
      </c>
    </row>
    <row r="935" spans="1:12">
      <c r="A935" s="21" t="str">
        <f>TEXT(TEXT(B935,"yyyymmdd"),"00000000")&amp;TEXT(COUNTIF($B$2:B935,B935),"00")</f>
        <v>2023101005</v>
      </c>
      <c r="B935" s="21">
        <f t="shared" si="14"/>
        <v>45209</v>
      </c>
      <c r="C935" s="22">
        <v>2023</v>
      </c>
      <c r="D935" s="23">
        <v>10</v>
      </c>
      <c r="E935" s="24">
        <v>10</v>
      </c>
      <c r="F935" s="42" t="s">
        <v>17</v>
      </c>
      <c r="G935" s="42" t="s">
        <v>135</v>
      </c>
      <c r="H935" s="42" t="s">
        <v>135</v>
      </c>
      <c r="I935" s="42" t="s">
        <v>143</v>
      </c>
      <c r="J935" s="10">
        <v>-10000</v>
      </c>
      <c r="K935" s="7">
        <v>10000</v>
      </c>
      <c r="L935" s="1" t="s">
        <v>165</v>
      </c>
    </row>
    <row r="936" spans="1:12">
      <c r="A936" s="21" t="str">
        <f>TEXT(TEXT(B936,"yyyymmdd"),"00000000")&amp;TEXT(COUNTIF($B$2:B936,B936),"00")</f>
        <v>2023101006</v>
      </c>
      <c r="B936" s="21">
        <f t="shared" si="14"/>
        <v>45209</v>
      </c>
      <c r="C936" s="22">
        <v>2023</v>
      </c>
      <c r="D936" s="23">
        <v>10</v>
      </c>
      <c r="E936" s="24">
        <v>10</v>
      </c>
      <c r="F936" s="42" t="s">
        <v>17</v>
      </c>
      <c r="G936" s="42" t="s">
        <v>7</v>
      </c>
      <c r="H936" s="42" t="s">
        <v>138</v>
      </c>
      <c r="I936" s="42" t="s">
        <v>120</v>
      </c>
      <c r="J936" s="10">
        <v>4750</v>
      </c>
      <c r="K936" s="7">
        <v>-4750</v>
      </c>
      <c r="L936" s="1" t="s">
        <v>651</v>
      </c>
    </row>
    <row r="937" spans="1:12">
      <c r="A937" s="21" t="str">
        <f>TEXT(TEXT(B937,"yyyymmdd"),"00000000")&amp;TEXT(COUNTIF($B$2:B937,B937),"00")</f>
        <v>2023101101</v>
      </c>
      <c r="B937" s="21">
        <f t="shared" si="14"/>
        <v>45210</v>
      </c>
      <c r="C937" s="22">
        <v>2023</v>
      </c>
      <c r="D937" s="23">
        <v>10</v>
      </c>
      <c r="E937" s="24">
        <v>11</v>
      </c>
      <c r="F937" s="42" t="s">
        <v>17</v>
      </c>
      <c r="G937" s="42" t="s">
        <v>7</v>
      </c>
      <c r="H937" s="42" t="s">
        <v>110</v>
      </c>
      <c r="I937" s="42" t="s">
        <v>124</v>
      </c>
      <c r="J937" s="10">
        <v>1600</v>
      </c>
      <c r="K937" s="7">
        <v>-1600</v>
      </c>
      <c r="L937" s="1" t="s">
        <v>865</v>
      </c>
    </row>
    <row r="938" spans="1:12">
      <c r="A938" s="21" t="str">
        <f>TEXT(TEXT(B938,"yyyymmdd"),"00000000")&amp;TEXT(COUNTIF($B$2:B938,B938),"00")</f>
        <v>2023101102</v>
      </c>
      <c r="B938" s="21">
        <f t="shared" si="14"/>
        <v>45210</v>
      </c>
      <c r="C938" s="22">
        <v>2023</v>
      </c>
      <c r="D938" s="23">
        <v>10</v>
      </c>
      <c r="E938" s="24">
        <v>11</v>
      </c>
      <c r="F938" s="42" t="s">
        <v>17</v>
      </c>
      <c r="G938" s="42" t="s">
        <v>13</v>
      </c>
      <c r="H938" s="42" t="s">
        <v>138</v>
      </c>
      <c r="I938" s="42" t="s">
        <v>139</v>
      </c>
      <c r="J938" s="10">
        <v>8000</v>
      </c>
      <c r="K938" s="7">
        <v>-8000</v>
      </c>
      <c r="L938" s="1" t="s">
        <v>709</v>
      </c>
    </row>
    <row r="939" spans="1:12">
      <c r="A939" s="21" t="str">
        <f>TEXT(TEXT(B939,"yyyymmdd"),"00000000")&amp;TEXT(COUNTIF($B$2:B939,B939),"00")</f>
        <v>2023101103</v>
      </c>
      <c r="B939" s="21">
        <f t="shared" si="14"/>
        <v>45210</v>
      </c>
      <c r="C939" s="22">
        <v>2023</v>
      </c>
      <c r="D939" s="23">
        <v>10</v>
      </c>
      <c r="E939" s="24">
        <v>11</v>
      </c>
      <c r="F939" s="42" t="s">
        <v>17</v>
      </c>
      <c r="G939" s="42" t="s">
        <v>13</v>
      </c>
      <c r="H939" s="42" t="s">
        <v>167</v>
      </c>
      <c r="I939" s="42" t="s">
        <v>168</v>
      </c>
      <c r="J939" s="10">
        <v>2900</v>
      </c>
      <c r="K939" s="7">
        <v>-2900</v>
      </c>
      <c r="L939" s="1" t="s">
        <v>748</v>
      </c>
    </row>
    <row r="940" spans="1:12">
      <c r="A940" s="21" t="str">
        <f>TEXT(TEXT(B940,"yyyymmdd"),"00000000")&amp;TEXT(COUNTIF($B$2:B940,B940),"00")</f>
        <v>2023101201</v>
      </c>
      <c r="B940" s="21">
        <f t="shared" si="14"/>
        <v>45211</v>
      </c>
      <c r="C940" s="22">
        <v>2023</v>
      </c>
      <c r="D940" s="23">
        <v>10</v>
      </c>
      <c r="E940" s="24">
        <v>12</v>
      </c>
      <c r="F940" s="42" t="s">
        <v>17</v>
      </c>
      <c r="G940" s="42" t="s">
        <v>13</v>
      </c>
      <c r="H940" s="42" t="s">
        <v>138</v>
      </c>
      <c r="I940" s="42" t="s">
        <v>139</v>
      </c>
      <c r="J940" s="10">
        <v>7000</v>
      </c>
      <c r="K940" s="7">
        <v>-7000</v>
      </c>
      <c r="L940" s="1" t="s">
        <v>693</v>
      </c>
    </row>
    <row r="941" spans="1:12">
      <c r="A941" s="21" t="str">
        <f>TEXT(TEXT(B941,"yyyymmdd"),"00000000")&amp;TEXT(COUNTIF($B$2:B941,B941),"00")</f>
        <v>2023101202</v>
      </c>
      <c r="B941" s="21">
        <f t="shared" si="14"/>
        <v>45211</v>
      </c>
      <c r="C941" s="22">
        <v>2023</v>
      </c>
      <c r="D941" s="23">
        <v>10</v>
      </c>
      <c r="E941" s="24">
        <v>12</v>
      </c>
      <c r="F941" s="42" t="s">
        <v>17</v>
      </c>
      <c r="G941" s="42" t="s">
        <v>13</v>
      </c>
      <c r="H941" s="42" t="s">
        <v>138</v>
      </c>
      <c r="I941" s="42" t="s">
        <v>139</v>
      </c>
      <c r="J941" s="10">
        <v>1000</v>
      </c>
      <c r="K941" s="7">
        <v>-1000</v>
      </c>
      <c r="L941" s="1" t="s">
        <v>619</v>
      </c>
    </row>
    <row r="942" spans="1:12">
      <c r="A942" s="21" t="str">
        <f>TEXT(TEXT(B942,"yyyymmdd"),"00000000")&amp;TEXT(COUNTIF($B$2:B942,B942),"00")</f>
        <v>2023101203</v>
      </c>
      <c r="B942" s="21">
        <f t="shared" si="14"/>
        <v>45211</v>
      </c>
      <c r="C942" s="22">
        <v>2023</v>
      </c>
      <c r="D942" s="23">
        <v>10</v>
      </c>
      <c r="E942" s="24">
        <v>12</v>
      </c>
      <c r="F942" s="42" t="s">
        <v>17</v>
      </c>
      <c r="G942" s="42" t="s">
        <v>7</v>
      </c>
      <c r="H942" s="42" t="s">
        <v>110</v>
      </c>
      <c r="I942" s="42" t="s">
        <v>120</v>
      </c>
      <c r="J942" s="10">
        <v>3500</v>
      </c>
      <c r="K942" s="7">
        <v>-3500</v>
      </c>
      <c r="L942" s="1" t="s">
        <v>706</v>
      </c>
    </row>
    <row r="943" spans="1:12">
      <c r="A943" s="21" t="str">
        <f>TEXT(TEXT(B943,"yyyymmdd"),"00000000")&amp;TEXT(COUNTIF($B$2:B943,B943),"00")</f>
        <v>2023101204</v>
      </c>
      <c r="B943" s="21">
        <f t="shared" si="14"/>
        <v>45211</v>
      </c>
      <c r="C943" s="22">
        <v>2023</v>
      </c>
      <c r="D943" s="23">
        <v>10</v>
      </c>
      <c r="E943" s="24">
        <v>12</v>
      </c>
      <c r="F943" s="42" t="s">
        <v>17</v>
      </c>
      <c r="G943" s="42" t="s">
        <v>13</v>
      </c>
      <c r="H943" s="42" t="s">
        <v>138</v>
      </c>
      <c r="I943" s="42" t="s">
        <v>139</v>
      </c>
      <c r="J943" s="10">
        <v>7500</v>
      </c>
      <c r="K943" s="7">
        <v>-7500</v>
      </c>
      <c r="L943" s="1" t="s">
        <v>822</v>
      </c>
    </row>
    <row r="944" spans="1:12">
      <c r="A944" s="21" t="str">
        <f>TEXT(TEXT(B944,"yyyymmdd"),"00000000")&amp;TEXT(COUNTIF($B$2:B944,B944),"00")</f>
        <v>2023101301</v>
      </c>
      <c r="B944" s="21">
        <f t="shared" si="14"/>
        <v>45212</v>
      </c>
      <c r="C944" s="22">
        <v>2023</v>
      </c>
      <c r="D944" s="23">
        <v>10</v>
      </c>
      <c r="E944" s="24">
        <v>13</v>
      </c>
      <c r="F944" s="42" t="s">
        <v>17</v>
      </c>
      <c r="G944" s="42" t="s">
        <v>13</v>
      </c>
      <c r="H944" s="42" t="s">
        <v>138</v>
      </c>
      <c r="I944" s="42" t="s">
        <v>139</v>
      </c>
      <c r="J944" s="10">
        <v>6300</v>
      </c>
      <c r="K944" s="7">
        <v>-6300</v>
      </c>
      <c r="L944" s="1" t="s">
        <v>300</v>
      </c>
    </row>
    <row r="945" spans="1:13">
      <c r="A945" s="21" t="str">
        <f>TEXT(TEXT(B945,"yyyymmdd"),"00000000")&amp;TEXT(COUNTIF($B$2:B945,B945),"00")</f>
        <v>2023101302</v>
      </c>
      <c r="B945" s="21">
        <f t="shared" si="14"/>
        <v>45212</v>
      </c>
      <c r="C945" s="22">
        <v>2023</v>
      </c>
      <c r="D945" s="23">
        <v>10</v>
      </c>
      <c r="E945" s="24">
        <v>13</v>
      </c>
      <c r="F945" s="42" t="s">
        <v>17</v>
      </c>
      <c r="G945" s="42" t="s">
        <v>13</v>
      </c>
      <c r="H945" s="42" t="s">
        <v>138</v>
      </c>
      <c r="I945" s="42" t="s">
        <v>139</v>
      </c>
      <c r="J945" s="10">
        <v>6500</v>
      </c>
      <c r="K945" s="7">
        <v>-6500</v>
      </c>
      <c r="L945" s="1" t="s">
        <v>679</v>
      </c>
    </row>
    <row r="946" spans="1:13">
      <c r="A946" s="21" t="str">
        <f>TEXT(TEXT(B946,"yyyymmdd"),"00000000")&amp;TEXT(COUNTIF($B$2:B946,B946),"00")</f>
        <v>2023101303</v>
      </c>
      <c r="B946" s="21">
        <f t="shared" si="14"/>
        <v>45212</v>
      </c>
      <c r="C946" s="22">
        <v>2023</v>
      </c>
      <c r="D946" s="23">
        <v>10</v>
      </c>
      <c r="E946" s="24">
        <v>13</v>
      </c>
      <c r="F946" s="42" t="s">
        <v>17</v>
      </c>
      <c r="G946" s="42" t="s">
        <v>7</v>
      </c>
      <c r="H946" s="42" t="s">
        <v>110</v>
      </c>
      <c r="I946" s="42" t="s">
        <v>120</v>
      </c>
      <c r="J946" s="10">
        <v>6500</v>
      </c>
      <c r="K946" s="7">
        <v>-6500</v>
      </c>
      <c r="L946" s="1" t="s">
        <v>480</v>
      </c>
    </row>
    <row r="947" spans="1:13">
      <c r="A947" s="21" t="str">
        <f>TEXT(TEXT(B947,"yyyymmdd"),"00000000")&amp;TEXT(COUNTIF($B$2:B947,B947),"00")</f>
        <v>2023101401</v>
      </c>
      <c r="B947" s="21">
        <f t="shared" si="14"/>
        <v>45213</v>
      </c>
      <c r="C947" s="22">
        <v>2023</v>
      </c>
      <c r="D947" s="23">
        <v>10</v>
      </c>
      <c r="E947" s="24">
        <v>14</v>
      </c>
      <c r="F947" s="42" t="s">
        <v>17</v>
      </c>
      <c r="G947" s="42" t="s">
        <v>13</v>
      </c>
      <c r="H947" s="42" t="s">
        <v>138</v>
      </c>
      <c r="I947" s="42" t="s">
        <v>139</v>
      </c>
      <c r="J947" s="10">
        <v>10000</v>
      </c>
      <c r="K947" s="7">
        <v>-10000</v>
      </c>
      <c r="L947" s="1" t="s">
        <v>889</v>
      </c>
    </row>
    <row r="948" spans="1:13">
      <c r="A948" s="21" t="str">
        <f>TEXT(TEXT(B948,"yyyymmdd"),"00000000")&amp;TEXT(COUNTIF($B$2:B948,B948),"00")</f>
        <v>2023101402</v>
      </c>
      <c r="B948" s="21">
        <f t="shared" si="14"/>
        <v>45213</v>
      </c>
      <c r="C948" s="22">
        <v>2023</v>
      </c>
      <c r="D948" s="23">
        <v>10</v>
      </c>
      <c r="E948" s="24">
        <v>14</v>
      </c>
      <c r="F948" s="42" t="s">
        <v>17</v>
      </c>
      <c r="G948" s="42" t="s">
        <v>13</v>
      </c>
      <c r="H948" s="42" t="s">
        <v>138</v>
      </c>
      <c r="I948" s="42" t="s">
        <v>139</v>
      </c>
      <c r="J948" s="10">
        <v>5500</v>
      </c>
      <c r="K948" s="7">
        <v>-5500</v>
      </c>
      <c r="L948" s="1" t="s">
        <v>634</v>
      </c>
    </row>
    <row r="949" spans="1:13">
      <c r="A949" s="21" t="str">
        <f>TEXT(TEXT(B949,"yyyymmdd"),"00000000")&amp;TEXT(COUNTIF($B$2:B949,B949),"00")</f>
        <v>2023101601</v>
      </c>
      <c r="B949" s="21">
        <f t="shared" si="14"/>
        <v>45215</v>
      </c>
      <c r="C949" s="22">
        <v>2023</v>
      </c>
      <c r="D949" s="23">
        <v>10</v>
      </c>
      <c r="E949" s="24">
        <v>16</v>
      </c>
      <c r="F949" s="42" t="s">
        <v>17</v>
      </c>
      <c r="G949" s="42" t="s">
        <v>13</v>
      </c>
      <c r="H949" s="42" t="s">
        <v>113</v>
      </c>
      <c r="I949" s="42" t="s">
        <v>171</v>
      </c>
      <c r="J949" s="10">
        <v>15000</v>
      </c>
      <c r="K949" s="7">
        <v>-15000</v>
      </c>
      <c r="L949" s="1" t="s">
        <v>502</v>
      </c>
    </row>
    <row r="950" spans="1:13">
      <c r="A950" s="21" t="str">
        <f>TEXT(TEXT(B950,"yyyymmdd"),"00000000")&amp;TEXT(COUNTIF($B$2:B950,B950),"00")</f>
        <v>2023101602</v>
      </c>
      <c r="B950" s="21">
        <f t="shared" si="14"/>
        <v>45215</v>
      </c>
      <c r="C950" s="22">
        <v>2023</v>
      </c>
      <c r="D950" s="23">
        <v>10</v>
      </c>
      <c r="E950" s="24">
        <v>16</v>
      </c>
      <c r="F950" s="42" t="s">
        <v>17</v>
      </c>
      <c r="G950" s="42" t="s">
        <v>7</v>
      </c>
      <c r="H950" s="42" t="s">
        <v>32</v>
      </c>
      <c r="I950" s="42" t="s">
        <v>141</v>
      </c>
      <c r="J950" s="10">
        <v>450</v>
      </c>
      <c r="K950" s="7">
        <v>-450</v>
      </c>
      <c r="L950" s="1" t="s">
        <v>745</v>
      </c>
    </row>
    <row r="951" spans="1:13">
      <c r="A951" s="21" t="str">
        <f>TEXT(TEXT(B951,"yyyymmdd"),"00000000")&amp;TEXT(COUNTIF($B$2:B951,B951),"00")</f>
        <v>2023101603</v>
      </c>
      <c r="B951" s="21">
        <f t="shared" si="14"/>
        <v>45215</v>
      </c>
      <c r="C951" s="22">
        <v>2023</v>
      </c>
      <c r="D951" s="23">
        <v>10</v>
      </c>
      <c r="E951" s="24">
        <v>16</v>
      </c>
      <c r="F951" s="42" t="s">
        <v>17</v>
      </c>
      <c r="G951" s="42" t="s">
        <v>13</v>
      </c>
      <c r="H951" s="42" t="s">
        <v>138</v>
      </c>
      <c r="I951" s="42" t="s">
        <v>139</v>
      </c>
      <c r="J951" s="10">
        <v>9500</v>
      </c>
      <c r="K951" s="7">
        <v>-9500</v>
      </c>
      <c r="L951" s="1" t="s">
        <v>680</v>
      </c>
    </row>
    <row r="952" spans="1:13">
      <c r="A952" s="21" t="str">
        <f>TEXT(TEXT(B952,"yyyymmdd"),"00000000")&amp;TEXT(COUNTIF($B$2:B952,B952),"00")</f>
        <v>2023101701</v>
      </c>
      <c r="B952" s="21">
        <f t="shared" si="14"/>
        <v>45216</v>
      </c>
      <c r="C952" s="22">
        <v>2023</v>
      </c>
      <c r="D952" s="23">
        <v>10</v>
      </c>
      <c r="E952" s="24">
        <v>17</v>
      </c>
      <c r="F952" s="42" t="s">
        <v>17</v>
      </c>
      <c r="G952" s="42" t="s">
        <v>13</v>
      </c>
      <c r="H952" s="42" t="s">
        <v>138</v>
      </c>
      <c r="I952" s="42" t="s">
        <v>139</v>
      </c>
      <c r="J952" s="10">
        <v>1000</v>
      </c>
      <c r="K952" s="7">
        <v>-1000</v>
      </c>
      <c r="L952" s="1" t="s">
        <v>619</v>
      </c>
    </row>
    <row r="953" spans="1:13">
      <c r="A953" s="21" t="str">
        <f>TEXT(TEXT(B953,"yyyymmdd"),"00000000")&amp;TEXT(COUNTIF($B$2:B953,B953),"00")</f>
        <v>2023101702</v>
      </c>
      <c r="B953" s="21">
        <f t="shared" si="14"/>
        <v>45216</v>
      </c>
      <c r="C953" s="22">
        <v>2023</v>
      </c>
      <c r="D953" s="23">
        <v>10</v>
      </c>
      <c r="E953" s="24">
        <v>17</v>
      </c>
      <c r="F953" s="42" t="s">
        <v>17</v>
      </c>
      <c r="G953" s="42" t="s">
        <v>13</v>
      </c>
      <c r="H953" s="42" t="s">
        <v>138</v>
      </c>
      <c r="I953" s="42" t="s">
        <v>139</v>
      </c>
      <c r="J953" s="10">
        <v>8000</v>
      </c>
      <c r="K953" s="7">
        <v>-8000</v>
      </c>
      <c r="L953" s="1" t="s">
        <v>700</v>
      </c>
    </row>
    <row r="954" spans="1:13">
      <c r="A954" s="21" t="str">
        <f>TEXT(TEXT(B954,"yyyymmdd"),"00000000")&amp;TEXT(COUNTIF($B$2:B954,B954),"00")</f>
        <v>2023101703</v>
      </c>
      <c r="B954" s="21">
        <f t="shared" si="14"/>
        <v>45216</v>
      </c>
      <c r="C954" s="22">
        <v>2023</v>
      </c>
      <c r="D954" s="23">
        <v>10</v>
      </c>
      <c r="E954" s="24">
        <v>17</v>
      </c>
      <c r="F954" s="42" t="s">
        <v>17</v>
      </c>
      <c r="G954" s="42" t="s">
        <v>135</v>
      </c>
      <c r="H954" s="42" t="s">
        <v>135</v>
      </c>
      <c r="I954" s="42" t="s">
        <v>143</v>
      </c>
      <c r="J954" s="10">
        <v>-35900</v>
      </c>
      <c r="K954" s="7">
        <v>35900</v>
      </c>
      <c r="L954" s="1" t="s">
        <v>488</v>
      </c>
      <c r="M954" s="2" t="s">
        <v>890</v>
      </c>
    </row>
    <row r="955" spans="1:13">
      <c r="A955" s="21" t="str">
        <f>TEXT(TEXT(B955,"yyyymmdd"),"00000000")&amp;TEXT(COUNTIF($B$2:B955,B955),"00")</f>
        <v>2023101704</v>
      </c>
      <c r="B955" s="21">
        <f t="shared" si="14"/>
        <v>45216</v>
      </c>
      <c r="C955" s="22">
        <v>2023</v>
      </c>
      <c r="D955" s="23">
        <v>10</v>
      </c>
      <c r="E955" s="24">
        <v>17</v>
      </c>
      <c r="F955" s="42" t="s">
        <v>17</v>
      </c>
      <c r="G955" s="42" t="s">
        <v>13</v>
      </c>
      <c r="H955" s="42" t="s">
        <v>138</v>
      </c>
      <c r="I955" s="42" t="s">
        <v>139</v>
      </c>
      <c r="J955" s="10">
        <v>8500</v>
      </c>
      <c r="K955" s="7">
        <v>-8500</v>
      </c>
      <c r="L955" s="1" t="s">
        <v>738</v>
      </c>
    </row>
    <row r="956" spans="1:13">
      <c r="A956" s="21" t="str">
        <f>TEXT(TEXT(B956,"yyyymmdd"),"00000000")&amp;TEXT(COUNTIF($B$2:B956,B956),"00")</f>
        <v>2023101801</v>
      </c>
      <c r="B956" s="21">
        <f t="shared" si="14"/>
        <v>45217</v>
      </c>
      <c r="C956" s="22">
        <v>2023</v>
      </c>
      <c r="D956" s="23">
        <v>10</v>
      </c>
      <c r="E956" s="24">
        <v>18</v>
      </c>
      <c r="F956" s="42" t="s">
        <v>17</v>
      </c>
      <c r="G956" s="42" t="s">
        <v>13</v>
      </c>
      <c r="H956" s="42" t="s">
        <v>138</v>
      </c>
      <c r="I956" s="42" t="s">
        <v>139</v>
      </c>
      <c r="J956" s="10">
        <v>5500</v>
      </c>
      <c r="K956" s="7">
        <v>-5500</v>
      </c>
      <c r="L956" s="1" t="s">
        <v>634</v>
      </c>
    </row>
    <row r="957" spans="1:13">
      <c r="A957" s="21" t="str">
        <f>TEXT(TEXT(B957,"yyyymmdd"),"00000000")&amp;TEXT(COUNTIF($B$2:B957,B957),"00")</f>
        <v>2023101802</v>
      </c>
      <c r="B957" s="21">
        <f t="shared" si="14"/>
        <v>45217</v>
      </c>
      <c r="C957" s="22">
        <v>2023</v>
      </c>
      <c r="D957" s="23">
        <v>10</v>
      </c>
      <c r="E957" s="24">
        <v>18</v>
      </c>
      <c r="F957" s="42" t="s">
        <v>17</v>
      </c>
      <c r="G957" s="42" t="s">
        <v>13</v>
      </c>
      <c r="H957" s="42" t="s">
        <v>138</v>
      </c>
      <c r="I957" s="42" t="s">
        <v>139</v>
      </c>
      <c r="J957" s="10">
        <v>7500</v>
      </c>
      <c r="K957" s="7">
        <v>-7500</v>
      </c>
      <c r="L957" s="1" t="s">
        <v>794</v>
      </c>
    </row>
    <row r="958" spans="1:13">
      <c r="A958" s="21" t="str">
        <f>TEXT(TEXT(B958,"yyyymmdd"),"00000000")&amp;TEXT(COUNTIF($B$2:B958,B958),"00")</f>
        <v>2023101803</v>
      </c>
      <c r="B958" s="21">
        <f t="shared" si="14"/>
        <v>45217</v>
      </c>
      <c r="C958" s="22">
        <v>2023</v>
      </c>
      <c r="D958" s="23">
        <v>10</v>
      </c>
      <c r="E958" s="24">
        <v>18</v>
      </c>
      <c r="F958" s="42" t="s">
        <v>17</v>
      </c>
      <c r="G958" s="42" t="s">
        <v>7</v>
      </c>
      <c r="H958" s="42" t="s">
        <v>110</v>
      </c>
      <c r="I958" s="42" t="s">
        <v>120</v>
      </c>
      <c r="J958" s="10">
        <v>4000</v>
      </c>
      <c r="K958" s="7">
        <v>-4000</v>
      </c>
      <c r="L958" s="1" t="s">
        <v>706</v>
      </c>
    </row>
    <row r="959" spans="1:13">
      <c r="A959" s="21" t="str">
        <f>TEXT(TEXT(B959,"yyyymmdd"),"00000000")&amp;TEXT(COUNTIF($B$2:B959,B959),"00")</f>
        <v>2023101901</v>
      </c>
      <c r="B959" s="21">
        <f t="shared" si="14"/>
        <v>45218</v>
      </c>
      <c r="C959" s="22">
        <v>2023</v>
      </c>
      <c r="D959" s="23">
        <v>10</v>
      </c>
      <c r="E959" s="24">
        <v>19</v>
      </c>
      <c r="F959" s="42" t="s">
        <v>17</v>
      </c>
      <c r="G959" s="42" t="s">
        <v>13</v>
      </c>
      <c r="H959" s="42" t="s">
        <v>138</v>
      </c>
      <c r="I959" s="42" t="s">
        <v>139</v>
      </c>
      <c r="J959" s="10">
        <v>1000</v>
      </c>
      <c r="K959" s="7">
        <v>-1000</v>
      </c>
      <c r="L959" s="1" t="s">
        <v>619</v>
      </c>
    </row>
    <row r="960" spans="1:13">
      <c r="A960" s="21" t="str">
        <f>TEXT(TEXT(B960,"yyyymmdd"),"00000000")&amp;TEXT(COUNTIF($B$2:B960,B960),"00")</f>
        <v>2023101902</v>
      </c>
      <c r="B960" s="21">
        <f t="shared" si="14"/>
        <v>45218</v>
      </c>
      <c r="C960" s="22">
        <v>2023</v>
      </c>
      <c r="D960" s="23">
        <v>10</v>
      </c>
      <c r="E960" s="24">
        <v>19</v>
      </c>
      <c r="F960" s="42" t="s">
        <v>17</v>
      </c>
      <c r="G960" s="42" t="s">
        <v>13</v>
      </c>
      <c r="H960" s="42" t="s">
        <v>138</v>
      </c>
      <c r="I960" s="42" t="s">
        <v>139</v>
      </c>
      <c r="J960" s="10">
        <v>8500</v>
      </c>
      <c r="K960" s="7">
        <v>-8500</v>
      </c>
      <c r="L960" s="1" t="s">
        <v>891</v>
      </c>
    </row>
    <row r="961" spans="1:12">
      <c r="A961" s="21" t="str">
        <f>TEXT(TEXT(B961,"yyyymmdd"),"00000000")&amp;TEXT(COUNTIF($B$2:B961,B961),"00")</f>
        <v>2023101903</v>
      </c>
      <c r="B961" s="21">
        <f t="shared" si="14"/>
        <v>45218</v>
      </c>
      <c r="C961" s="22">
        <v>2023</v>
      </c>
      <c r="D961" s="23">
        <v>10</v>
      </c>
      <c r="E961" s="24">
        <v>19</v>
      </c>
      <c r="F961" s="42" t="s">
        <v>17</v>
      </c>
      <c r="G961" s="42" t="s">
        <v>13</v>
      </c>
      <c r="H961" s="42" t="s">
        <v>167</v>
      </c>
      <c r="I961" s="42" t="s">
        <v>168</v>
      </c>
      <c r="J961" s="10">
        <v>5200</v>
      </c>
      <c r="K961" s="7">
        <v>-5200</v>
      </c>
      <c r="L961" s="1" t="s">
        <v>748</v>
      </c>
    </row>
    <row r="962" spans="1:12">
      <c r="A962" s="21" t="str">
        <f>TEXT(TEXT(B962,"yyyymmdd"),"00000000")&amp;TEXT(COUNTIF($B$2:B962,B962),"00")</f>
        <v>2023102001</v>
      </c>
      <c r="B962" s="21">
        <f t="shared" ref="B962:B1025" si="15">DATE(C962,D962,E962)</f>
        <v>45219</v>
      </c>
      <c r="C962" s="22">
        <v>2023</v>
      </c>
      <c r="D962" s="23">
        <v>10</v>
      </c>
      <c r="E962" s="24">
        <v>20</v>
      </c>
      <c r="F962" s="42" t="s">
        <v>17</v>
      </c>
      <c r="G962" s="42" t="s">
        <v>13</v>
      </c>
      <c r="H962" s="42" t="s">
        <v>138</v>
      </c>
      <c r="I962" s="42" t="s">
        <v>139</v>
      </c>
      <c r="J962" s="10">
        <v>4500</v>
      </c>
      <c r="K962" s="7">
        <v>-4500</v>
      </c>
      <c r="L962" s="1" t="s">
        <v>675</v>
      </c>
    </row>
    <row r="963" spans="1:12">
      <c r="A963" s="21" t="str">
        <f>TEXT(TEXT(B963,"yyyymmdd"),"00000000")&amp;TEXT(COUNTIF($B$2:B963,B963),"00")</f>
        <v>2023102002</v>
      </c>
      <c r="B963" s="21">
        <f t="shared" si="15"/>
        <v>45219</v>
      </c>
      <c r="C963" s="22">
        <v>2023</v>
      </c>
      <c r="D963" s="23">
        <v>10</v>
      </c>
      <c r="E963" s="24">
        <v>20</v>
      </c>
      <c r="F963" s="42" t="s">
        <v>17</v>
      </c>
      <c r="G963" s="42" t="s">
        <v>13</v>
      </c>
      <c r="H963" s="42" t="s">
        <v>138</v>
      </c>
      <c r="I963" s="42" t="s">
        <v>139</v>
      </c>
      <c r="J963" s="10">
        <v>6000</v>
      </c>
      <c r="K963" s="7">
        <v>-6000</v>
      </c>
      <c r="L963" s="1" t="s">
        <v>619</v>
      </c>
    </row>
    <row r="964" spans="1:12">
      <c r="A964" s="21" t="str">
        <f>TEXT(TEXT(B964,"yyyymmdd"),"00000000")&amp;TEXT(COUNTIF($B$2:B964,B964),"00")</f>
        <v>2023102101</v>
      </c>
      <c r="B964" s="21">
        <f t="shared" si="15"/>
        <v>45220</v>
      </c>
      <c r="C964" s="22">
        <v>2023</v>
      </c>
      <c r="D964" s="23">
        <v>10</v>
      </c>
      <c r="E964" s="24">
        <v>21</v>
      </c>
      <c r="F964" s="42" t="s">
        <v>17</v>
      </c>
      <c r="G964" s="42" t="s">
        <v>13</v>
      </c>
      <c r="H964" s="42" t="s">
        <v>138</v>
      </c>
      <c r="I964" s="42" t="s">
        <v>139</v>
      </c>
      <c r="J964" s="10">
        <v>11500</v>
      </c>
      <c r="K964" s="7">
        <v>-11500</v>
      </c>
      <c r="L964" s="1" t="s">
        <v>734</v>
      </c>
    </row>
    <row r="965" spans="1:12">
      <c r="A965" s="21" t="str">
        <f>TEXT(TEXT(B965,"yyyymmdd"),"00000000")&amp;TEXT(COUNTIF($B$2:B965,B965),"00")</f>
        <v>2023102102</v>
      </c>
      <c r="B965" s="21">
        <f t="shared" si="15"/>
        <v>45220</v>
      </c>
      <c r="C965" s="22">
        <v>2023</v>
      </c>
      <c r="D965" s="23">
        <v>10</v>
      </c>
      <c r="E965" s="24">
        <v>21</v>
      </c>
      <c r="F965" s="42" t="s">
        <v>17</v>
      </c>
      <c r="G965" s="42" t="s">
        <v>7</v>
      </c>
      <c r="H965" s="42" t="s">
        <v>110</v>
      </c>
      <c r="I965" s="42" t="s">
        <v>120</v>
      </c>
      <c r="J965" s="10">
        <v>8000</v>
      </c>
      <c r="K965" s="7">
        <v>-8000</v>
      </c>
      <c r="L965" s="1" t="s">
        <v>665</v>
      </c>
    </row>
    <row r="966" spans="1:12">
      <c r="A966" s="21" t="str">
        <f>TEXT(TEXT(B966,"yyyymmdd"),"00000000")&amp;TEXT(COUNTIF($B$2:B966,B966),"00")</f>
        <v>2023102103</v>
      </c>
      <c r="B966" s="21">
        <f t="shared" si="15"/>
        <v>45220</v>
      </c>
      <c r="C966" s="22">
        <v>2023</v>
      </c>
      <c r="D966" s="23">
        <v>10</v>
      </c>
      <c r="E966" s="24">
        <v>21</v>
      </c>
      <c r="F966" s="42" t="s">
        <v>17</v>
      </c>
      <c r="G966" s="42" t="s">
        <v>13</v>
      </c>
      <c r="H966" s="42" t="s">
        <v>32</v>
      </c>
      <c r="I966" s="42" t="s">
        <v>620</v>
      </c>
      <c r="J966" s="10">
        <v>60000</v>
      </c>
      <c r="K966" s="7">
        <v>-60000</v>
      </c>
      <c r="L966" s="1" t="s">
        <v>892</v>
      </c>
    </row>
    <row r="967" spans="1:12">
      <c r="A967" s="21" t="str">
        <f>TEXT(TEXT(B967,"yyyymmdd"),"00000000")&amp;TEXT(COUNTIF($B$2:B967,B967),"00")</f>
        <v>2023102104</v>
      </c>
      <c r="B967" s="21">
        <f t="shared" si="15"/>
        <v>45220</v>
      </c>
      <c r="C967" s="22">
        <v>2023</v>
      </c>
      <c r="D967" s="23">
        <v>10</v>
      </c>
      <c r="E967" s="24">
        <v>21</v>
      </c>
      <c r="F967" s="42" t="s">
        <v>17</v>
      </c>
      <c r="G967" s="42" t="s">
        <v>7</v>
      </c>
      <c r="H967" s="42" t="s">
        <v>119</v>
      </c>
      <c r="I967" s="42" t="s">
        <v>180</v>
      </c>
      <c r="J967" s="10">
        <v>11200</v>
      </c>
      <c r="K967" s="7">
        <v>-11200</v>
      </c>
      <c r="L967" s="1" t="s">
        <v>181</v>
      </c>
    </row>
    <row r="968" spans="1:12">
      <c r="A968" s="21" t="str">
        <f>TEXT(TEXT(B968,"yyyymmdd"),"00000000")&amp;TEXT(COUNTIF($B$2:B968,B968),"00")</f>
        <v>2023102201</v>
      </c>
      <c r="B968" s="21">
        <f t="shared" si="15"/>
        <v>45221</v>
      </c>
      <c r="C968" s="22">
        <v>2023</v>
      </c>
      <c r="D968" s="23">
        <v>10</v>
      </c>
      <c r="E968" s="24">
        <v>22</v>
      </c>
      <c r="F968" s="42" t="s">
        <v>17</v>
      </c>
      <c r="G968" s="42" t="s">
        <v>13</v>
      </c>
      <c r="H968" s="42" t="s">
        <v>138</v>
      </c>
      <c r="I968" s="42" t="s">
        <v>139</v>
      </c>
      <c r="J968" s="10">
        <v>8000</v>
      </c>
      <c r="K968" s="7">
        <v>-8000</v>
      </c>
      <c r="L968" s="1" t="s">
        <v>893</v>
      </c>
    </row>
    <row r="969" spans="1:12">
      <c r="A969" s="21" t="str">
        <f>TEXT(TEXT(B969,"yyyymmdd"),"00000000")&amp;TEXT(COUNTIF($B$2:B969,B969),"00")</f>
        <v>2023102202</v>
      </c>
      <c r="B969" s="21">
        <f t="shared" si="15"/>
        <v>45221</v>
      </c>
      <c r="C969" s="22">
        <v>2023</v>
      </c>
      <c r="D969" s="23">
        <v>10</v>
      </c>
      <c r="E969" s="24">
        <v>22</v>
      </c>
      <c r="F969" s="42" t="s">
        <v>17</v>
      </c>
      <c r="G969" s="42" t="s">
        <v>13</v>
      </c>
      <c r="H969" s="42" t="s">
        <v>138</v>
      </c>
      <c r="I969" s="42" t="s">
        <v>139</v>
      </c>
      <c r="J969" s="10">
        <v>6500</v>
      </c>
      <c r="K969" s="7">
        <v>-6500</v>
      </c>
      <c r="L969" s="1" t="s">
        <v>794</v>
      </c>
    </row>
    <row r="970" spans="1:12">
      <c r="A970" s="21" t="str">
        <f>TEXT(TEXT(B970,"yyyymmdd"),"00000000")&amp;TEXT(COUNTIF($B$2:B970,B970),"00")</f>
        <v>2023102301</v>
      </c>
      <c r="B970" s="21">
        <f t="shared" si="15"/>
        <v>45222</v>
      </c>
      <c r="C970" s="22">
        <v>2023</v>
      </c>
      <c r="D970" s="23">
        <v>10</v>
      </c>
      <c r="E970" s="24">
        <v>23</v>
      </c>
      <c r="F970" s="42" t="s">
        <v>17</v>
      </c>
      <c r="G970" s="42" t="s">
        <v>13</v>
      </c>
      <c r="H970" s="42" t="s">
        <v>138</v>
      </c>
      <c r="I970" s="42" t="s">
        <v>159</v>
      </c>
      <c r="J970" s="10">
        <v>4500</v>
      </c>
      <c r="K970" s="7">
        <v>-4500</v>
      </c>
      <c r="L970" s="1" t="s">
        <v>300</v>
      </c>
    </row>
    <row r="971" spans="1:12">
      <c r="A971" s="21" t="str">
        <f>TEXT(TEXT(B971,"yyyymmdd"),"00000000")&amp;TEXT(COUNTIF($B$2:B971,B971),"00")</f>
        <v>2023102302</v>
      </c>
      <c r="B971" s="21">
        <f t="shared" si="15"/>
        <v>45222</v>
      </c>
      <c r="C971" s="22">
        <v>2023</v>
      </c>
      <c r="D971" s="23">
        <v>10</v>
      </c>
      <c r="E971" s="24">
        <v>23</v>
      </c>
      <c r="F971" s="42" t="s">
        <v>17</v>
      </c>
      <c r="G971" s="42" t="s">
        <v>13</v>
      </c>
      <c r="H971" s="42" t="s">
        <v>138</v>
      </c>
      <c r="I971" s="42" t="s">
        <v>139</v>
      </c>
      <c r="J971" s="10">
        <v>10500</v>
      </c>
      <c r="K971" s="7">
        <v>-10500</v>
      </c>
      <c r="L971" s="1" t="s">
        <v>819</v>
      </c>
    </row>
    <row r="972" spans="1:12">
      <c r="A972" s="21" t="str">
        <f>TEXT(TEXT(B972,"yyyymmdd"),"00000000")&amp;TEXT(COUNTIF($B$2:B972,B972),"00")</f>
        <v>2023102303</v>
      </c>
      <c r="B972" s="21">
        <f t="shared" si="15"/>
        <v>45222</v>
      </c>
      <c r="C972" s="22">
        <v>2023</v>
      </c>
      <c r="D972" s="23">
        <v>10</v>
      </c>
      <c r="E972" s="24">
        <v>23</v>
      </c>
      <c r="F972" s="42" t="s">
        <v>17</v>
      </c>
      <c r="G972" s="42" t="s">
        <v>7</v>
      </c>
      <c r="H972" s="42" t="s">
        <v>115</v>
      </c>
      <c r="I972" s="42" t="s">
        <v>630</v>
      </c>
      <c r="J972" s="10">
        <v>3000</v>
      </c>
      <c r="K972" s="7">
        <v>-3000</v>
      </c>
      <c r="L972" s="1" t="s">
        <v>631</v>
      </c>
    </row>
    <row r="973" spans="1:12">
      <c r="A973" s="21" t="str">
        <f>TEXT(TEXT(B973,"yyyymmdd"),"00000000")&amp;TEXT(COUNTIF($B$2:B973,B973),"00")</f>
        <v>2023102401</v>
      </c>
      <c r="B973" s="21">
        <f t="shared" si="15"/>
        <v>45223</v>
      </c>
      <c r="C973" s="22">
        <v>2023</v>
      </c>
      <c r="D973" s="23">
        <v>10</v>
      </c>
      <c r="E973" s="24">
        <v>24</v>
      </c>
      <c r="F973" s="42" t="s">
        <v>17</v>
      </c>
      <c r="G973" s="42" t="s">
        <v>13</v>
      </c>
      <c r="H973" s="42" t="s">
        <v>138</v>
      </c>
      <c r="I973" s="42" t="s">
        <v>139</v>
      </c>
      <c r="J973" s="10">
        <v>6000</v>
      </c>
      <c r="K973" s="7">
        <v>-6000</v>
      </c>
      <c r="L973" s="1" t="s">
        <v>741</v>
      </c>
    </row>
    <row r="974" spans="1:12">
      <c r="A974" s="21" t="str">
        <f>TEXT(TEXT(B974,"yyyymmdd"),"00000000")&amp;TEXT(COUNTIF($B$2:B974,B974),"00")</f>
        <v>2023102402</v>
      </c>
      <c r="B974" s="21">
        <f t="shared" si="15"/>
        <v>45223</v>
      </c>
      <c r="C974" s="22">
        <v>2023</v>
      </c>
      <c r="D974" s="23">
        <v>10</v>
      </c>
      <c r="E974" s="24">
        <v>24</v>
      </c>
      <c r="F974" s="42" t="s">
        <v>17</v>
      </c>
      <c r="G974" s="42" t="s">
        <v>13</v>
      </c>
      <c r="H974" s="42" t="s">
        <v>138</v>
      </c>
      <c r="I974" s="42" t="s">
        <v>139</v>
      </c>
      <c r="J974" s="10">
        <v>1000</v>
      </c>
      <c r="K974" s="7">
        <v>-1000</v>
      </c>
      <c r="L974" s="1" t="s">
        <v>619</v>
      </c>
    </row>
    <row r="975" spans="1:12">
      <c r="A975" s="21" t="str">
        <f>TEXT(TEXT(B975,"yyyymmdd"),"00000000")&amp;TEXT(COUNTIF($B$2:B975,B975),"00")</f>
        <v>2023102403</v>
      </c>
      <c r="B975" s="21">
        <f t="shared" si="15"/>
        <v>45223</v>
      </c>
      <c r="C975" s="22">
        <v>2023</v>
      </c>
      <c r="D975" s="23">
        <v>10</v>
      </c>
      <c r="E975" s="24">
        <v>24</v>
      </c>
      <c r="F975" s="42" t="s">
        <v>17</v>
      </c>
      <c r="G975" s="42" t="s">
        <v>13</v>
      </c>
      <c r="H975" s="42" t="s">
        <v>138</v>
      </c>
      <c r="I975" s="42" t="s">
        <v>139</v>
      </c>
      <c r="J975" s="10">
        <v>6000</v>
      </c>
      <c r="K975" s="7">
        <v>-6000</v>
      </c>
      <c r="L975" s="1" t="s">
        <v>822</v>
      </c>
    </row>
    <row r="976" spans="1:12">
      <c r="A976" s="21" t="str">
        <f>TEXT(TEXT(B976,"yyyymmdd"),"00000000")&amp;TEXT(COUNTIF($B$2:B976,B976),"00")</f>
        <v>2023102501</v>
      </c>
      <c r="B976" s="21">
        <f t="shared" si="15"/>
        <v>45224</v>
      </c>
      <c r="C976" s="22">
        <v>2023</v>
      </c>
      <c r="D976" s="23">
        <v>10</v>
      </c>
      <c r="E976" s="24">
        <v>25</v>
      </c>
      <c r="F976" s="42" t="s">
        <v>17</v>
      </c>
      <c r="G976" s="42" t="s">
        <v>13</v>
      </c>
      <c r="H976" s="42" t="s">
        <v>138</v>
      </c>
      <c r="I976" s="42" t="s">
        <v>139</v>
      </c>
      <c r="J976" s="10">
        <v>6000</v>
      </c>
      <c r="K976" s="7">
        <v>-6000</v>
      </c>
      <c r="L976" s="1" t="s">
        <v>619</v>
      </c>
    </row>
    <row r="977" spans="1:12">
      <c r="A977" s="21" t="str">
        <f>TEXT(TEXT(B977,"yyyymmdd"),"00000000")&amp;TEXT(COUNTIF($B$2:B977,B977),"00")</f>
        <v>2023102502</v>
      </c>
      <c r="B977" s="21">
        <f t="shared" si="15"/>
        <v>45224</v>
      </c>
      <c r="C977" s="22">
        <v>2023</v>
      </c>
      <c r="D977" s="23">
        <v>10</v>
      </c>
      <c r="E977" s="24">
        <v>25</v>
      </c>
      <c r="F977" s="42" t="s">
        <v>17</v>
      </c>
      <c r="G977" s="42" t="s">
        <v>13</v>
      </c>
      <c r="H977" s="42" t="s">
        <v>138</v>
      </c>
      <c r="I977" s="42" t="s">
        <v>139</v>
      </c>
      <c r="J977" s="10">
        <v>6000</v>
      </c>
      <c r="K977" s="7">
        <v>-6000</v>
      </c>
      <c r="L977" s="1" t="s">
        <v>619</v>
      </c>
    </row>
    <row r="978" spans="1:12">
      <c r="A978" s="21" t="str">
        <f>TEXT(TEXT(B978,"yyyymmdd"),"00000000")&amp;TEXT(COUNTIF($B$2:B978,B978),"00")</f>
        <v>2023102601</v>
      </c>
      <c r="B978" s="21">
        <f t="shared" si="15"/>
        <v>45225</v>
      </c>
      <c r="C978" s="22">
        <v>2023</v>
      </c>
      <c r="D978" s="23">
        <v>10</v>
      </c>
      <c r="E978" s="24">
        <v>26</v>
      </c>
      <c r="F978" s="42" t="s">
        <v>17</v>
      </c>
      <c r="G978" s="42" t="s">
        <v>13</v>
      </c>
      <c r="H978" s="42" t="s">
        <v>138</v>
      </c>
      <c r="I978" s="42" t="s">
        <v>139</v>
      </c>
      <c r="J978" s="10">
        <v>7400</v>
      </c>
      <c r="K978" s="7">
        <v>-7400</v>
      </c>
      <c r="L978" s="1" t="s">
        <v>750</v>
      </c>
    </row>
    <row r="979" spans="1:12">
      <c r="A979" s="21" t="str">
        <f>TEXT(TEXT(B979,"yyyymmdd"),"00000000")&amp;TEXT(COUNTIF($B$2:B979,B979),"00")</f>
        <v>2023102602</v>
      </c>
      <c r="B979" s="21">
        <f t="shared" si="15"/>
        <v>45225</v>
      </c>
      <c r="C979" s="22">
        <v>2023</v>
      </c>
      <c r="D979" s="23">
        <v>10</v>
      </c>
      <c r="E979" s="24">
        <v>26</v>
      </c>
      <c r="F979" s="42" t="s">
        <v>17</v>
      </c>
      <c r="G979" s="42" t="s">
        <v>13</v>
      </c>
      <c r="H979" s="42" t="s">
        <v>138</v>
      </c>
      <c r="I979" s="42" t="s">
        <v>139</v>
      </c>
      <c r="J979" s="10">
        <v>10500</v>
      </c>
      <c r="K979" s="7">
        <v>-10500</v>
      </c>
      <c r="L979" s="1" t="s">
        <v>738</v>
      </c>
    </row>
    <row r="980" spans="1:12">
      <c r="A980" s="21" t="str">
        <f>TEXT(TEXT(B980,"yyyymmdd"),"00000000")&amp;TEXT(COUNTIF($B$2:B980,B980),"00")</f>
        <v>2023102701</v>
      </c>
      <c r="B980" s="21">
        <f t="shared" si="15"/>
        <v>45226</v>
      </c>
      <c r="C980" s="22">
        <v>2023</v>
      </c>
      <c r="D980" s="23">
        <v>10</v>
      </c>
      <c r="E980" s="24">
        <v>27</v>
      </c>
      <c r="F980" s="42" t="s">
        <v>17</v>
      </c>
      <c r="G980" s="42" t="s">
        <v>13</v>
      </c>
      <c r="H980" s="42" t="s">
        <v>138</v>
      </c>
      <c r="I980" s="42" t="s">
        <v>139</v>
      </c>
      <c r="J980" s="10">
        <v>8000</v>
      </c>
      <c r="K980" s="7">
        <v>-8000</v>
      </c>
      <c r="L980" s="1" t="s">
        <v>700</v>
      </c>
    </row>
    <row r="981" spans="1:12">
      <c r="A981" s="21" t="str">
        <f>TEXT(TEXT(B981,"yyyymmdd"),"00000000")&amp;TEXT(COUNTIF($B$2:B981,B981),"00")</f>
        <v>2023102801</v>
      </c>
      <c r="B981" s="21">
        <f t="shared" si="15"/>
        <v>45227</v>
      </c>
      <c r="C981" s="22">
        <v>2023</v>
      </c>
      <c r="D981" s="23">
        <v>10</v>
      </c>
      <c r="E981" s="24">
        <v>28</v>
      </c>
      <c r="F981" s="42" t="s">
        <v>17</v>
      </c>
      <c r="G981" s="42" t="s">
        <v>13</v>
      </c>
      <c r="H981" s="42" t="s">
        <v>32</v>
      </c>
      <c r="I981" s="42" t="s">
        <v>620</v>
      </c>
      <c r="J981" s="10">
        <v>50000</v>
      </c>
      <c r="K981" s="7">
        <v>-50000</v>
      </c>
      <c r="L981" s="1" t="s">
        <v>895</v>
      </c>
    </row>
    <row r="982" spans="1:12">
      <c r="A982" s="21" t="str">
        <f>TEXT(TEXT(B982,"yyyymmdd"),"00000000")&amp;TEXT(COUNTIF($B$2:B982,B982),"00")</f>
        <v>2023102802</v>
      </c>
      <c r="B982" s="21">
        <f t="shared" si="15"/>
        <v>45227</v>
      </c>
      <c r="C982" s="22">
        <v>2023</v>
      </c>
      <c r="D982" s="23">
        <v>10</v>
      </c>
      <c r="E982" s="24">
        <v>28</v>
      </c>
      <c r="F982" s="42" t="s">
        <v>17</v>
      </c>
      <c r="G982" s="42" t="s">
        <v>7</v>
      </c>
      <c r="H982" s="42" t="s">
        <v>110</v>
      </c>
      <c r="I982" s="42" t="s">
        <v>122</v>
      </c>
      <c r="J982" s="10">
        <v>5000</v>
      </c>
      <c r="K982" s="7">
        <v>-5000</v>
      </c>
      <c r="L982" s="1" t="s">
        <v>894</v>
      </c>
    </row>
    <row r="983" spans="1:12">
      <c r="A983" s="21" t="str">
        <f>TEXT(TEXT(B983,"yyyymmdd"),"00000000")&amp;TEXT(COUNTIF($B$2:B983,B983),"00")</f>
        <v>2023102803</v>
      </c>
      <c r="B983" s="21">
        <f t="shared" si="15"/>
        <v>45227</v>
      </c>
      <c r="C983" s="22">
        <v>2023</v>
      </c>
      <c r="D983" s="23">
        <v>10</v>
      </c>
      <c r="E983" s="24">
        <v>28</v>
      </c>
      <c r="F983" s="42" t="s">
        <v>17</v>
      </c>
      <c r="G983" s="42" t="s">
        <v>7</v>
      </c>
      <c r="H983" s="42" t="s">
        <v>117</v>
      </c>
      <c r="I983" s="42" t="s">
        <v>453</v>
      </c>
      <c r="J983" s="10">
        <v>22000</v>
      </c>
      <c r="K983" s="7">
        <v>-22000</v>
      </c>
      <c r="L983" s="1" t="s">
        <v>754</v>
      </c>
    </row>
    <row r="984" spans="1:12">
      <c r="A984" s="21" t="str">
        <f>TEXT(TEXT(B984,"yyyymmdd"),"00000000")&amp;TEXT(COUNTIF($B$2:B984,B984),"00")</f>
        <v>2023102804</v>
      </c>
      <c r="B984" s="21">
        <f t="shared" si="15"/>
        <v>45227</v>
      </c>
      <c r="C984" s="22">
        <v>2023</v>
      </c>
      <c r="D984" s="23">
        <v>10</v>
      </c>
      <c r="E984" s="24">
        <v>28</v>
      </c>
      <c r="F984" s="42" t="s">
        <v>17</v>
      </c>
      <c r="G984" s="42" t="s">
        <v>7</v>
      </c>
      <c r="H984" s="42" t="s">
        <v>167</v>
      </c>
      <c r="I984" s="42" t="s">
        <v>214</v>
      </c>
      <c r="J984" s="10">
        <v>13900</v>
      </c>
      <c r="K984" s="7">
        <v>-13900</v>
      </c>
      <c r="L984" s="1" t="s">
        <v>753</v>
      </c>
    </row>
    <row r="985" spans="1:12">
      <c r="A985" s="21" t="str">
        <f>TEXT(TEXT(B985,"yyyymmdd"),"00000000")&amp;TEXT(COUNTIF($B$2:B985,B985),"00")</f>
        <v>2023102805</v>
      </c>
      <c r="B985" s="21">
        <f t="shared" si="15"/>
        <v>45227</v>
      </c>
      <c r="C985" s="22">
        <v>2023</v>
      </c>
      <c r="D985" s="23">
        <v>10</v>
      </c>
      <c r="E985" s="24">
        <v>28</v>
      </c>
      <c r="F985" s="42" t="s">
        <v>17</v>
      </c>
      <c r="G985" s="42" t="s">
        <v>11</v>
      </c>
      <c r="H985" s="42" t="s">
        <v>99</v>
      </c>
      <c r="I985" s="42" t="s">
        <v>94</v>
      </c>
      <c r="J985" s="10">
        <v>-200000</v>
      </c>
      <c r="K985" s="7">
        <v>200000</v>
      </c>
      <c r="L985" s="1" t="s">
        <v>877</v>
      </c>
    </row>
    <row r="986" spans="1:12">
      <c r="A986" s="21" t="str">
        <f>TEXT(TEXT(B986,"yyyymmdd"),"00000000")&amp;TEXT(COUNTIF($B$2:B986,B986),"00")</f>
        <v>2023102806</v>
      </c>
      <c r="B986" s="21">
        <f t="shared" si="15"/>
        <v>45227</v>
      </c>
      <c r="C986" s="22">
        <v>2023</v>
      </c>
      <c r="D986" s="23">
        <v>10</v>
      </c>
      <c r="E986" s="24">
        <v>28</v>
      </c>
      <c r="F986" s="42" t="s">
        <v>17</v>
      </c>
      <c r="G986" s="42" t="s">
        <v>7</v>
      </c>
      <c r="H986" s="42" t="s">
        <v>138</v>
      </c>
      <c r="I986" s="42" t="s">
        <v>139</v>
      </c>
      <c r="J986" s="10">
        <v>13500</v>
      </c>
      <c r="K986" s="7">
        <v>-13500</v>
      </c>
      <c r="L986" s="1" t="s">
        <v>896</v>
      </c>
    </row>
    <row r="987" spans="1:12">
      <c r="A987" s="21" t="str">
        <f>TEXT(TEXT(B987,"yyyymmdd"),"00000000")&amp;TEXT(COUNTIF($B$2:B987,B987),"00")</f>
        <v>2023103001</v>
      </c>
      <c r="B987" s="21">
        <f t="shared" si="15"/>
        <v>45229</v>
      </c>
      <c r="C987" s="22">
        <v>2023</v>
      </c>
      <c r="D987" s="23">
        <v>10</v>
      </c>
      <c r="E987" s="24">
        <v>30</v>
      </c>
      <c r="F987" s="42" t="s">
        <v>17</v>
      </c>
      <c r="G987" s="42" t="s">
        <v>13</v>
      </c>
      <c r="H987" s="42" t="s">
        <v>138</v>
      </c>
      <c r="I987" s="42" t="s">
        <v>139</v>
      </c>
      <c r="J987" s="10">
        <v>6900</v>
      </c>
      <c r="K987" s="7">
        <v>-6900</v>
      </c>
      <c r="L987" s="1" t="s">
        <v>623</v>
      </c>
    </row>
    <row r="988" spans="1:12">
      <c r="A988" s="21" t="str">
        <f>TEXT(TEXT(B988,"yyyymmdd"),"00000000")&amp;TEXT(COUNTIF($B$2:B988,B988),"00")</f>
        <v>2023103002</v>
      </c>
      <c r="B988" s="21">
        <f t="shared" si="15"/>
        <v>45229</v>
      </c>
      <c r="C988" s="22">
        <v>2023</v>
      </c>
      <c r="D988" s="23">
        <v>10</v>
      </c>
      <c r="E988" s="24">
        <v>30</v>
      </c>
      <c r="F988" s="42" t="s">
        <v>17</v>
      </c>
      <c r="G988" s="42" t="s">
        <v>7</v>
      </c>
      <c r="H988" s="42" t="s">
        <v>116</v>
      </c>
      <c r="I988" s="42" t="s">
        <v>339</v>
      </c>
      <c r="J988" s="10">
        <v>27500</v>
      </c>
      <c r="K988" s="7">
        <v>-27500</v>
      </c>
      <c r="L988" s="1" t="s">
        <v>897</v>
      </c>
    </row>
    <row r="989" spans="1:12">
      <c r="A989" s="21" t="str">
        <f>TEXT(TEXT(B989,"yyyymmdd"),"00000000")&amp;TEXT(COUNTIF($B$2:B989,B989),"00")</f>
        <v>2023103003</v>
      </c>
      <c r="B989" s="21">
        <f t="shared" si="15"/>
        <v>45229</v>
      </c>
      <c r="C989" s="22">
        <v>2023</v>
      </c>
      <c r="D989" s="23">
        <v>10</v>
      </c>
      <c r="E989" s="24">
        <v>30</v>
      </c>
      <c r="F989" s="42" t="s">
        <v>17</v>
      </c>
      <c r="G989" s="42" t="s">
        <v>7</v>
      </c>
      <c r="H989" s="42" t="s">
        <v>116</v>
      </c>
      <c r="I989" s="42" t="s">
        <v>339</v>
      </c>
      <c r="J989" s="10">
        <v>15150</v>
      </c>
      <c r="K989" s="7">
        <v>-15150</v>
      </c>
      <c r="L989" s="1" t="s">
        <v>897</v>
      </c>
    </row>
    <row r="990" spans="1:12">
      <c r="A990" s="21" t="str">
        <f>TEXT(TEXT(B990,"yyyymmdd"),"00000000")&amp;TEXT(COUNTIF($B$2:B990,B990),"00")</f>
        <v>2023103004</v>
      </c>
      <c r="B990" s="21">
        <f t="shared" si="15"/>
        <v>45229</v>
      </c>
      <c r="C990" s="22">
        <v>2023</v>
      </c>
      <c r="D990" s="23">
        <v>10</v>
      </c>
      <c r="E990" s="24">
        <v>30</v>
      </c>
      <c r="F990" s="42" t="s">
        <v>17</v>
      </c>
      <c r="G990" s="42" t="s">
        <v>7</v>
      </c>
      <c r="H990" s="42" t="s">
        <v>32</v>
      </c>
      <c r="I990" s="42" t="s">
        <v>141</v>
      </c>
      <c r="J990" s="10">
        <v>3000</v>
      </c>
      <c r="K990" s="7">
        <v>-3000</v>
      </c>
      <c r="L990" s="1" t="s">
        <v>898</v>
      </c>
    </row>
    <row r="991" spans="1:12">
      <c r="A991" s="21" t="str">
        <f>TEXT(TEXT(B991,"yyyymmdd"),"00000000")&amp;TEXT(COUNTIF($B$2:B991,B991),"00")</f>
        <v>2023103005</v>
      </c>
      <c r="B991" s="21">
        <f t="shared" si="15"/>
        <v>45229</v>
      </c>
      <c r="C991" s="22">
        <v>2023</v>
      </c>
      <c r="D991" s="23">
        <v>10</v>
      </c>
      <c r="E991" s="24">
        <v>30</v>
      </c>
      <c r="F991" s="42" t="s">
        <v>17</v>
      </c>
      <c r="G991" s="42" t="s">
        <v>7</v>
      </c>
      <c r="H991" s="42" t="s">
        <v>167</v>
      </c>
      <c r="I991" s="42" t="s">
        <v>168</v>
      </c>
      <c r="J991" s="10">
        <v>1800</v>
      </c>
      <c r="K991" s="7">
        <v>-1800</v>
      </c>
      <c r="L991" s="1" t="s">
        <v>671</v>
      </c>
    </row>
    <row r="992" spans="1:12">
      <c r="A992" s="21" t="str">
        <f>TEXT(TEXT(B992,"yyyymmdd"),"00000000")&amp;TEXT(COUNTIF($B$2:B992,B992),"00")</f>
        <v>2023103006</v>
      </c>
      <c r="B992" s="21">
        <f t="shared" si="15"/>
        <v>45229</v>
      </c>
      <c r="C992" s="22">
        <v>2023</v>
      </c>
      <c r="D992" s="23">
        <v>10</v>
      </c>
      <c r="E992" s="24">
        <v>30</v>
      </c>
      <c r="F992" s="42" t="s">
        <v>17</v>
      </c>
      <c r="G992" s="42" t="s">
        <v>170</v>
      </c>
      <c r="H992" s="42" t="s">
        <v>155</v>
      </c>
      <c r="I992" s="42" t="s">
        <v>156</v>
      </c>
      <c r="J992" s="10">
        <v>1528</v>
      </c>
      <c r="K992" s="7">
        <v>-1528</v>
      </c>
      <c r="L992" s="1" t="s">
        <v>303</v>
      </c>
    </row>
    <row r="993" spans="1:13">
      <c r="A993" s="21" t="str">
        <f>TEXT(TEXT(B993,"yyyymmdd"),"00000000")&amp;TEXT(COUNTIF($B$2:B993,B993),"00")</f>
        <v>2023103101</v>
      </c>
      <c r="B993" s="21">
        <f t="shared" si="15"/>
        <v>45230</v>
      </c>
      <c r="C993" s="22">
        <v>2023</v>
      </c>
      <c r="D993" s="23">
        <v>10</v>
      </c>
      <c r="E993" s="24">
        <v>31</v>
      </c>
      <c r="F993" s="42" t="s">
        <v>17</v>
      </c>
      <c r="G993" s="42" t="s">
        <v>7</v>
      </c>
      <c r="H993" s="42" t="s">
        <v>167</v>
      </c>
      <c r="I993" s="42" t="s">
        <v>168</v>
      </c>
      <c r="J993" s="10">
        <v>1500</v>
      </c>
      <c r="K993" s="7">
        <v>-1500</v>
      </c>
      <c r="L993" s="1" t="s">
        <v>532</v>
      </c>
      <c r="M993" s="2" t="s">
        <v>899</v>
      </c>
    </row>
    <row r="994" spans="1:13">
      <c r="A994" s="21" t="str">
        <f>TEXT(TEXT(B994,"yyyymmdd"),"00000000")&amp;TEXT(COUNTIF($B$2:B994,B994),"00")</f>
        <v>2023103102</v>
      </c>
      <c r="B994" s="21">
        <f t="shared" si="15"/>
        <v>45230</v>
      </c>
      <c r="C994" s="22">
        <v>2023</v>
      </c>
      <c r="D994" s="23">
        <v>10</v>
      </c>
      <c r="E994" s="24">
        <v>31</v>
      </c>
      <c r="F994" s="42" t="s">
        <v>17</v>
      </c>
      <c r="G994" s="42" t="s">
        <v>7</v>
      </c>
      <c r="H994" s="42" t="s">
        <v>116</v>
      </c>
      <c r="I994" s="42" t="s">
        <v>212</v>
      </c>
      <c r="J994" s="10">
        <v>2760</v>
      </c>
      <c r="K994" s="7">
        <v>-2760</v>
      </c>
      <c r="L994" s="1" t="s">
        <v>901</v>
      </c>
    </row>
    <row r="995" spans="1:13">
      <c r="A995" s="21" t="str">
        <f>TEXT(TEXT(B995,"yyyymmdd"),"00000000")&amp;TEXT(COUNTIF($B$2:B995,B995),"00")</f>
        <v>2023103103</v>
      </c>
      <c r="B995" s="21">
        <f t="shared" si="15"/>
        <v>45230</v>
      </c>
      <c r="C995" s="22">
        <v>2023</v>
      </c>
      <c r="D995" s="23">
        <v>10</v>
      </c>
      <c r="E995" s="24">
        <v>31</v>
      </c>
      <c r="F995" s="42" t="s">
        <v>17</v>
      </c>
      <c r="G995" s="42" t="s">
        <v>13</v>
      </c>
      <c r="H995" s="42" t="s">
        <v>138</v>
      </c>
      <c r="I995" s="42" t="s">
        <v>139</v>
      </c>
      <c r="J995" s="10">
        <v>6500</v>
      </c>
      <c r="K995" s="7">
        <v>-6500</v>
      </c>
      <c r="L995" s="1" t="s">
        <v>679</v>
      </c>
    </row>
    <row r="996" spans="1:13">
      <c r="A996" s="21" t="str">
        <f>TEXT(TEXT(B996,"yyyymmdd"),"00000000")&amp;TEXT(COUNTIF($B$2:B996,B996),"00")</f>
        <v>2023103104</v>
      </c>
      <c r="B996" s="21">
        <f t="shared" si="15"/>
        <v>45230</v>
      </c>
      <c r="C996" s="22">
        <v>2023</v>
      </c>
      <c r="D996" s="23">
        <v>10</v>
      </c>
      <c r="E996" s="24">
        <v>31</v>
      </c>
      <c r="F996" s="42" t="s">
        <v>17</v>
      </c>
      <c r="G996" s="42" t="s">
        <v>7</v>
      </c>
      <c r="H996" s="42" t="s">
        <v>111</v>
      </c>
      <c r="I996" s="42" t="s">
        <v>334</v>
      </c>
      <c r="J996" s="10">
        <v>18136</v>
      </c>
      <c r="K996" s="7">
        <v>-18136</v>
      </c>
      <c r="L996" s="1" t="s">
        <v>900</v>
      </c>
    </row>
    <row r="997" spans="1:13">
      <c r="A997" s="21" t="str">
        <f>TEXT(TEXT(B997,"yyyymmdd"),"00000000")&amp;TEXT(COUNTIF($B$2:B997,B997),"00")</f>
        <v>2023103105</v>
      </c>
      <c r="B997" s="21">
        <f t="shared" si="15"/>
        <v>45230</v>
      </c>
      <c r="C997" s="22">
        <v>2023</v>
      </c>
      <c r="D997" s="23">
        <v>10</v>
      </c>
      <c r="E997" s="24">
        <v>31</v>
      </c>
      <c r="F997" s="42" t="s">
        <v>17</v>
      </c>
      <c r="G997" s="42" t="s">
        <v>7</v>
      </c>
      <c r="H997" s="42" t="s">
        <v>110</v>
      </c>
      <c r="I997" s="42" t="s">
        <v>122</v>
      </c>
      <c r="J997" s="10">
        <v>4625</v>
      </c>
      <c r="K997" s="7">
        <v>-4625</v>
      </c>
      <c r="L997" s="1" t="s">
        <v>651</v>
      </c>
      <c r="M997" s="2" t="s">
        <v>600</v>
      </c>
    </row>
    <row r="998" spans="1:13">
      <c r="A998" s="21" t="str">
        <f>TEXT(TEXT(B998,"yyyymmdd"),"00000000")&amp;TEXT(COUNTIF($B$2:B998,B998),"00")</f>
        <v>2023103106</v>
      </c>
      <c r="B998" s="21">
        <f t="shared" si="15"/>
        <v>45230</v>
      </c>
      <c r="C998" s="22">
        <v>2023</v>
      </c>
      <c r="D998" s="23">
        <v>10</v>
      </c>
      <c r="E998" s="24">
        <v>31</v>
      </c>
      <c r="F998" s="42" t="s">
        <v>17</v>
      </c>
      <c r="G998" s="42" t="s">
        <v>7</v>
      </c>
      <c r="H998" s="42" t="s">
        <v>116</v>
      </c>
      <c r="I998" s="42" t="s">
        <v>212</v>
      </c>
      <c r="J998" s="10">
        <v>5000</v>
      </c>
      <c r="K998" s="7">
        <v>-5000</v>
      </c>
      <c r="L998" s="1" t="s">
        <v>902</v>
      </c>
    </row>
    <row r="999" spans="1:13">
      <c r="A999" s="21" t="str">
        <f>TEXT(TEXT(B999,"yyyymmdd"),"00000000")&amp;TEXT(COUNTIF($B$2:B999,B999),"00")</f>
        <v>2023110101</v>
      </c>
      <c r="B999" s="21">
        <f t="shared" si="15"/>
        <v>45231</v>
      </c>
      <c r="C999" s="22">
        <v>2023</v>
      </c>
      <c r="D999" s="23">
        <v>11</v>
      </c>
      <c r="E999" s="24">
        <v>1</v>
      </c>
      <c r="F999" s="42" t="s">
        <v>17</v>
      </c>
      <c r="G999" s="42" t="s">
        <v>151</v>
      </c>
      <c r="H999" s="42" t="s">
        <v>151</v>
      </c>
      <c r="I999" s="42" t="s">
        <v>152</v>
      </c>
      <c r="J999" s="10">
        <v>-500000</v>
      </c>
      <c r="K999" s="7">
        <v>500000</v>
      </c>
      <c r="L999" s="1" t="s">
        <v>252</v>
      </c>
      <c r="M999" s="2" t="s">
        <v>903</v>
      </c>
    </row>
    <row r="1000" spans="1:13">
      <c r="A1000" s="21" t="str">
        <f>TEXT(TEXT(B1000,"yyyymmdd"),"00000000")&amp;TEXT(COUNTIF($B$2:B1000,B1000),"00")</f>
        <v>2023110102</v>
      </c>
      <c r="B1000" s="21">
        <f t="shared" si="15"/>
        <v>45231</v>
      </c>
      <c r="C1000" s="22">
        <v>2023</v>
      </c>
      <c r="D1000" s="23">
        <v>11</v>
      </c>
      <c r="E1000" s="24">
        <v>1</v>
      </c>
      <c r="F1000" s="42" t="s">
        <v>17</v>
      </c>
      <c r="G1000" s="42" t="s">
        <v>13</v>
      </c>
      <c r="H1000" s="42" t="s">
        <v>138</v>
      </c>
      <c r="I1000" s="42" t="s">
        <v>139</v>
      </c>
      <c r="J1000" s="10">
        <v>5000</v>
      </c>
      <c r="K1000" s="7">
        <v>-5000</v>
      </c>
      <c r="L1000" s="1" t="s">
        <v>619</v>
      </c>
    </row>
    <row r="1001" spans="1:13">
      <c r="A1001" s="21" t="str">
        <f>TEXT(TEXT(B1001,"yyyymmdd"),"00000000")&amp;TEXT(COUNTIF($B$2:B1001,B1001),"00")</f>
        <v>2023110103</v>
      </c>
      <c r="B1001" s="21">
        <f t="shared" si="15"/>
        <v>45231</v>
      </c>
      <c r="C1001" s="22">
        <v>2023</v>
      </c>
      <c r="D1001" s="23">
        <v>11</v>
      </c>
      <c r="E1001" s="24">
        <v>1</v>
      </c>
      <c r="F1001" s="42" t="s">
        <v>17</v>
      </c>
      <c r="G1001" s="42" t="s">
        <v>13</v>
      </c>
      <c r="H1001" s="42" t="s">
        <v>138</v>
      </c>
      <c r="I1001" s="42" t="s">
        <v>139</v>
      </c>
      <c r="J1001" s="10">
        <v>9000</v>
      </c>
      <c r="K1001" s="7">
        <v>-9000</v>
      </c>
      <c r="L1001" s="1" t="s">
        <v>738</v>
      </c>
    </row>
    <row r="1002" spans="1:13">
      <c r="A1002" s="21" t="str">
        <f>TEXT(TEXT(B1002,"yyyymmdd"),"00000000")&amp;TEXT(COUNTIF($B$2:B1002,B1002),"00")</f>
        <v>2023110201</v>
      </c>
      <c r="B1002" s="21">
        <f t="shared" si="15"/>
        <v>45232</v>
      </c>
      <c r="C1002" s="22">
        <v>2023</v>
      </c>
      <c r="D1002" s="23">
        <v>11</v>
      </c>
      <c r="E1002" s="24">
        <v>2</v>
      </c>
      <c r="F1002" s="42" t="s">
        <v>17</v>
      </c>
      <c r="G1002" s="42" t="s">
        <v>13</v>
      </c>
      <c r="H1002" s="42" t="s">
        <v>138</v>
      </c>
      <c r="I1002" s="42" t="s">
        <v>139</v>
      </c>
      <c r="J1002" s="10">
        <v>8500</v>
      </c>
      <c r="K1002" s="7">
        <v>-8500</v>
      </c>
      <c r="L1002" s="1" t="s">
        <v>660</v>
      </c>
    </row>
    <row r="1003" spans="1:13">
      <c r="A1003" s="21" t="str">
        <f>TEXT(TEXT(B1003,"yyyymmdd"),"00000000")&amp;TEXT(COUNTIF($B$2:B1003,B1003),"00")</f>
        <v>2023110301</v>
      </c>
      <c r="B1003" s="21">
        <f t="shared" si="15"/>
        <v>45233</v>
      </c>
      <c r="C1003" s="22">
        <v>2023</v>
      </c>
      <c r="D1003" s="23">
        <v>11</v>
      </c>
      <c r="E1003" s="24">
        <v>3</v>
      </c>
      <c r="F1003" s="42" t="s">
        <v>17</v>
      </c>
      <c r="G1003" s="42" t="s">
        <v>7</v>
      </c>
      <c r="H1003" s="42" t="s">
        <v>173</v>
      </c>
      <c r="I1003" s="42" t="s">
        <v>207</v>
      </c>
      <c r="J1003" s="10">
        <v>6360</v>
      </c>
      <c r="K1003" s="7">
        <v>-6360</v>
      </c>
      <c r="L1003" s="1" t="s">
        <v>208</v>
      </c>
    </row>
    <row r="1004" spans="1:13">
      <c r="A1004" s="21" t="str">
        <f>TEXT(TEXT(B1004,"yyyymmdd"),"00000000")&amp;TEXT(COUNTIF($B$2:B1004,B1004),"00")</f>
        <v>2023110302</v>
      </c>
      <c r="B1004" s="21">
        <f t="shared" si="15"/>
        <v>45233</v>
      </c>
      <c r="C1004" s="22">
        <v>2023</v>
      </c>
      <c r="D1004" s="23">
        <v>11</v>
      </c>
      <c r="E1004" s="24">
        <v>3</v>
      </c>
      <c r="F1004" s="42" t="s">
        <v>17</v>
      </c>
      <c r="G1004" s="42" t="s">
        <v>13</v>
      </c>
      <c r="H1004" s="42" t="s">
        <v>138</v>
      </c>
      <c r="I1004" s="42" t="s">
        <v>139</v>
      </c>
      <c r="J1004" s="10">
        <v>10500</v>
      </c>
      <c r="K1004" s="7">
        <v>-10500</v>
      </c>
      <c r="L1004" s="1" t="s">
        <v>670</v>
      </c>
    </row>
    <row r="1005" spans="1:13">
      <c r="A1005" s="21" t="str">
        <f>TEXT(TEXT(B1005,"yyyymmdd"),"00000000")&amp;TEXT(COUNTIF($B$2:B1005,B1005),"00")</f>
        <v>2023110303</v>
      </c>
      <c r="B1005" s="21">
        <f t="shared" si="15"/>
        <v>45233</v>
      </c>
      <c r="C1005" s="22">
        <v>2023</v>
      </c>
      <c r="D1005" s="23">
        <v>11</v>
      </c>
      <c r="E1005" s="24">
        <v>3</v>
      </c>
      <c r="F1005" s="42" t="s">
        <v>17</v>
      </c>
      <c r="G1005" s="42" t="s">
        <v>13</v>
      </c>
      <c r="H1005" s="42" t="s">
        <v>138</v>
      </c>
      <c r="I1005" s="42" t="s">
        <v>139</v>
      </c>
      <c r="J1005" s="10">
        <v>5500</v>
      </c>
      <c r="K1005" s="7">
        <v>-5500</v>
      </c>
      <c r="L1005" s="1" t="s">
        <v>634</v>
      </c>
    </row>
    <row r="1006" spans="1:13">
      <c r="A1006" s="21" t="str">
        <f>TEXT(TEXT(B1006,"yyyymmdd"),"00000000")&amp;TEXT(COUNTIF($B$2:B1006,B1006),"00")</f>
        <v>2023110601</v>
      </c>
      <c r="B1006" s="21">
        <f t="shared" si="15"/>
        <v>45236</v>
      </c>
      <c r="C1006" s="22">
        <v>2023</v>
      </c>
      <c r="D1006" s="23">
        <v>11</v>
      </c>
      <c r="E1006" s="24">
        <v>6</v>
      </c>
      <c r="F1006" s="42" t="s">
        <v>17</v>
      </c>
      <c r="G1006" s="42" t="s">
        <v>13</v>
      </c>
      <c r="H1006" s="42" t="s">
        <v>138</v>
      </c>
      <c r="I1006" s="42" t="s">
        <v>139</v>
      </c>
      <c r="J1006" s="10">
        <v>7500</v>
      </c>
      <c r="K1006" s="7">
        <v>-7500</v>
      </c>
      <c r="L1006" s="1" t="s">
        <v>677</v>
      </c>
    </row>
    <row r="1007" spans="1:13">
      <c r="A1007" s="21" t="str">
        <f>TEXT(TEXT(B1007,"yyyymmdd"),"00000000")&amp;TEXT(COUNTIF($B$2:B1007,B1007),"00")</f>
        <v>2023110602</v>
      </c>
      <c r="B1007" s="21">
        <f t="shared" si="15"/>
        <v>45236</v>
      </c>
      <c r="C1007" s="22">
        <v>2023</v>
      </c>
      <c r="D1007" s="23">
        <v>11</v>
      </c>
      <c r="E1007" s="24">
        <v>6</v>
      </c>
      <c r="F1007" s="42" t="s">
        <v>17</v>
      </c>
      <c r="G1007" s="42" t="s">
        <v>7</v>
      </c>
      <c r="H1007" s="42" t="s">
        <v>110</v>
      </c>
      <c r="I1007" s="42" t="s">
        <v>120</v>
      </c>
      <c r="J1007" s="10">
        <v>2800</v>
      </c>
      <c r="K1007" s="7">
        <v>-2800</v>
      </c>
      <c r="L1007" s="1" t="s">
        <v>619</v>
      </c>
      <c r="M1007" s="2" t="s">
        <v>905</v>
      </c>
    </row>
    <row r="1008" spans="1:13">
      <c r="A1008" s="21" t="str">
        <f>TEXT(TEXT(B1008,"yyyymmdd"),"00000000")&amp;TEXT(COUNTIF($B$2:B1008,B1008),"00")</f>
        <v>2023110701</v>
      </c>
      <c r="B1008" s="21">
        <f t="shared" si="15"/>
        <v>45237</v>
      </c>
      <c r="C1008" s="22">
        <v>2023</v>
      </c>
      <c r="D1008" s="23">
        <v>11</v>
      </c>
      <c r="E1008" s="24">
        <v>7</v>
      </c>
      <c r="F1008" s="42" t="s">
        <v>17</v>
      </c>
      <c r="G1008" s="42" t="s">
        <v>13</v>
      </c>
      <c r="H1008" s="42" t="s">
        <v>138</v>
      </c>
      <c r="I1008" s="42" t="s">
        <v>139</v>
      </c>
      <c r="J1008" s="10">
        <v>4500</v>
      </c>
      <c r="K1008" s="7">
        <v>-4500</v>
      </c>
      <c r="L1008" s="1" t="s">
        <v>870</v>
      </c>
    </row>
    <row r="1009" spans="1:13">
      <c r="A1009" s="21" t="str">
        <f>TEXT(TEXT(B1009,"yyyymmdd"),"00000000")&amp;TEXT(COUNTIF($B$2:B1009,B1009),"00")</f>
        <v>2023110702</v>
      </c>
      <c r="B1009" s="21">
        <f t="shared" si="15"/>
        <v>45237</v>
      </c>
      <c r="C1009" s="22">
        <v>2023</v>
      </c>
      <c r="D1009" s="23">
        <v>11</v>
      </c>
      <c r="E1009" s="24">
        <v>7</v>
      </c>
      <c r="F1009" s="42" t="s">
        <v>17</v>
      </c>
      <c r="G1009" s="42" t="s">
        <v>13</v>
      </c>
      <c r="H1009" s="42" t="s">
        <v>138</v>
      </c>
      <c r="I1009" s="42" t="s">
        <v>139</v>
      </c>
      <c r="J1009" s="10">
        <v>9900</v>
      </c>
      <c r="K1009" s="7">
        <v>-9900</v>
      </c>
      <c r="L1009" s="1" t="s">
        <v>819</v>
      </c>
    </row>
    <row r="1010" spans="1:13">
      <c r="A1010" s="21" t="str">
        <f>TEXT(TEXT(B1010,"yyyymmdd"),"00000000")&amp;TEXT(COUNTIF($B$2:B1010,B1010),"00")</f>
        <v>2023110703</v>
      </c>
      <c r="B1010" s="21">
        <f t="shared" si="15"/>
        <v>45237</v>
      </c>
      <c r="C1010" s="22">
        <v>2023</v>
      </c>
      <c r="D1010" s="23">
        <v>11</v>
      </c>
      <c r="E1010" s="24">
        <v>7</v>
      </c>
      <c r="F1010" s="42" t="s">
        <v>17</v>
      </c>
      <c r="G1010" s="42" t="s">
        <v>135</v>
      </c>
      <c r="H1010" s="42" t="s">
        <v>135</v>
      </c>
      <c r="I1010" s="42" t="s">
        <v>143</v>
      </c>
      <c r="J1010" s="10">
        <v>-10000</v>
      </c>
      <c r="K1010" s="7">
        <v>10000</v>
      </c>
      <c r="L1010" s="1" t="s">
        <v>165</v>
      </c>
    </row>
    <row r="1011" spans="1:13">
      <c r="A1011" s="21" t="str">
        <f>TEXT(TEXT(B1011,"yyyymmdd"),"00000000")&amp;TEXT(COUNTIF($B$2:B1011,B1011),"00")</f>
        <v>2023110801</v>
      </c>
      <c r="B1011" s="21">
        <f t="shared" si="15"/>
        <v>45238</v>
      </c>
      <c r="C1011" s="22">
        <v>2023</v>
      </c>
      <c r="D1011" s="23">
        <v>11</v>
      </c>
      <c r="E1011" s="24">
        <v>8</v>
      </c>
      <c r="F1011" s="42" t="s">
        <v>17</v>
      </c>
      <c r="G1011" s="42" t="s">
        <v>11</v>
      </c>
      <c r="H1011" s="42" t="s">
        <v>99</v>
      </c>
      <c r="I1011" s="42" t="s">
        <v>94</v>
      </c>
      <c r="J1011" s="10">
        <v>-187</v>
      </c>
      <c r="K1011" s="7">
        <v>187</v>
      </c>
      <c r="L1011" s="1" t="s">
        <v>907</v>
      </c>
      <c r="M1011" s="2" t="s">
        <v>908</v>
      </c>
    </row>
    <row r="1012" spans="1:13">
      <c r="A1012" s="21" t="str">
        <f>TEXT(TEXT(B1012,"yyyymmdd"),"00000000")&amp;TEXT(COUNTIF($B$2:B1012,B1012),"00")</f>
        <v>2023110802</v>
      </c>
      <c r="B1012" s="21">
        <f t="shared" si="15"/>
        <v>45238</v>
      </c>
      <c r="C1012" s="22">
        <v>2023</v>
      </c>
      <c r="D1012" s="23">
        <v>11</v>
      </c>
      <c r="E1012" s="24">
        <v>8</v>
      </c>
      <c r="F1012" s="42" t="s">
        <v>17</v>
      </c>
      <c r="G1012" s="42" t="s">
        <v>13</v>
      </c>
      <c r="H1012" s="42" t="s">
        <v>32</v>
      </c>
      <c r="I1012" s="42" t="s">
        <v>620</v>
      </c>
      <c r="J1012" s="10">
        <v>66000</v>
      </c>
      <c r="K1012" s="7">
        <v>-66000</v>
      </c>
      <c r="L1012" s="1" t="s">
        <v>715</v>
      </c>
    </row>
    <row r="1013" spans="1:13">
      <c r="A1013" s="21" t="str">
        <f>TEXT(TEXT(B1013,"yyyymmdd"),"00000000")&amp;TEXT(COUNTIF($B$2:B1013,B1013),"00")</f>
        <v>2023110803</v>
      </c>
      <c r="B1013" s="21">
        <f t="shared" si="15"/>
        <v>45238</v>
      </c>
      <c r="C1013" s="22">
        <v>2023</v>
      </c>
      <c r="D1013" s="23">
        <v>11</v>
      </c>
      <c r="E1013" s="24">
        <v>8</v>
      </c>
      <c r="F1013" s="42" t="s">
        <v>17</v>
      </c>
      <c r="G1013" s="42" t="s">
        <v>13</v>
      </c>
      <c r="H1013" s="42" t="s">
        <v>138</v>
      </c>
      <c r="I1013" s="42" t="s">
        <v>139</v>
      </c>
      <c r="J1013" s="10">
        <v>9000</v>
      </c>
      <c r="K1013" s="7">
        <v>-9000</v>
      </c>
      <c r="L1013" s="1" t="s">
        <v>701</v>
      </c>
    </row>
    <row r="1014" spans="1:13">
      <c r="A1014" s="21" t="str">
        <f>TEXT(TEXT(B1014,"yyyymmdd"),"00000000")&amp;TEXT(COUNTIF($B$2:B1014,B1014),"00")</f>
        <v>2023110804</v>
      </c>
      <c r="B1014" s="21">
        <f t="shared" si="15"/>
        <v>45238</v>
      </c>
      <c r="C1014" s="22">
        <v>2023</v>
      </c>
      <c r="D1014" s="23">
        <v>11</v>
      </c>
      <c r="E1014" s="24">
        <v>8</v>
      </c>
      <c r="F1014" s="42" t="s">
        <v>17</v>
      </c>
      <c r="G1014" s="42" t="s">
        <v>13</v>
      </c>
      <c r="H1014" s="42" t="s">
        <v>138</v>
      </c>
      <c r="I1014" s="42" t="s">
        <v>139</v>
      </c>
      <c r="J1014" s="10">
        <v>5000</v>
      </c>
      <c r="K1014" s="7">
        <v>-5000</v>
      </c>
      <c r="L1014" s="1" t="s">
        <v>619</v>
      </c>
    </row>
    <row r="1015" spans="1:13">
      <c r="A1015" s="21" t="str">
        <f>TEXT(TEXT(B1015,"yyyymmdd"),"00000000")&amp;TEXT(COUNTIF($B$2:B1015,B1015),"00")</f>
        <v>2023110901</v>
      </c>
      <c r="B1015" s="21">
        <f t="shared" si="15"/>
        <v>45239</v>
      </c>
      <c r="C1015" s="22">
        <v>2023</v>
      </c>
      <c r="D1015" s="23">
        <v>11</v>
      </c>
      <c r="E1015" s="24">
        <v>9</v>
      </c>
      <c r="F1015" s="42" t="s">
        <v>17</v>
      </c>
      <c r="G1015" s="42" t="s">
        <v>13</v>
      </c>
      <c r="H1015" s="42" t="s">
        <v>138</v>
      </c>
      <c r="I1015" s="42" t="s">
        <v>139</v>
      </c>
      <c r="J1015" s="10">
        <v>7000</v>
      </c>
      <c r="K1015" s="7">
        <v>-7000</v>
      </c>
      <c r="L1015" s="1" t="s">
        <v>679</v>
      </c>
    </row>
    <row r="1016" spans="1:13">
      <c r="A1016" s="21" t="str">
        <f>TEXT(TEXT(B1016,"yyyymmdd"),"00000000")&amp;TEXT(COUNTIF($B$2:B1016,B1016),"00")</f>
        <v>2023110902</v>
      </c>
      <c r="B1016" s="21">
        <f t="shared" si="15"/>
        <v>45239</v>
      </c>
      <c r="C1016" s="22">
        <v>2023</v>
      </c>
      <c r="D1016" s="23">
        <v>11</v>
      </c>
      <c r="E1016" s="24">
        <v>9</v>
      </c>
      <c r="F1016" s="42" t="s">
        <v>17</v>
      </c>
      <c r="G1016" s="42" t="s">
        <v>13</v>
      </c>
      <c r="H1016" s="42" t="s">
        <v>138</v>
      </c>
      <c r="I1016" s="42" t="s">
        <v>139</v>
      </c>
      <c r="J1016" s="10">
        <v>1000</v>
      </c>
      <c r="K1016" s="7">
        <v>-1000</v>
      </c>
      <c r="L1016" s="1" t="s">
        <v>619</v>
      </c>
    </row>
    <row r="1017" spans="1:13">
      <c r="A1017" s="21" t="str">
        <f>TEXT(TEXT(B1017,"yyyymmdd"),"00000000")&amp;TEXT(COUNTIF($B$2:B1017,B1017),"00")</f>
        <v>2023110903</v>
      </c>
      <c r="B1017" s="21">
        <f t="shared" si="15"/>
        <v>45239</v>
      </c>
      <c r="C1017" s="22">
        <v>2023</v>
      </c>
      <c r="D1017" s="23">
        <v>11</v>
      </c>
      <c r="E1017" s="24">
        <v>9</v>
      </c>
      <c r="F1017" s="42" t="s">
        <v>17</v>
      </c>
      <c r="G1017" s="42" t="s">
        <v>13</v>
      </c>
      <c r="H1017" s="42" t="s">
        <v>138</v>
      </c>
      <c r="I1017" s="42" t="s">
        <v>139</v>
      </c>
      <c r="J1017" s="10">
        <v>7500</v>
      </c>
      <c r="K1017" s="7">
        <v>-7500</v>
      </c>
      <c r="L1017" s="1" t="s">
        <v>822</v>
      </c>
    </row>
    <row r="1018" spans="1:13">
      <c r="A1018" s="21" t="str">
        <f>TEXT(TEXT(B1018,"yyyymmdd"),"00000000")&amp;TEXT(COUNTIF($B$2:B1018,B1018),"00")</f>
        <v>2023111001</v>
      </c>
      <c r="B1018" s="21">
        <f t="shared" si="15"/>
        <v>45240</v>
      </c>
      <c r="C1018" s="22">
        <v>2023</v>
      </c>
      <c r="D1018" s="23">
        <v>11</v>
      </c>
      <c r="E1018" s="24">
        <v>10</v>
      </c>
      <c r="F1018" s="42" t="s">
        <v>17</v>
      </c>
      <c r="G1018" s="42" t="s">
        <v>7</v>
      </c>
      <c r="H1018" s="42" t="s">
        <v>110</v>
      </c>
      <c r="I1018" s="42" t="s">
        <v>120</v>
      </c>
      <c r="J1018" s="10">
        <v>3500</v>
      </c>
      <c r="K1018" s="7">
        <v>-3500</v>
      </c>
      <c r="L1018" s="1" t="s">
        <v>820</v>
      </c>
    </row>
    <row r="1019" spans="1:13">
      <c r="A1019" s="21" t="str">
        <f>TEXT(TEXT(B1019,"yyyymmdd"),"00000000")&amp;TEXT(COUNTIF($B$2:B1019,B1019),"00")</f>
        <v>2023111002</v>
      </c>
      <c r="B1019" s="21">
        <f t="shared" si="15"/>
        <v>45240</v>
      </c>
      <c r="C1019" s="22">
        <v>2023</v>
      </c>
      <c r="D1019" s="23">
        <v>11</v>
      </c>
      <c r="E1019" s="24">
        <v>10</v>
      </c>
      <c r="F1019" s="42" t="s">
        <v>17</v>
      </c>
      <c r="G1019" s="42" t="s">
        <v>13</v>
      </c>
      <c r="H1019" s="42" t="s">
        <v>138</v>
      </c>
      <c r="I1019" s="42" t="s">
        <v>139</v>
      </c>
      <c r="J1019" s="10">
        <v>9000</v>
      </c>
      <c r="K1019" s="7">
        <v>-9000</v>
      </c>
      <c r="L1019" s="1" t="s">
        <v>738</v>
      </c>
    </row>
    <row r="1020" spans="1:13">
      <c r="A1020" s="21" t="str">
        <f>TEXT(TEXT(B1020,"yyyymmdd"),"00000000")&amp;TEXT(COUNTIF($B$2:B1020,B1020),"00")</f>
        <v>2023111003</v>
      </c>
      <c r="B1020" s="21">
        <f t="shared" si="15"/>
        <v>45240</v>
      </c>
      <c r="C1020" s="22">
        <v>2023</v>
      </c>
      <c r="D1020" s="23">
        <v>11</v>
      </c>
      <c r="E1020" s="24">
        <v>10</v>
      </c>
      <c r="F1020" s="42" t="s">
        <v>17</v>
      </c>
      <c r="G1020" s="42" t="s">
        <v>13</v>
      </c>
      <c r="H1020" s="42" t="s">
        <v>138</v>
      </c>
      <c r="I1020" s="42" t="s">
        <v>139</v>
      </c>
      <c r="J1020" s="10">
        <v>7750</v>
      </c>
      <c r="K1020" s="7">
        <v>-7750</v>
      </c>
      <c r="L1020" s="1" t="s">
        <v>864</v>
      </c>
    </row>
    <row r="1021" spans="1:13">
      <c r="A1021" s="21" t="str">
        <f>TEXT(TEXT(B1021,"yyyymmdd"),"00000000")&amp;TEXT(COUNTIF($B$2:B1021,B1021),"00")</f>
        <v>2023111101</v>
      </c>
      <c r="B1021" s="21">
        <f t="shared" si="15"/>
        <v>45241</v>
      </c>
      <c r="C1021" s="22">
        <v>2023</v>
      </c>
      <c r="D1021" s="23">
        <v>11</v>
      </c>
      <c r="E1021" s="24">
        <v>11</v>
      </c>
      <c r="F1021" s="42" t="s">
        <v>17</v>
      </c>
      <c r="G1021" s="42" t="s">
        <v>7</v>
      </c>
      <c r="H1021" s="42" t="s">
        <v>167</v>
      </c>
      <c r="I1021" s="42" t="s">
        <v>168</v>
      </c>
      <c r="J1021" s="10">
        <v>3100</v>
      </c>
      <c r="K1021" s="7">
        <v>-3100</v>
      </c>
      <c r="L1021" s="1" t="s">
        <v>532</v>
      </c>
    </row>
    <row r="1022" spans="1:13">
      <c r="A1022" s="21" t="str">
        <f>TEXT(TEXT(B1022,"yyyymmdd"),"00000000")&amp;TEXT(COUNTIF($B$2:B1022,B1022),"00")</f>
        <v>2023111102</v>
      </c>
      <c r="B1022" s="21">
        <f t="shared" si="15"/>
        <v>45241</v>
      </c>
      <c r="C1022" s="22">
        <v>2023</v>
      </c>
      <c r="D1022" s="23">
        <v>11</v>
      </c>
      <c r="E1022" s="24">
        <v>11</v>
      </c>
      <c r="F1022" s="42" t="s">
        <v>17</v>
      </c>
      <c r="G1022" s="42" t="s">
        <v>135</v>
      </c>
      <c r="H1022" s="42" t="s">
        <v>135</v>
      </c>
      <c r="I1022" s="42" t="s">
        <v>190</v>
      </c>
      <c r="J1022" s="10">
        <v>-66</v>
      </c>
      <c r="K1022" s="7">
        <v>66</v>
      </c>
      <c r="L1022" s="1" t="s">
        <v>210</v>
      </c>
    </row>
    <row r="1023" spans="1:13">
      <c r="A1023" s="21" t="str">
        <f>TEXT(TEXT(B1023,"yyyymmdd"),"00000000")&amp;TEXT(COUNTIF($B$2:B1023,B1023),"00")</f>
        <v>2023111103</v>
      </c>
      <c r="B1023" s="21">
        <f t="shared" si="15"/>
        <v>45241</v>
      </c>
      <c r="C1023" s="22">
        <v>2023</v>
      </c>
      <c r="D1023" s="23">
        <v>11</v>
      </c>
      <c r="E1023" s="24">
        <v>11</v>
      </c>
      <c r="F1023" s="42" t="s">
        <v>17</v>
      </c>
      <c r="G1023" s="42" t="s">
        <v>13</v>
      </c>
      <c r="H1023" s="42" t="s">
        <v>138</v>
      </c>
      <c r="I1023" s="42" t="s">
        <v>139</v>
      </c>
      <c r="J1023" s="10">
        <v>10000</v>
      </c>
      <c r="K1023" s="7">
        <v>-10000</v>
      </c>
      <c r="L1023" s="1" t="s">
        <v>670</v>
      </c>
    </row>
    <row r="1024" spans="1:13">
      <c r="A1024" s="21" t="str">
        <f>TEXT(TEXT(B1024,"yyyymmdd"),"00000000")&amp;TEXT(COUNTIF($B$2:B1024,B1024),"00")</f>
        <v>2023111301</v>
      </c>
      <c r="B1024" s="21">
        <f t="shared" si="15"/>
        <v>45243</v>
      </c>
      <c r="C1024" s="22">
        <v>2023</v>
      </c>
      <c r="D1024" s="23">
        <v>11</v>
      </c>
      <c r="E1024" s="24">
        <v>13</v>
      </c>
      <c r="F1024" s="42" t="s">
        <v>17</v>
      </c>
      <c r="G1024" s="42" t="s">
        <v>13</v>
      </c>
      <c r="H1024" s="42" t="s">
        <v>138</v>
      </c>
      <c r="I1024" s="42" t="s">
        <v>139</v>
      </c>
      <c r="J1024" s="10">
        <v>5500</v>
      </c>
      <c r="K1024" s="7">
        <v>-5500</v>
      </c>
      <c r="L1024" s="1" t="s">
        <v>634</v>
      </c>
    </row>
    <row r="1025" spans="1:12">
      <c r="A1025" s="21" t="str">
        <f>TEXT(TEXT(B1025,"yyyymmdd"),"00000000")&amp;TEXT(COUNTIF($B$2:B1025,B1025),"00")</f>
        <v>2023111302</v>
      </c>
      <c r="B1025" s="21">
        <f t="shared" si="15"/>
        <v>45243</v>
      </c>
      <c r="C1025" s="22">
        <v>2023</v>
      </c>
      <c r="D1025" s="23">
        <v>11</v>
      </c>
      <c r="E1025" s="24">
        <v>13</v>
      </c>
      <c r="F1025" s="42" t="s">
        <v>17</v>
      </c>
      <c r="G1025" s="42" t="s">
        <v>13</v>
      </c>
      <c r="H1025" s="42" t="s">
        <v>138</v>
      </c>
      <c r="I1025" s="42" t="s">
        <v>139</v>
      </c>
      <c r="J1025" s="10">
        <v>7500</v>
      </c>
      <c r="K1025" s="7">
        <v>-7500</v>
      </c>
      <c r="L1025" s="1" t="s">
        <v>794</v>
      </c>
    </row>
    <row r="1026" spans="1:12">
      <c r="A1026" s="21" t="str">
        <f>TEXT(TEXT(B1026,"yyyymmdd"),"00000000")&amp;TEXT(COUNTIF($B$2:B1026,B1026),"00")</f>
        <v>2023111303</v>
      </c>
      <c r="B1026" s="21">
        <f t="shared" ref="B1026:B1089" si="16">DATE(C1026,D1026,E1026)</f>
        <v>45243</v>
      </c>
      <c r="C1026" s="22">
        <v>2023</v>
      </c>
      <c r="D1026" s="23">
        <v>11</v>
      </c>
      <c r="E1026" s="24">
        <v>13</v>
      </c>
      <c r="F1026" s="42" t="s">
        <v>17</v>
      </c>
      <c r="G1026" s="42" t="s">
        <v>7</v>
      </c>
      <c r="H1026" s="42" t="s">
        <v>110</v>
      </c>
      <c r="I1026" s="42" t="s">
        <v>120</v>
      </c>
      <c r="J1026" s="10">
        <v>2300</v>
      </c>
      <c r="K1026" s="7">
        <v>-2300</v>
      </c>
      <c r="L1026" s="1" t="s">
        <v>712</v>
      </c>
    </row>
    <row r="1027" spans="1:12">
      <c r="A1027" s="21" t="str">
        <f>TEXT(TEXT(B1027,"yyyymmdd"),"00000000")&amp;TEXT(COUNTIF($B$2:B1027,B1027),"00")</f>
        <v>2023111401</v>
      </c>
      <c r="B1027" s="21">
        <f t="shared" si="16"/>
        <v>45244</v>
      </c>
      <c r="C1027" s="22">
        <v>2023</v>
      </c>
      <c r="D1027" s="23">
        <v>11</v>
      </c>
      <c r="E1027" s="24">
        <v>14</v>
      </c>
      <c r="F1027" s="42" t="s">
        <v>17</v>
      </c>
      <c r="G1027" s="42" t="s">
        <v>13</v>
      </c>
      <c r="H1027" s="42" t="s">
        <v>138</v>
      </c>
      <c r="I1027" s="42" t="s">
        <v>139</v>
      </c>
      <c r="J1027" s="10">
        <v>7500</v>
      </c>
      <c r="K1027" s="7">
        <v>-7500</v>
      </c>
      <c r="L1027" s="1" t="s">
        <v>680</v>
      </c>
    </row>
    <row r="1028" spans="1:12">
      <c r="A1028" s="21" t="str">
        <f>TEXT(TEXT(B1028,"yyyymmdd"),"00000000")&amp;TEXT(COUNTIF($B$2:B1028,B1028),"00")</f>
        <v>2023111402</v>
      </c>
      <c r="B1028" s="21">
        <f t="shared" si="16"/>
        <v>45244</v>
      </c>
      <c r="C1028" s="22">
        <v>2023</v>
      </c>
      <c r="D1028" s="23">
        <v>11</v>
      </c>
      <c r="E1028" s="24">
        <v>14</v>
      </c>
      <c r="F1028" s="42" t="s">
        <v>17</v>
      </c>
      <c r="G1028" s="42" t="s">
        <v>13</v>
      </c>
      <c r="H1028" s="42" t="s">
        <v>138</v>
      </c>
      <c r="I1028" s="42" t="s">
        <v>139</v>
      </c>
      <c r="J1028" s="10">
        <v>8500</v>
      </c>
      <c r="K1028" s="7">
        <v>-8500</v>
      </c>
      <c r="L1028" s="1" t="s">
        <v>738</v>
      </c>
    </row>
    <row r="1029" spans="1:12">
      <c r="A1029" s="21" t="str">
        <f>TEXT(TEXT(B1029,"yyyymmdd"),"00000000")&amp;TEXT(COUNTIF($B$2:B1029,B1029),"00")</f>
        <v>2023111501</v>
      </c>
      <c r="B1029" s="21">
        <f t="shared" si="16"/>
        <v>45245</v>
      </c>
      <c r="C1029" s="22">
        <v>2023</v>
      </c>
      <c r="D1029" s="23">
        <v>11</v>
      </c>
      <c r="E1029" s="24">
        <v>15</v>
      </c>
      <c r="F1029" s="42" t="s">
        <v>17</v>
      </c>
      <c r="G1029" s="42" t="s">
        <v>13</v>
      </c>
      <c r="H1029" s="42" t="s">
        <v>138</v>
      </c>
      <c r="I1029" s="42" t="s">
        <v>139</v>
      </c>
      <c r="J1029" s="10">
        <v>2500</v>
      </c>
      <c r="K1029" s="7">
        <v>-2500</v>
      </c>
      <c r="L1029" s="1" t="s">
        <v>619</v>
      </c>
    </row>
    <row r="1030" spans="1:12">
      <c r="A1030" s="21" t="str">
        <f>TEXT(TEXT(B1030,"yyyymmdd"),"00000000")&amp;TEXT(COUNTIF($B$2:B1030,B1030),"00")</f>
        <v>2023111502</v>
      </c>
      <c r="B1030" s="21">
        <f t="shared" si="16"/>
        <v>45245</v>
      </c>
      <c r="C1030" s="22">
        <v>2023</v>
      </c>
      <c r="D1030" s="23">
        <v>11</v>
      </c>
      <c r="E1030" s="24">
        <v>15</v>
      </c>
      <c r="F1030" s="42" t="s">
        <v>17</v>
      </c>
      <c r="G1030" s="42" t="s">
        <v>13</v>
      </c>
      <c r="H1030" s="42" t="s">
        <v>138</v>
      </c>
      <c r="I1030" s="42" t="s">
        <v>139</v>
      </c>
      <c r="J1030" s="10">
        <v>7900</v>
      </c>
      <c r="K1030" s="7">
        <v>-7900</v>
      </c>
      <c r="L1030" s="1" t="s">
        <v>750</v>
      </c>
    </row>
    <row r="1031" spans="1:12">
      <c r="A1031" s="21" t="str">
        <f>TEXT(TEXT(B1031,"yyyymmdd"),"00000000")&amp;TEXT(COUNTIF($B$2:B1031,B1031),"00")</f>
        <v>2023111601</v>
      </c>
      <c r="B1031" s="21">
        <f t="shared" si="16"/>
        <v>45246</v>
      </c>
      <c r="C1031" s="22">
        <v>2023</v>
      </c>
      <c r="D1031" s="23">
        <v>11</v>
      </c>
      <c r="E1031" s="24">
        <v>16</v>
      </c>
      <c r="F1031" s="42" t="s">
        <v>17</v>
      </c>
      <c r="G1031" s="42" t="s">
        <v>13</v>
      </c>
      <c r="H1031" s="42" t="s">
        <v>32</v>
      </c>
      <c r="I1031" s="42" t="s">
        <v>620</v>
      </c>
      <c r="J1031" s="10">
        <v>65000</v>
      </c>
      <c r="K1031" s="7">
        <v>-65000</v>
      </c>
      <c r="L1031" s="1" t="s">
        <v>715</v>
      </c>
    </row>
    <row r="1032" spans="1:12">
      <c r="A1032" s="21" t="str">
        <f>TEXT(TEXT(B1032,"yyyymmdd"),"00000000")&amp;TEXT(COUNTIF($B$2:B1032,B1032),"00")</f>
        <v>2023111602</v>
      </c>
      <c r="B1032" s="21">
        <f t="shared" si="16"/>
        <v>45246</v>
      </c>
      <c r="C1032" s="22">
        <v>2023</v>
      </c>
      <c r="D1032" s="23">
        <v>11</v>
      </c>
      <c r="E1032" s="24">
        <v>16</v>
      </c>
      <c r="F1032" s="42" t="s">
        <v>17</v>
      </c>
      <c r="G1032" s="42" t="s">
        <v>13</v>
      </c>
      <c r="H1032" s="42" t="s">
        <v>138</v>
      </c>
      <c r="I1032" s="42" t="s">
        <v>139</v>
      </c>
      <c r="J1032" s="10">
        <v>7500</v>
      </c>
      <c r="K1032" s="7">
        <v>-7500</v>
      </c>
      <c r="L1032" s="1" t="s">
        <v>693</v>
      </c>
    </row>
    <row r="1033" spans="1:12">
      <c r="A1033" s="21" t="str">
        <f>TEXT(TEXT(B1033,"yyyymmdd"),"00000000")&amp;TEXT(COUNTIF($B$2:B1033,B1033),"00")</f>
        <v>2023111603</v>
      </c>
      <c r="B1033" s="21">
        <f t="shared" si="16"/>
        <v>45246</v>
      </c>
      <c r="C1033" s="22">
        <v>2023</v>
      </c>
      <c r="D1033" s="23">
        <v>11</v>
      </c>
      <c r="E1033" s="24">
        <v>16</v>
      </c>
      <c r="F1033" s="42" t="s">
        <v>17</v>
      </c>
      <c r="G1033" s="42" t="s">
        <v>7</v>
      </c>
      <c r="H1033" s="42" t="s">
        <v>110</v>
      </c>
      <c r="I1033" s="42" t="s">
        <v>120</v>
      </c>
      <c r="J1033" s="10">
        <v>1900</v>
      </c>
      <c r="K1033" s="7">
        <v>-1900</v>
      </c>
      <c r="L1033" s="1" t="s">
        <v>820</v>
      </c>
    </row>
    <row r="1034" spans="1:12">
      <c r="A1034" s="21" t="str">
        <f>TEXT(TEXT(B1034,"yyyymmdd"),"00000000")&amp;TEXT(COUNTIF($B$2:B1034,B1034),"00")</f>
        <v>2023111604</v>
      </c>
      <c r="B1034" s="21">
        <f t="shared" si="16"/>
        <v>45246</v>
      </c>
      <c r="C1034" s="22">
        <v>2023</v>
      </c>
      <c r="D1034" s="23">
        <v>11</v>
      </c>
      <c r="E1034" s="24">
        <v>16</v>
      </c>
      <c r="F1034" s="42" t="s">
        <v>17</v>
      </c>
      <c r="G1034" s="42" t="s">
        <v>13</v>
      </c>
      <c r="H1034" s="42" t="s">
        <v>138</v>
      </c>
      <c r="I1034" s="42" t="s">
        <v>139</v>
      </c>
      <c r="J1034" s="10">
        <v>7500</v>
      </c>
      <c r="K1034" s="7">
        <v>-7500</v>
      </c>
      <c r="L1034" s="1" t="s">
        <v>822</v>
      </c>
    </row>
    <row r="1035" spans="1:12">
      <c r="A1035" s="21" t="str">
        <f>TEXT(TEXT(B1035,"yyyymmdd"),"00000000")&amp;TEXT(COUNTIF($B$2:B1035,B1035),"00")</f>
        <v>2023111701</v>
      </c>
      <c r="B1035" s="21">
        <f t="shared" si="16"/>
        <v>45247</v>
      </c>
      <c r="C1035" s="22">
        <v>2023</v>
      </c>
      <c r="D1035" s="23">
        <v>11</v>
      </c>
      <c r="E1035" s="24">
        <v>17</v>
      </c>
      <c r="F1035" s="42" t="s">
        <v>17</v>
      </c>
      <c r="G1035" s="42" t="s">
        <v>13</v>
      </c>
      <c r="H1035" s="42" t="s">
        <v>138</v>
      </c>
      <c r="I1035" s="42" t="s">
        <v>139</v>
      </c>
      <c r="J1035" s="10">
        <v>5000</v>
      </c>
      <c r="K1035" s="7">
        <v>-5000</v>
      </c>
      <c r="L1035" s="1" t="s">
        <v>619</v>
      </c>
    </row>
    <row r="1036" spans="1:12">
      <c r="A1036" s="21" t="str">
        <f>TEXT(TEXT(B1036,"yyyymmdd"),"00000000")&amp;TEXT(COUNTIF($B$2:B1036,B1036),"00")</f>
        <v>2023111702</v>
      </c>
      <c r="B1036" s="21">
        <f t="shared" si="16"/>
        <v>45247</v>
      </c>
      <c r="C1036" s="22">
        <v>2023</v>
      </c>
      <c r="D1036" s="23">
        <v>11</v>
      </c>
      <c r="E1036" s="24">
        <v>17</v>
      </c>
      <c r="F1036" s="42" t="s">
        <v>17</v>
      </c>
      <c r="G1036" s="42" t="s">
        <v>13</v>
      </c>
      <c r="H1036" s="42" t="s">
        <v>138</v>
      </c>
      <c r="I1036" s="42" t="s">
        <v>139</v>
      </c>
      <c r="J1036" s="10">
        <v>6000</v>
      </c>
      <c r="K1036" s="7">
        <v>-6000</v>
      </c>
      <c r="L1036" s="1" t="s">
        <v>619</v>
      </c>
    </row>
    <row r="1037" spans="1:12">
      <c r="A1037" s="21" t="str">
        <f>TEXT(TEXT(B1037,"yyyymmdd"),"00000000")&amp;TEXT(COUNTIF($B$2:B1037,B1037),"00")</f>
        <v>2023111801</v>
      </c>
      <c r="B1037" s="21">
        <f t="shared" si="16"/>
        <v>45248</v>
      </c>
      <c r="C1037" s="22">
        <v>2023</v>
      </c>
      <c r="D1037" s="23">
        <v>11</v>
      </c>
      <c r="E1037" s="24">
        <v>18</v>
      </c>
      <c r="F1037" s="42" t="s">
        <v>17</v>
      </c>
      <c r="G1037" s="42" t="s">
        <v>13</v>
      </c>
      <c r="H1037" s="42" t="s">
        <v>138</v>
      </c>
      <c r="I1037" s="42" t="s">
        <v>139</v>
      </c>
      <c r="J1037" s="10">
        <v>14500</v>
      </c>
      <c r="K1037" s="7">
        <v>-14500</v>
      </c>
      <c r="L1037" s="1" t="s">
        <v>734</v>
      </c>
    </row>
    <row r="1038" spans="1:12">
      <c r="A1038" s="21" t="str">
        <f>TEXT(TEXT(B1038,"yyyymmdd"),"00000000")&amp;TEXT(COUNTIF($B$2:B1038,B1038),"00")</f>
        <v>2023111802</v>
      </c>
      <c r="B1038" s="21">
        <f t="shared" si="16"/>
        <v>45248</v>
      </c>
      <c r="C1038" s="22">
        <v>2023</v>
      </c>
      <c r="D1038" s="23">
        <v>11</v>
      </c>
      <c r="E1038" s="24">
        <v>18</v>
      </c>
      <c r="F1038" s="42" t="s">
        <v>17</v>
      </c>
      <c r="G1038" s="42" t="s">
        <v>13</v>
      </c>
      <c r="H1038" s="42" t="s">
        <v>113</v>
      </c>
      <c r="I1038" s="42" t="s">
        <v>171</v>
      </c>
      <c r="J1038" s="10">
        <v>15000</v>
      </c>
      <c r="K1038" s="7">
        <v>-15000</v>
      </c>
      <c r="L1038" s="1" t="s">
        <v>502</v>
      </c>
    </row>
    <row r="1039" spans="1:12">
      <c r="A1039" s="21" t="str">
        <f>TEXT(TEXT(B1039,"yyyymmdd"),"00000000")&amp;TEXT(COUNTIF($B$2:B1039,B1039),"00")</f>
        <v>2023111803</v>
      </c>
      <c r="B1039" s="21">
        <f t="shared" si="16"/>
        <v>45248</v>
      </c>
      <c r="C1039" s="22">
        <v>2023</v>
      </c>
      <c r="D1039" s="23">
        <v>11</v>
      </c>
      <c r="E1039" s="24">
        <v>18</v>
      </c>
      <c r="F1039" s="42" t="s">
        <v>17</v>
      </c>
      <c r="G1039" s="42" t="s">
        <v>13</v>
      </c>
      <c r="H1039" s="42" t="s">
        <v>167</v>
      </c>
      <c r="I1039" s="42" t="s">
        <v>168</v>
      </c>
      <c r="J1039" s="10">
        <v>1600</v>
      </c>
      <c r="K1039" s="7">
        <v>-1600</v>
      </c>
      <c r="L1039" s="1" t="s">
        <v>748</v>
      </c>
    </row>
    <row r="1040" spans="1:12">
      <c r="A1040" s="21" t="str">
        <f>TEXT(TEXT(B1040,"yyyymmdd"),"00000000")&amp;TEXT(COUNTIF($B$2:B1040,B1040),"00")</f>
        <v>2023112001</v>
      </c>
      <c r="B1040" s="21">
        <f t="shared" si="16"/>
        <v>45250</v>
      </c>
      <c r="C1040" s="22">
        <v>2023</v>
      </c>
      <c r="D1040" s="23">
        <v>11</v>
      </c>
      <c r="E1040" s="24">
        <v>20</v>
      </c>
      <c r="F1040" s="42" t="s">
        <v>17</v>
      </c>
      <c r="G1040" s="42" t="s">
        <v>13</v>
      </c>
      <c r="H1040" s="42" t="s">
        <v>138</v>
      </c>
      <c r="I1040" s="42" t="s">
        <v>139</v>
      </c>
      <c r="J1040" s="10">
        <v>8000</v>
      </c>
      <c r="K1040" s="7">
        <v>-8000</v>
      </c>
      <c r="L1040" s="1" t="s">
        <v>909</v>
      </c>
    </row>
    <row r="1041" spans="1:13">
      <c r="A1041" s="21" t="str">
        <f>TEXT(TEXT(B1041,"yyyymmdd"),"00000000")&amp;TEXT(COUNTIF($B$2:B1041,B1041),"00")</f>
        <v>2023112002</v>
      </c>
      <c r="B1041" s="21">
        <f t="shared" si="16"/>
        <v>45250</v>
      </c>
      <c r="C1041" s="22">
        <v>2023</v>
      </c>
      <c r="D1041" s="23">
        <v>11</v>
      </c>
      <c r="E1041" s="24">
        <v>20</v>
      </c>
      <c r="F1041" s="42" t="s">
        <v>17</v>
      </c>
      <c r="G1041" s="42" t="s">
        <v>7</v>
      </c>
      <c r="H1041" s="42" t="s">
        <v>119</v>
      </c>
      <c r="I1041" s="42" t="s">
        <v>180</v>
      </c>
      <c r="J1041" s="10">
        <v>11400</v>
      </c>
      <c r="K1041" s="7">
        <v>-11400</v>
      </c>
      <c r="L1041" s="1" t="s">
        <v>181</v>
      </c>
    </row>
    <row r="1042" spans="1:13">
      <c r="A1042" s="21" t="str">
        <f>TEXT(TEXT(B1042,"yyyymmdd"),"00000000")&amp;TEXT(COUNTIF($B$2:B1042,B1042),"00")</f>
        <v>2023112003</v>
      </c>
      <c r="B1042" s="21">
        <f t="shared" si="16"/>
        <v>45250</v>
      </c>
      <c r="C1042" s="22">
        <v>2023</v>
      </c>
      <c r="D1042" s="23">
        <v>11</v>
      </c>
      <c r="E1042" s="24">
        <v>20</v>
      </c>
      <c r="F1042" s="42" t="s">
        <v>17</v>
      </c>
      <c r="G1042" s="42" t="s">
        <v>13</v>
      </c>
      <c r="H1042" s="42" t="s">
        <v>138</v>
      </c>
      <c r="I1042" s="42" t="s">
        <v>139</v>
      </c>
      <c r="J1042" s="10">
        <v>9500</v>
      </c>
      <c r="K1042" s="7">
        <v>-9500</v>
      </c>
      <c r="L1042" s="1" t="s">
        <v>738</v>
      </c>
    </row>
    <row r="1043" spans="1:13">
      <c r="A1043" s="21" t="str">
        <f>TEXT(TEXT(B1043,"yyyymmdd"),"00000000")&amp;TEXT(COUNTIF($B$2:B1043,B1043),"00")</f>
        <v>2023112101</v>
      </c>
      <c r="B1043" s="21">
        <f t="shared" si="16"/>
        <v>45251</v>
      </c>
      <c r="C1043" s="22">
        <v>2023</v>
      </c>
      <c r="D1043" s="23">
        <v>11</v>
      </c>
      <c r="E1043" s="24">
        <v>21</v>
      </c>
      <c r="F1043" s="42" t="s">
        <v>17</v>
      </c>
      <c r="G1043" s="42" t="s">
        <v>13</v>
      </c>
      <c r="H1043" s="42" t="s">
        <v>138</v>
      </c>
      <c r="I1043" s="42" t="s">
        <v>139</v>
      </c>
      <c r="J1043" s="10">
        <v>5500</v>
      </c>
      <c r="K1043" s="7">
        <v>-5500</v>
      </c>
      <c r="L1043" s="1" t="s">
        <v>675</v>
      </c>
    </row>
    <row r="1044" spans="1:13">
      <c r="A1044" s="21" t="str">
        <f>TEXT(TEXT(B1044,"yyyymmdd"),"00000000")&amp;TEXT(COUNTIF($B$2:B1044,B1044),"00")</f>
        <v>2023112102</v>
      </c>
      <c r="B1044" s="21">
        <f t="shared" si="16"/>
        <v>45251</v>
      </c>
      <c r="C1044" s="22">
        <v>2023</v>
      </c>
      <c r="D1044" s="23">
        <v>11</v>
      </c>
      <c r="E1044" s="24">
        <v>21</v>
      </c>
      <c r="F1044" s="42" t="s">
        <v>17</v>
      </c>
      <c r="G1044" s="42" t="s">
        <v>13</v>
      </c>
      <c r="H1044" s="42" t="s">
        <v>138</v>
      </c>
      <c r="I1044" s="42" t="s">
        <v>139</v>
      </c>
      <c r="J1044" s="10">
        <v>6000</v>
      </c>
      <c r="K1044" s="7">
        <v>-6000</v>
      </c>
      <c r="L1044" s="1" t="s">
        <v>817</v>
      </c>
    </row>
    <row r="1045" spans="1:13">
      <c r="A1045" s="21" t="str">
        <f>TEXT(TEXT(B1045,"yyyymmdd"),"00000000")&amp;TEXT(COUNTIF($B$2:B1045,B1045),"00")</f>
        <v>2023112201</v>
      </c>
      <c r="B1045" s="21">
        <f t="shared" si="16"/>
        <v>45252</v>
      </c>
      <c r="C1045" s="22">
        <v>2023</v>
      </c>
      <c r="D1045" s="23">
        <v>11</v>
      </c>
      <c r="E1045" s="24">
        <v>22</v>
      </c>
      <c r="F1045" s="42" t="s">
        <v>17</v>
      </c>
      <c r="G1045" s="42" t="s">
        <v>135</v>
      </c>
      <c r="H1045" s="42" t="s">
        <v>135</v>
      </c>
      <c r="I1045" s="42" t="s">
        <v>143</v>
      </c>
      <c r="J1045" s="10">
        <v>-10000</v>
      </c>
      <c r="K1045" s="7">
        <v>10000</v>
      </c>
      <c r="L1045" s="1" t="s">
        <v>165</v>
      </c>
    </row>
    <row r="1046" spans="1:13">
      <c r="A1046" s="21" t="str">
        <f>TEXT(TEXT(B1046,"yyyymmdd"),"00000000")&amp;TEXT(COUNTIF($B$2:B1046,B1046),"00")</f>
        <v>2023112202</v>
      </c>
      <c r="B1046" s="21">
        <f t="shared" si="16"/>
        <v>45252</v>
      </c>
      <c r="C1046" s="22">
        <v>2023</v>
      </c>
      <c r="D1046" s="23">
        <v>11</v>
      </c>
      <c r="E1046" s="24">
        <v>22</v>
      </c>
      <c r="F1046" s="42" t="s">
        <v>17</v>
      </c>
      <c r="G1046" s="42" t="s">
        <v>13</v>
      </c>
      <c r="H1046" s="42" t="s">
        <v>167</v>
      </c>
      <c r="I1046" s="42" t="s">
        <v>168</v>
      </c>
      <c r="J1046" s="10">
        <v>2400</v>
      </c>
      <c r="K1046" s="7">
        <v>-2400</v>
      </c>
      <c r="L1046" s="1" t="s">
        <v>748</v>
      </c>
    </row>
    <row r="1047" spans="1:13">
      <c r="A1047" s="21" t="str">
        <f>TEXT(TEXT(B1047,"yyyymmdd"),"00000000")&amp;TEXT(COUNTIF($B$2:B1047,B1047),"00")</f>
        <v>2023112203</v>
      </c>
      <c r="B1047" s="21">
        <f t="shared" si="16"/>
        <v>45252</v>
      </c>
      <c r="C1047" s="22">
        <v>2023</v>
      </c>
      <c r="D1047" s="23">
        <v>11</v>
      </c>
      <c r="E1047" s="24">
        <v>22</v>
      </c>
      <c r="F1047" s="42" t="s">
        <v>17</v>
      </c>
      <c r="G1047" s="42" t="s">
        <v>7</v>
      </c>
      <c r="H1047" s="42" t="s">
        <v>167</v>
      </c>
      <c r="I1047" s="42" t="s">
        <v>168</v>
      </c>
      <c r="J1047" s="10">
        <v>1300</v>
      </c>
      <c r="K1047" s="7">
        <v>-1300</v>
      </c>
      <c r="L1047" s="1" t="s">
        <v>748</v>
      </c>
    </row>
    <row r="1048" spans="1:13">
      <c r="A1048" s="21" t="str">
        <f>TEXT(TEXT(B1048,"yyyymmdd"),"00000000")&amp;TEXT(COUNTIF($B$2:B1048,B1048),"00")</f>
        <v>2023112204</v>
      </c>
      <c r="B1048" s="21">
        <f t="shared" si="16"/>
        <v>45252</v>
      </c>
      <c r="C1048" s="22">
        <v>2023</v>
      </c>
      <c r="D1048" s="23">
        <v>11</v>
      </c>
      <c r="E1048" s="24">
        <v>22</v>
      </c>
      <c r="F1048" s="42" t="s">
        <v>17</v>
      </c>
      <c r="G1048" s="42" t="s">
        <v>13</v>
      </c>
      <c r="H1048" s="42" t="s">
        <v>138</v>
      </c>
      <c r="I1048" s="42" t="s">
        <v>139</v>
      </c>
      <c r="J1048" s="10">
        <v>8300</v>
      </c>
      <c r="K1048" s="7">
        <v>-8300</v>
      </c>
      <c r="L1048" s="1" t="s">
        <v>229</v>
      </c>
    </row>
    <row r="1049" spans="1:13">
      <c r="A1049" s="21" t="str">
        <f>TEXT(TEXT(B1049,"yyyymmdd"),"00000000")&amp;TEXT(COUNTIF($B$2:B1049,B1049),"00")</f>
        <v>2023112301</v>
      </c>
      <c r="B1049" s="21">
        <f t="shared" si="16"/>
        <v>45253</v>
      </c>
      <c r="C1049" s="22">
        <v>2023</v>
      </c>
      <c r="D1049" s="23">
        <v>11</v>
      </c>
      <c r="E1049" s="24">
        <v>23</v>
      </c>
      <c r="F1049" s="42" t="s">
        <v>17</v>
      </c>
      <c r="G1049" s="42" t="s">
        <v>13</v>
      </c>
      <c r="H1049" s="42" t="s">
        <v>138</v>
      </c>
      <c r="I1049" s="42" t="s">
        <v>139</v>
      </c>
      <c r="J1049" s="10">
        <v>8000</v>
      </c>
      <c r="K1049" s="7">
        <v>-8000</v>
      </c>
      <c r="L1049" s="1" t="s">
        <v>911</v>
      </c>
    </row>
    <row r="1050" spans="1:13">
      <c r="A1050" s="21" t="str">
        <f>TEXT(TEXT(B1050,"yyyymmdd"),"00000000")&amp;TEXT(COUNTIF($B$2:B1050,B1050),"00")</f>
        <v>2023112302</v>
      </c>
      <c r="B1050" s="21">
        <f t="shared" si="16"/>
        <v>45253</v>
      </c>
      <c r="C1050" s="22">
        <v>2023</v>
      </c>
      <c r="D1050" s="23">
        <v>11</v>
      </c>
      <c r="E1050" s="24">
        <v>23</v>
      </c>
      <c r="F1050" s="42" t="s">
        <v>17</v>
      </c>
      <c r="G1050" s="42" t="s">
        <v>13</v>
      </c>
      <c r="H1050" s="42" t="s">
        <v>138</v>
      </c>
      <c r="I1050" s="42" t="s">
        <v>139</v>
      </c>
      <c r="J1050" s="10">
        <v>1000</v>
      </c>
      <c r="K1050" s="7">
        <v>-1000</v>
      </c>
      <c r="L1050" s="1" t="s">
        <v>619</v>
      </c>
    </row>
    <row r="1051" spans="1:13">
      <c r="A1051" s="21" t="str">
        <f>TEXT(TEXT(B1051,"yyyymmdd"),"00000000")&amp;TEXT(COUNTIF($B$2:B1051,B1051),"00")</f>
        <v>2023112303</v>
      </c>
      <c r="B1051" s="21">
        <f t="shared" si="16"/>
        <v>45253</v>
      </c>
      <c r="C1051" s="22">
        <v>2023</v>
      </c>
      <c r="D1051" s="23">
        <v>11</v>
      </c>
      <c r="E1051" s="24">
        <v>23</v>
      </c>
      <c r="F1051" s="42" t="s">
        <v>17</v>
      </c>
      <c r="G1051" s="42" t="s">
        <v>13</v>
      </c>
      <c r="H1051" s="42" t="s">
        <v>138</v>
      </c>
      <c r="I1051" s="42" t="s">
        <v>139</v>
      </c>
      <c r="J1051" s="10">
        <v>8000</v>
      </c>
      <c r="K1051" s="7">
        <v>-8000</v>
      </c>
      <c r="L1051" s="1" t="s">
        <v>700</v>
      </c>
    </row>
    <row r="1052" spans="1:13">
      <c r="A1052" s="21" t="str">
        <f>TEXT(TEXT(B1052,"yyyymmdd"),"00000000")&amp;TEXT(COUNTIF($B$2:B1052,B1052),"00")</f>
        <v>2023112401</v>
      </c>
      <c r="B1052" s="21">
        <f t="shared" si="16"/>
        <v>45254</v>
      </c>
      <c r="C1052" s="22">
        <v>2023</v>
      </c>
      <c r="D1052" s="23">
        <v>11</v>
      </c>
      <c r="E1052" s="24">
        <v>24</v>
      </c>
      <c r="F1052" s="42" t="s">
        <v>17</v>
      </c>
      <c r="G1052" s="42" t="s">
        <v>13</v>
      </c>
      <c r="H1052" s="42" t="s">
        <v>138</v>
      </c>
      <c r="I1052" s="42" t="s">
        <v>139</v>
      </c>
      <c r="J1052" s="10">
        <v>7300</v>
      </c>
      <c r="K1052" s="7">
        <v>-7300</v>
      </c>
      <c r="L1052" s="1" t="s">
        <v>300</v>
      </c>
    </row>
    <row r="1053" spans="1:13">
      <c r="A1053" s="21" t="str">
        <f>TEXT(TEXT(B1053,"yyyymmdd"),"00000000")&amp;TEXT(COUNTIF($B$2:B1053,B1053),"00")</f>
        <v>2023112402</v>
      </c>
      <c r="B1053" s="21">
        <f t="shared" si="16"/>
        <v>45254</v>
      </c>
      <c r="C1053" s="22">
        <v>2023</v>
      </c>
      <c r="D1053" s="23">
        <v>11</v>
      </c>
      <c r="E1053" s="24">
        <v>24</v>
      </c>
      <c r="F1053" s="42" t="s">
        <v>17</v>
      </c>
      <c r="G1053" s="42" t="s">
        <v>7</v>
      </c>
      <c r="H1053" s="42" t="s">
        <v>110</v>
      </c>
      <c r="I1053" s="42" t="s">
        <v>374</v>
      </c>
      <c r="J1053" s="10">
        <v>9500</v>
      </c>
      <c r="K1053" s="7">
        <v>-9500</v>
      </c>
      <c r="L1053" s="1" t="s">
        <v>912</v>
      </c>
    </row>
    <row r="1054" spans="1:13">
      <c r="A1054" s="21" t="str">
        <f>TEXT(TEXT(B1054,"yyyymmdd"),"00000000")&amp;TEXT(COUNTIF($B$2:B1054,B1054),"00")</f>
        <v>2023112403</v>
      </c>
      <c r="B1054" s="21">
        <f t="shared" si="16"/>
        <v>45254</v>
      </c>
      <c r="C1054" s="22">
        <v>2023</v>
      </c>
      <c r="D1054" s="23">
        <v>11</v>
      </c>
      <c r="E1054" s="24">
        <v>24</v>
      </c>
      <c r="F1054" s="42" t="s">
        <v>17</v>
      </c>
      <c r="G1054" s="42" t="s">
        <v>13</v>
      </c>
      <c r="H1054" s="42" t="s">
        <v>138</v>
      </c>
      <c r="I1054" s="42" t="s">
        <v>139</v>
      </c>
      <c r="J1054" s="10">
        <v>6000</v>
      </c>
      <c r="K1054" s="7">
        <v>-6000</v>
      </c>
      <c r="L1054" s="1" t="s">
        <v>794</v>
      </c>
    </row>
    <row r="1055" spans="1:13">
      <c r="A1055" s="21" t="str">
        <f>TEXT(TEXT(B1055,"yyyymmdd"),"00000000")&amp;TEXT(COUNTIF($B$2:B1055,B1055),"00")</f>
        <v>2023112501</v>
      </c>
      <c r="B1055" s="21">
        <f t="shared" si="16"/>
        <v>45255</v>
      </c>
      <c r="C1055" s="22">
        <v>2023</v>
      </c>
      <c r="D1055" s="23">
        <v>11</v>
      </c>
      <c r="E1055" s="24">
        <v>25</v>
      </c>
      <c r="F1055" s="42" t="s">
        <v>17</v>
      </c>
      <c r="G1055" s="42" t="s">
        <v>13</v>
      </c>
      <c r="H1055" s="42" t="s">
        <v>138</v>
      </c>
      <c r="I1055" s="42" t="s">
        <v>139</v>
      </c>
      <c r="J1055" s="10">
        <v>10750</v>
      </c>
      <c r="K1055" s="7">
        <v>-10750</v>
      </c>
      <c r="L1055" s="1" t="s">
        <v>670</v>
      </c>
    </row>
    <row r="1056" spans="1:13">
      <c r="A1056" s="21" t="str">
        <f>TEXT(TEXT(B1056,"yyyymmdd"),"00000000")&amp;TEXT(COUNTIF($B$2:B1056,B1056),"00")</f>
        <v>2023112502</v>
      </c>
      <c r="B1056" s="21">
        <f t="shared" si="16"/>
        <v>45255</v>
      </c>
      <c r="C1056" s="22">
        <v>2023</v>
      </c>
      <c r="D1056" s="23">
        <v>11</v>
      </c>
      <c r="E1056" s="24">
        <v>25</v>
      </c>
      <c r="F1056" s="42" t="s">
        <v>17</v>
      </c>
      <c r="G1056" s="42" t="s">
        <v>7</v>
      </c>
      <c r="H1056" s="42" t="s">
        <v>167</v>
      </c>
      <c r="I1056" s="42" t="s">
        <v>168</v>
      </c>
      <c r="J1056" s="10">
        <v>900</v>
      </c>
      <c r="K1056" s="7">
        <v>-900</v>
      </c>
      <c r="L1056" s="1" t="s">
        <v>748</v>
      </c>
      <c r="M1056" s="2" t="s">
        <v>913</v>
      </c>
    </row>
    <row r="1057" spans="1:13">
      <c r="A1057" s="21" t="str">
        <f>TEXT(TEXT(B1057,"yyyymmdd"),"00000000")&amp;TEXT(COUNTIF($B$2:B1057,B1057),"00")</f>
        <v>2023112701</v>
      </c>
      <c r="B1057" s="21">
        <f t="shared" si="16"/>
        <v>45257</v>
      </c>
      <c r="C1057" s="22">
        <v>2023</v>
      </c>
      <c r="D1057" s="23">
        <v>11</v>
      </c>
      <c r="E1057" s="24">
        <v>27</v>
      </c>
      <c r="F1057" s="42" t="s">
        <v>17</v>
      </c>
      <c r="G1057" s="42" t="s">
        <v>13</v>
      </c>
      <c r="H1057" s="42" t="s">
        <v>32</v>
      </c>
      <c r="I1057" s="42" t="s">
        <v>620</v>
      </c>
      <c r="J1057" s="10">
        <v>60000</v>
      </c>
      <c r="K1057" s="7">
        <v>-60000</v>
      </c>
      <c r="L1057" s="1" t="s">
        <v>715</v>
      </c>
    </row>
    <row r="1058" spans="1:13">
      <c r="A1058" s="21" t="str">
        <f>TEXT(TEXT(B1058,"yyyymmdd"),"00000000")&amp;TEXT(COUNTIF($B$2:B1058,B1058),"00")</f>
        <v>2023112702</v>
      </c>
      <c r="B1058" s="21">
        <f t="shared" si="16"/>
        <v>45257</v>
      </c>
      <c r="C1058" s="22">
        <v>2023</v>
      </c>
      <c r="D1058" s="23">
        <v>11</v>
      </c>
      <c r="E1058" s="24">
        <v>27</v>
      </c>
      <c r="F1058" s="42" t="s">
        <v>17</v>
      </c>
      <c r="G1058" s="42" t="s">
        <v>13</v>
      </c>
      <c r="H1058" s="42" t="s">
        <v>138</v>
      </c>
      <c r="I1058" s="42" t="s">
        <v>139</v>
      </c>
      <c r="J1058" s="10">
        <v>5600</v>
      </c>
      <c r="K1058" s="7">
        <v>-5600</v>
      </c>
      <c r="L1058" s="1" t="s">
        <v>300</v>
      </c>
    </row>
    <row r="1059" spans="1:13">
      <c r="A1059" s="21" t="str">
        <f>TEXT(TEXT(B1059,"yyyymmdd"),"00000000")&amp;TEXT(COUNTIF($B$2:B1059,B1059),"00")</f>
        <v>2023112801</v>
      </c>
      <c r="B1059" s="21">
        <f t="shared" si="16"/>
        <v>45258</v>
      </c>
      <c r="C1059" s="22">
        <v>2023</v>
      </c>
      <c r="D1059" s="23">
        <v>11</v>
      </c>
      <c r="E1059" s="24">
        <v>28</v>
      </c>
      <c r="F1059" s="42" t="s">
        <v>17</v>
      </c>
      <c r="G1059" s="42" t="s">
        <v>13</v>
      </c>
      <c r="H1059" s="42" t="s">
        <v>138</v>
      </c>
      <c r="I1059" s="42" t="s">
        <v>139</v>
      </c>
      <c r="J1059" s="10">
        <v>6500</v>
      </c>
      <c r="K1059" s="7">
        <v>-6500</v>
      </c>
      <c r="L1059" s="1" t="s">
        <v>679</v>
      </c>
    </row>
    <row r="1060" spans="1:13">
      <c r="A1060" s="21" t="str">
        <f>TEXT(TEXT(B1060,"yyyymmdd"),"00000000")&amp;TEXT(COUNTIF($B$2:B1060,B1060),"00")</f>
        <v>2023112802</v>
      </c>
      <c r="B1060" s="21">
        <f t="shared" si="16"/>
        <v>45258</v>
      </c>
      <c r="C1060" s="22">
        <v>2023</v>
      </c>
      <c r="D1060" s="23">
        <v>11</v>
      </c>
      <c r="E1060" s="24">
        <v>28</v>
      </c>
      <c r="F1060" s="42" t="s">
        <v>17</v>
      </c>
      <c r="G1060" s="42" t="s">
        <v>13</v>
      </c>
      <c r="H1060" s="42" t="s">
        <v>138</v>
      </c>
      <c r="I1060" s="42" t="s">
        <v>139</v>
      </c>
      <c r="J1060" s="10">
        <v>11900</v>
      </c>
      <c r="K1060" s="7">
        <v>-11900</v>
      </c>
      <c r="L1060" s="1" t="s">
        <v>819</v>
      </c>
    </row>
    <row r="1061" spans="1:13">
      <c r="A1061" s="21" t="str">
        <f>TEXT(TEXT(B1061,"yyyymmdd"),"00000000")&amp;TEXT(COUNTIF($B$2:B1061,B1061),"00")</f>
        <v>2023112901</v>
      </c>
      <c r="B1061" s="21">
        <f t="shared" si="16"/>
        <v>45259</v>
      </c>
      <c r="C1061" s="22">
        <v>2023</v>
      </c>
      <c r="D1061" s="23">
        <v>11</v>
      </c>
      <c r="E1061" s="24">
        <v>29</v>
      </c>
      <c r="F1061" s="42" t="s">
        <v>17</v>
      </c>
      <c r="G1061" s="42" t="s">
        <v>13</v>
      </c>
      <c r="H1061" s="42" t="s">
        <v>138</v>
      </c>
      <c r="I1061" s="42" t="s">
        <v>139</v>
      </c>
      <c r="J1061" s="10">
        <v>9000</v>
      </c>
      <c r="K1061" s="7">
        <v>-9000</v>
      </c>
      <c r="L1061" s="1" t="s">
        <v>701</v>
      </c>
    </row>
    <row r="1062" spans="1:13">
      <c r="A1062" s="21" t="str">
        <f>TEXT(TEXT(B1062,"yyyymmdd"),"00000000")&amp;TEXT(COUNTIF($B$2:B1062,B1062),"00")</f>
        <v>2023112902</v>
      </c>
      <c r="B1062" s="21">
        <f t="shared" si="16"/>
        <v>45259</v>
      </c>
      <c r="C1062" s="22">
        <v>2023</v>
      </c>
      <c r="D1062" s="23">
        <v>11</v>
      </c>
      <c r="E1062" s="24">
        <v>29</v>
      </c>
      <c r="F1062" s="42" t="s">
        <v>17</v>
      </c>
      <c r="G1062" s="42" t="s">
        <v>13</v>
      </c>
      <c r="H1062" s="42" t="s">
        <v>167</v>
      </c>
      <c r="I1062" s="42" t="s">
        <v>168</v>
      </c>
      <c r="J1062" s="10">
        <v>2400</v>
      </c>
      <c r="K1062" s="7">
        <v>-2400</v>
      </c>
      <c r="L1062" s="1" t="s">
        <v>748</v>
      </c>
    </row>
    <row r="1063" spans="1:13">
      <c r="A1063" s="21" t="str">
        <f>TEXT(TEXT(B1063,"yyyymmdd"),"00000000")&amp;TEXT(COUNTIF($B$2:B1063,B1063),"00")</f>
        <v>2023113001</v>
      </c>
      <c r="B1063" s="21">
        <f t="shared" si="16"/>
        <v>45260</v>
      </c>
      <c r="C1063" s="22">
        <v>2023</v>
      </c>
      <c r="D1063" s="23">
        <v>11</v>
      </c>
      <c r="E1063" s="24">
        <v>30</v>
      </c>
      <c r="F1063" s="42" t="s">
        <v>17</v>
      </c>
      <c r="G1063" s="42" t="s">
        <v>13</v>
      </c>
      <c r="H1063" s="42" t="s">
        <v>138</v>
      </c>
      <c r="I1063" s="42" t="s">
        <v>139</v>
      </c>
      <c r="J1063" s="10">
        <v>7500</v>
      </c>
      <c r="K1063" s="7">
        <v>-7500</v>
      </c>
      <c r="L1063" s="1" t="s">
        <v>677</v>
      </c>
    </row>
    <row r="1064" spans="1:13">
      <c r="A1064" s="21" t="str">
        <f>TEXT(TEXT(B1064,"yyyymmdd"),"00000000")&amp;TEXT(COUNTIF($B$2:B1064,B1064),"00")</f>
        <v>2023113002</v>
      </c>
      <c r="B1064" s="21">
        <f t="shared" si="16"/>
        <v>45260</v>
      </c>
      <c r="C1064" s="22">
        <v>2023</v>
      </c>
      <c r="D1064" s="23">
        <v>11</v>
      </c>
      <c r="E1064" s="24">
        <v>30</v>
      </c>
      <c r="F1064" s="42" t="s">
        <v>17</v>
      </c>
      <c r="G1064" s="42" t="s">
        <v>170</v>
      </c>
      <c r="H1064" s="42" t="s">
        <v>155</v>
      </c>
      <c r="I1064" s="42" t="s">
        <v>156</v>
      </c>
      <c r="J1064" s="10">
        <v>1425</v>
      </c>
      <c r="K1064" s="7">
        <v>-1425</v>
      </c>
      <c r="L1064" s="1" t="s">
        <v>303</v>
      </c>
    </row>
    <row r="1065" spans="1:13">
      <c r="A1065" s="21" t="str">
        <f>TEXT(TEXT(B1065,"yyyymmdd"),"00000000")&amp;TEXT(COUNTIF($B$2:B1065,B1065),"00")</f>
        <v>2023113003</v>
      </c>
      <c r="B1065" s="21">
        <f t="shared" si="16"/>
        <v>45260</v>
      </c>
      <c r="C1065" s="22">
        <v>2023</v>
      </c>
      <c r="D1065" s="23">
        <v>11</v>
      </c>
      <c r="E1065" s="24">
        <v>30</v>
      </c>
      <c r="F1065" s="42" t="s">
        <v>17</v>
      </c>
      <c r="G1065" s="42" t="s">
        <v>13</v>
      </c>
      <c r="H1065" s="42" t="s">
        <v>138</v>
      </c>
      <c r="I1065" s="42" t="s">
        <v>139</v>
      </c>
      <c r="J1065" s="10">
        <v>7500</v>
      </c>
      <c r="K1065" s="7">
        <v>-7500</v>
      </c>
      <c r="L1065" s="1" t="s">
        <v>680</v>
      </c>
    </row>
    <row r="1066" spans="1:13">
      <c r="A1066" s="21" t="str">
        <f>TEXT(TEXT(B1066,"yyyymmdd"),"00000000")&amp;TEXT(COUNTIF($B$2:B1066,B1066),"00")</f>
        <v>2023120101</v>
      </c>
      <c r="B1066" s="21">
        <f t="shared" si="16"/>
        <v>45261</v>
      </c>
      <c r="C1066" s="22">
        <v>2023</v>
      </c>
      <c r="D1066" s="23">
        <v>12</v>
      </c>
      <c r="E1066" s="24">
        <v>1</v>
      </c>
      <c r="F1066" s="42" t="s">
        <v>17</v>
      </c>
      <c r="G1066" s="42" t="s">
        <v>151</v>
      </c>
      <c r="H1066" s="42" t="s">
        <v>151</v>
      </c>
      <c r="I1066" s="42" t="s">
        <v>152</v>
      </c>
      <c r="J1066" s="10">
        <v>-503619</v>
      </c>
      <c r="K1066" s="7">
        <v>503619</v>
      </c>
      <c r="L1066" s="1" t="s">
        <v>252</v>
      </c>
      <c r="M1066" s="2" t="s">
        <v>928</v>
      </c>
    </row>
    <row r="1067" spans="1:13">
      <c r="A1067" s="21" t="str">
        <f>TEXT(TEXT(B1067,"yyyymmdd"),"00000000")&amp;TEXT(COUNTIF($B$2:B1067,B1067),"00")</f>
        <v>2023120102</v>
      </c>
      <c r="B1067" s="21">
        <f t="shared" si="16"/>
        <v>45261</v>
      </c>
      <c r="C1067" s="22">
        <v>2023</v>
      </c>
      <c r="D1067" s="23">
        <v>12</v>
      </c>
      <c r="E1067" s="24">
        <v>1</v>
      </c>
      <c r="F1067" s="42" t="s">
        <v>17</v>
      </c>
      <c r="G1067" s="42" t="s">
        <v>13</v>
      </c>
      <c r="H1067" s="42" t="s">
        <v>138</v>
      </c>
      <c r="I1067" s="42" t="s">
        <v>139</v>
      </c>
      <c r="J1067" s="10">
        <v>6100</v>
      </c>
      <c r="K1067" s="7">
        <v>-6100</v>
      </c>
      <c r="L1067" s="1" t="s">
        <v>300</v>
      </c>
    </row>
    <row r="1068" spans="1:13">
      <c r="A1068" s="21" t="str">
        <f>TEXT(TEXT(B1068,"yyyymmdd"),"00000000")&amp;TEXT(COUNTIF($B$2:B1068,B1068),"00")</f>
        <v>2023120103</v>
      </c>
      <c r="B1068" s="21">
        <f t="shared" si="16"/>
        <v>45261</v>
      </c>
      <c r="C1068" s="22">
        <v>2023</v>
      </c>
      <c r="D1068" s="23">
        <v>12</v>
      </c>
      <c r="E1068" s="24">
        <v>1</v>
      </c>
      <c r="F1068" s="42" t="s">
        <v>17</v>
      </c>
      <c r="G1068" s="42" t="s">
        <v>13</v>
      </c>
      <c r="H1068" s="42" t="s">
        <v>138</v>
      </c>
      <c r="I1068" s="42" t="s">
        <v>139</v>
      </c>
      <c r="J1068" s="10">
        <v>5500</v>
      </c>
      <c r="K1068" s="7">
        <v>-5500</v>
      </c>
      <c r="L1068" s="1" t="s">
        <v>675</v>
      </c>
    </row>
    <row r="1069" spans="1:13">
      <c r="A1069" s="21" t="str">
        <f>TEXT(TEXT(B1069,"yyyymmdd"),"00000000")&amp;TEXT(COUNTIF($B$2:B1069,B1069),"00")</f>
        <v>2023120104</v>
      </c>
      <c r="B1069" s="21">
        <f t="shared" si="16"/>
        <v>45261</v>
      </c>
      <c r="C1069" s="22">
        <v>2023</v>
      </c>
      <c r="D1069" s="23">
        <v>12</v>
      </c>
      <c r="E1069" s="24">
        <v>1</v>
      </c>
      <c r="F1069" s="42" t="s">
        <v>17</v>
      </c>
      <c r="G1069" s="42" t="s">
        <v>13</v>
      </c>
      <c r="H1069" s="42" t="s">
        <v>138</v>
      </c>
      <c r="I1069" s="42" t="s">
        <v>139</v>
      </c>
      <c r="J1069" s="10">
        <v>9000</v>
      </c>
      <c r="K1069" s="7">
        <v>-9000</v>
      </c>
      <c r="L1069" s="1" t="s">
        <v>738</v>
      </c>
    </row>
    <row r="1070" spans="1:13">
      <c r="A1070" s="21" t="str">
        <f>TEXT(TEXT(B1070,"yyyymmdd"),"00000000")&amp;TEXT(COUNTIF($B$2:B1070,B1070),"00")</f>
        <v>2023120201</v>
      </c>
      <c r="B1070" s="21">
        <f t="shared" si="16"/>
        <v>45262</v>
      </c>
      <c r="C1070" s="22">
        <v>2023</v>
      </c>
      <c r="D1070" s="23">
        <v>12</v>
      </c>
      <c r="E1070" s="24">
        <v>2</v>
      </c>
      <c r="F1070" s="42" t="s">
        <v>17</v>
      </c>
      <c r="G1070" s="42" t="s">
        <v>13</v>
      </c>
      <c r="H1070" s="42" t="s">
        <v>138</v>
      </c>
      <c r="I1070" s="42" t="s">
        <v>139</v>
      </c>
      <c r="J1070" s="10">
        <v>8500</v>
      </c>
      <c r="K1070" s="7">
        <v>-8500</v>
      </c>
      <c r="L1070" s="1" t="s">
        <v>909</v>
      </c>
    </row>
    <row r="1071" spans="1:13">
      <c r="A1071" s="21" t="str">
        <f>TEXT(TEXT(B1071,"yyyymmdd"),"00000000")&amp;TEXT(COUNTIF($B$2:B1071,B1071),"00")</f>
        <v>2023120202</v>
      </c>
      <c r="B1071" s="21">
        <f t="shared" si="16"/>
        <v>45262</v>
      </c>
      <c r="C1071" s="22">
        <v>2023</v>
      </c>
      <c r="D1071" s="23">
        <v>12</v>
      </c>
      <c r="E1071" s="24">
        <v>2</v>
      </c>
      <c r="F1071" s="42" t="s">
        <v>17</v>
      </c>
      <c r="G1071" s="42" t="s">
        <v>13</v>
      </c>
      <c r="H1071" s="42" t="s">
        <v>138</v>
      </c>
      <c r="I1071" s="42" t="s">
        <v>139</v>
      </c>
      <c r="J1071" s="10">
        <v>6400</v>
      </c>
      <c r="K1071" s="7">
        <v>-6400</v>
      </c>
      <c r="L1071" s="1" t="s">
        <v>300</v>
      </c>
    </row>
    <row r="1072" spans="1:13">
      <c r="A1072" s="21" t="str">
        <f>TEXT(TEXT(B1072,"yyyymmdd"),"00000000")&amp;TEXT(COUNTIF($B$2:B1072,B1072),"00")</f>
        <v>2023120401</v>
      </c>
      <c r="B1072" s="21">
        <f t="shared" si="16"/>
        <v>45264</v>
      </c>
      <c r="C1072" s="22">
        <v>2023</v>
      </c>
      <c r="D1072" s="23">
        <v>12</v>
      </c>
      <c r="E1072" s="24">
        <v>4</v>
      </c>
      <c r="F1072" s="42" t="s">
        <v>17</v>
      </c>
      <c r="G1072" s="42" t="s">
        <v>7</v>
      </c>
      <c r="H1072" s="42" t="s">
        <v>110</v>
      </c>
      <c r="I1072" s="42" t="s">
        <v>124</v>
      </c>
      <c r="J1072" s="10">
        <v>300</v>
      </c>
      <c r="K1072" s="7">
        <v>-300</v>
      </c>
      <c r="L1072" s="1" t="s">
        <v>865</v>
      </c>
    </row>
    <row r="1073" spans="1:13">
      <c r="A1073" s="21" t="str">
        <f>TEXT(TEXT(B1073,"yyyymmdd"),"00000000")&amp;TEXT(COUNTIF($B$2:B1073,B1073),"00")</f>
        <v>2023120402</v>
      </c>
      <c r="B1073" s="21">
        <f t="shared" si="16"/>
        <v>45264</v>
      </c>
      <c r="C1073" s="22">
        <v>2023</v>
      </c>
      <c r="D1073" s="23">
        <v>12</v>
      </c>
      <c r="E1073" s="24">
        <v>4</v>
      </c>
      <c r="F1073" s="42" t="s">
        <v>17</v>
      </c>
      <c r="G1073" s="42" t="s">
        <v>13</v>
      </c>
      <c r="H1073" s="42" t="s">
        <v>138</v>
      </c>
      <c r="I1073" s="42" t="s">
        <v>139</v>
      </c>
      <c r="J1073" s="10">
        <v>5500</v>
      </c>
      <c r="K1073" s="7">
        <v>-5500</v>
      </c>
      <c r="L1073" s="1" t="s">
        <v>634</v>
      </c>
    </row>
    <row r="1074" spans="1:13">
      <c r="A1074" s="21" t="str">
        <f>TEXT(TEXT(B1074,"yyyymmdd"),"00000000")&amp;TEXT(COUNTIF($B$2:B1074,B1074),"00")</f>
        <v>2023120403</v>
      </c>
      <c r="B1074" s="21">
        <f t="shared" si="16"/>
        <v>45264</v>
      </c>
      <c r="C1074" s="22">
        <v>2023</v>
      </c>
      <c r="D1074" s="23">
        <v>12</v>
      </c>
      <c r="E1074" s="24">
        <v>4</v>
      </c>
      <c r="F1074" s="42" t="s">
        <v>17</v>
      </c>
      <c r="G1074" s="42" t="s">
        <v>13</v>
      </c>
      <c r="H1074" s="42" t="s">
        <v>138</v>
      </c>
      <c r="I1074" s="42" t="s">
        <v>139</v>
      </c>
      <c r="J1074" s="10">
        <v>7500</v>
      </c>
      <c r="K1074" s="7">
        <v>-7500</v>
      </c>
      <c r="L1074" s="1" t="s">
        <v>680</v>
      </c>
    </row>
    <row r="1075" spans="1:13">
      <c r="A1075" s="21" t="str">
        <f>TEXT(TEXT(B1075,"yyyymmdd"),"00000000")&amp;TEXT(COUNTIF($B$2:B1075,B1075),"00")</f>
        <v>2023120501</v>
      </c>
      <c r="B1075" s="21">
        <f t="shared" si="16"/>
        <v>45265</v>
      </c>
      <c r="C1075" s="22">
        <v>2023</v>
      </c>
      <c r="D1075" s="23">
        <v>12</v>
      </c>
      <c r="E1075" s="24">
        <v>5</v>
      </c>
      <c r="F1075" s="42" t="s">
        <v>17</v>
      </c>
      <c r="G1075" s="42" t="s">
        <v>7</v>
      </c>
      <c r="H1075" s="42" t="s">
        <v>173</v>
      </c>
      <c r="I1075" s="42" t="s">
        <v>207</v>
      </c>
      <c r="J1075" s="10">
        <v>1520</v>
      </c>
      <c r="K1075" s="7">
        <v>-1520</v>
      </c>
      <c r="L1075" s="1" t="s">
        <v>208</v>
      </c>
    </row>
    <row r="1076" spans="1:13">
      <c r="A1076" s="21" t="str">
        <f>TEXT(TEXT(B1076,"yyyymmdd"),"00000000")&amp;TEXT(COUNTIF($B$2:B1076,B1076),"00")</f>
        <v>2023120502</v>
      </c>
      <c r="B1076" s="21">
        <f t="shared" si="16"/>
        <v>45265</v>
      </c>
      <c r="C1076" s="22">
        <v>2023</v>
      </c>
      <c r="D1076" s="23">
        <v>12</v>
      </c>
      <c r="E1076" s="24">
        <v>5</v>
      </c>
      <c r="F1076" s="42" t="s">
        <v>17</v>
      </c>
      <c r="G1076" s="42" t="s">
        <v>13</v>
      </c>
      <c r="H1076" s="42" t="s">
        <v>138</v>
      </c>
      <c r="I1076" s="42" t="s">
        <v>139</v>
      </c>
      <c r="J1076" s="10">
        <v>1000</v>
      </c>
      <c r="K1076" s="7">
        <v>-1000</v>
      </c>
      <c r="L1076" s="1" t="s">
        <v>619</v>
      </c>
    </row>
    <row r="1077" spans="1:13">
      <c r="A1077" s="21" t="str">
        <f>TEXT(TEXT(B1077,"yyyymmdd"),"00000000")&amp;TEXT(COUNTIF($B$2:B1077,B1077),"00")</f>
        <v>2023120503</v>
      </c>
      <c r="B1077" s="21">
        <f t="shared" si="16"/>
        <v>45265</v>
      </c>
      <c r="C1077" s="22">
        <v>2023</v>
      </c>
      <c r="D1077" s="23">
        <v>12</v>
      </c>
      <c r="E1077" s="24">
        <v>5</v>
      </c>
      <c r="F1077" s="42" t="s">
        <v>17</v>
      </c>
      <c r="G1077" s="42" t="s">
        <v>7</v>
      </c>
      <c r="H1077" s="42" t="s">
        <v>110</v>
      </c>
      <c r="I1077" s="42" t="s">
        <v>122</v>
      </c>
      <c r="J1077" s="10">
        <v>3800</v>
      </c>
      <c r="K1077" s="7">
        <v>-3800</v>
      </c>
      <c r="L1077" s="1" t="s">
        <v>920</v>
      </c>
    </row>
    <row r="1078" spans="1:13">
      <c r="A1078" s="21" t="str">
        <f>TEXT(TEXT(B1078,"yyyymmdd"),"00000000")&amp;TEXT(COUNTIF($B$2:B1078,B1078),"00")</f>
        <v>2023120504</v>
      </c>
      <c r="B1078" s="21">
        <f t="shared" si="16"/>
        <v>45265</v>
      </c>
      <c r="C1078" s="22">
        <v>2023</v>
      </c>
      <c r="D1078" s="23">
        <v>12</v>
      </c>
      <c r="E1078" s="24">
        <v>5</v>
      </c>
      <c r="F1078" s="42" t="s">
        <v>17</v>
      </c>
      <c r="G1078" s="42" t="s">
        <v>13</v>
      </c>
      <c r="H1078" s="42" t="s">
        <v>138</v>
      </c>
      <c r="I1078" s="42" t="s">
        <v>139</v>
      </c>
      <c r="J1078" s="10">
        <v>8000</v>
      </c>
      <c r="K1078" s="7">
        <v>-8000</v>
      </c>
      <c r="L1078" s="1" t="s">
        <v>700</v>
      </c>
    </row>
    <row r="1079" spans="1:13">
      <c r="A1079" s="21" t="str">
        <f>TEXT(TEXT(B1079,"yyyymmdd"),"00000000")&amp;TEXT(COUNTIF($B$2:B1079,B1079),"00")</f>
        <v>2023120505</v>
      </c>
      <c r="B1079" s="21">
        <f t="shared" si="16"/>
        <v>45265</v>
      </c>
      <c r="C1079" s="22">
        <v>2023</v>
      </c>
      <c r="D1079" s="23">
        <v>12</v>
      </c>
      <c r="E1079" s="24">
        <v>5</v>
      </c>
      <c r="F1079" s="42" t="s">
        <v>17</v>
      </c>
      <c r="G1079" s="42" t="s">
        <v>13</v>
      </c>
      <c r="H1079" s="42" t="s">
        <v>138</v>
      </c>
      <c r="I1079" s="42" t="s">
        <v>139</v>
      </c>
      <c r="J1079" s="10">
        <v>8000</v>
      </c>
      <c r="K1079" s="7">
        <v>-8000</v>
      </c>
      <c r="L1079" s="1" t="s">
        <v>794</v>
      </c>
    </row>
    <row r="1080" spans="1:13">
      <c r="A1080" s="21" t="str">
        <f>TEXT(TEXT(B1080,"yyyymmdd"),"00000000")&amp;TEXT(COUNTIF($B$2:B1080,B1080),"00")</f>
        <v>2023120506</v>
      </c>
      <c r="B1080" s="21">
        <f t="shared" si="16"/>
        <v>45265</v>
      </c>
      <c r="C1080" s="22">
        <v>2023</v>
      </c>
      <c r="D1080" s="23">
        <v>12</v>
      </c>
      <c r="E1080" s="24">
        <v>5</v>
      </c>
      <c r="F1080" s="42" t="s">
        <v>17</v>
      </c>
      <c r="G1080" s="42" t="s">
        <v>7</v>
      </c>
      <c r="H1080" s="42" t="s">
        <v>167</v>
      </c>
      <c r="I1080" s="42" t="s">
        <v>545</v>
      </c>
      <c r="J1080" s="10">
        <v>49700</v>
      </c>
      <c r="K1080" s="7">
        <v>-49700</v>
      </c>
      <c r="L1080" s="1" t="s">
        <v>541</v>
      </c>
      <c r="M1080" s="2" t="s">
        <v>910</v>
      </c>
    </row>
    <row r="1081" spans="1:13">
      <c r="A1081" s="21" t="str">
        <f>TEXT(TEXT(B1081,"yyyymmdd"),"00000000")&amp;TEXT(COUNTIF($B$2:B1081,B1081),"00")</f>
        <v>2023120601</v>
      </c>
      <c r="B1081" s="21">
        <f t="shared" si="16"/>
        <v>45266</v>
      </c>
      <c r="C1081" s="22">
        <v>2023</v>
      </c>
      <c r="D1081" s="23">
        <v>12</v>
      </c>
      <c r="E1081" s="24">
        <v>6</v>
      </c>
      <c r="F1081" s="42" t="s">
        <v>17</v>
      </c>
      <c r="G1081" s="42" t="s">
        <v>13</v>
      </c>
      <c r="H1081" s="42" t="s">
        <v>32</v>
      </c>
      <c r="I1081" s="42" t="s">
        <v>620</v>
      </c>
      <c r="J1081" s="10">
        <v>56000</v>
      </c>
      <c r="K1081" s="7">
        <v>-56000</v>
      </c>
      <c r="L1081" s="1" t="s">
        <v>715</v>
      </c>
    </row>
    <row r="1082" spans="1:13">
      <c r="A1082" s="21" t="str">
        <f>TEXT(TEXT(B1082,"yyyymmdd"),"00000000")&amp;TEXT(COUNTIF($B$2:B1082,B1082),"00")</f>
        <v>2023120602</v>
      </c>
      <c r="B1082" s="21">
        <f t="shared" si="16"/>
        <v>45266</v>
      </c>
      <c r="C1082" s="22">
        <v>2023</v>
      </c>
      <c r="D1082" s="23">
        <v>12</v>
      </c>
      <c r="E1082" s="24">
        <v>6</v>
      </c>
      <c r="F1082" s="42" t="s">
        <v>17</v>
      </c>
      <c r="G1082" s="42" t="s">
        <v>13</v>
      </c>
      <c r="H1082" s="42" t="s">
        <v>167</v>
      </c>
      <c r="I1082" s="42" t="s">
        <v>168</v>
      </c>
      <c r="J1082" s="10">
        <v>1100</v>
      </c>
      <c r="K1082" s="7">
        <v>-1100</v>
      </c>
      <c r="L1082" s="1" t="s">
        <v>748</v>
      </c>
    </row>
    <row r="1083" spans="1:13">
      <c r="A1083" s="21" t="str">
        <f>TEXT(TEXT(B1083,"yyyymmdd"),"00000000")&amp;TEXT(COUNTIF($B$2:B1083,B1083),"00")</f>
        <v>2023120603</v>
      </c>
      <c r="B1083" s="21">
        <f t="shared" si="16"/>
        <v>45266</v>
      </c>
      <c r="C1083" s="22">
        <v>2023</v>
      </c>
      <c r="D1083" s="23">
        <v>12</v>
      </c>
      <c r="E1083" s="24">
        <v>6</v>
      </c>
      <c r="F1083" s="42" t="s">
        <v>17</v>
      </c>
      <c r="G1083" s="42" t="s">
        <v>13</v>
      </c>
      <c r="H1083" s="42" t="s">
        <v>138</v>
      </c>
      <c r="I1083" s="42" t="s">
        <v>139</v>
      </c>
      <c r="J1083" s="10">
        <v>8500</v>
      </c>
      <c r="K1083" s="7">
        <v>-8500</v>
      </c>
      <c r="L1083" s="1" t="s">
        <v>822</v>
      </c>
    </row>
    <row r="1084" spans="1:13">
      <c r="A1084" s="21" t="str">
        <f>TEXT(TEXT(B1084,"yyyymmdd"),"00000000")&amp;TEXT(COUNTIF($B$2:B1084,B1084),"00")</f>
        <v>2023120701</v>
      </c>
      <c r="B1084" s="21">
        <f t="shared" si="16"/>
        <v>45267</v>
      </c>
      <c r="C1084" s="22">
        <v>2023</v>
      </c>
      <c r="D1084" s="23">
        <v>12</v>
      </c>
      <c r="E1084" s="24">
        <v>7</v>
      </c>
      <c r="F1084" s="42" t="s">
        <v>17</v>
      </c>
      <c r="G1084" s="42" t="s">
        <v>13</v>
      </c>
      <c r="H1084" s="42" t="s">
        <v>138</v>
      </c>
      <c r="I1084" s="42" t="s">
        <v>139</v>
      </c>
      <c r="J1084" s="10">
        <v>7500</v>
      </c>
      <c r="K1084" s="7">
        <v>-7500</v>
      </c>
      <c r="L1084" s="1" t="s">
        <v>677</v>
      </c>
    </row>
    <row r="1085" spans="1:13">
      <c r="A1085" s="21" t="str">
        <f>TEXT(TEXT(B1085,"yyyymmdd"),"00000000")&amp;TEXT(COUNTIF($B$2:B1085,B1085),"00")</f>
        <v>2023120702</v>
      </c>
      <c r="B1085" s="21">
        <f t="shared" si="16"/>
        <v>45267</v>
      </c>
      <c r="C1085" s="22">
        <v>2023</v>
      </c>
      <c r="D1085" s="23">
        <v>12</v>
      </c>
      <c r="E1085" s="24">
        <v>7</v>
      </c>
      <c r="F1085" s="42" t="s">
        <v>17</v>
      </c>
      <c r="G1085" s="42" t="s">
        <v>7</v>
      </c>
      <c r="H1085" s="42" t="s">
        <v>110</v>
      </c>
      <c r="I1085" s="42" t="s">
        <v>120</v>
      </c>
      <c r="J1085" s="10">
        <v>1500</v>
      </c>
      <c r="K1085" s="7">
        <v>-1500</v>
      </c>
      <c r="L1085" s="1" t="s">
        <v>619</v>
      </c>
    </row>
    <row r="1086" spans="1:13">
      <c r="A1086" s="21" t="str">
        <f>TEXT(TEXT(B1086,"yyyymmdd"),"00000000")&amp;TEXT(COUNTIF($B$2:B1086,B1086),"00")</f>
        <v>2023120703</v>
      </c>
      <c r="B1086" s="21">
        <f t="shared" si="16"/>
        <v>45267</v>
      </c>
      <c r="C1086" s="22">
        <v>2023</v>
      </c>
      <c r="D1086" s="23">
        <v>12</v>
      </c>
      <c r="E1086" s="24">
        <v>7</v>
      </c>
      <c r="F1086" s="42" t="s">
        <v>17</v>
      </c>
      <c r="G1086" s="42" t="s">
        <v>13</v>
      </c>
      <c r="H1086" s="42" t="s">
        <v>138</v>
      </c>
      <c r="I1086" s="42" t="s">
        <v>139</v>
      </c>
      <c r="J1086" s="10">
        <v>8500</v>
      </c>
      <c r="K1086" s="7">
        <v>-8500</v>
      </c>
      <c r="L1086" s="1" t="s">
        <v>738</v>
      </c>
    </row>
    <row r="1087" spans="1:13">
      <c r="A1087" s="21" t="str">
        <f>TEXT(TEXT(B1087,"yyyymmdd"),"00000000")&amp;TEXT(COUNTIF($B$2:B1087,B1087),"00")</f>
        <v>2023120801</v>
      </c>
      <c r="B1087" s="21">
        <f t="shared" si="16"/>
        <v>45268</v>
      </c>
      <c r="C1087" s="22">
        <v>2023</v>
      </c>
      <c r="D1087" s="23">
        <v>12</v>
      </c>
      <c r="E1087" s="24">
        <v>8</v>
      </c>
      <c r="F1087" s="42" t="s">
        <v>17</v>
      </c>
      <c r="G1087" s="42" t="s">
        <v>7</v>
      </c>
      <c r="H1087" s="42" t="s">
        <v>167</v>
      </c>
      <c r="I1087" s="42" t="s">
        <v>168</v>
      </c>
      <c r="J1087" s="10">
        <v>1900</v>
      </c>
      <c r="K1087" s="7">
        <v>-1900</v>
      </c>
      <c r="L1087" s="1" t="s">
        <v>532</v>
      </c>
      <c r="M1087" s="2" t="s">
        <v>915</v>
      </c>
    </row>
    <row r="1088" spans="1:13">
      <c r="A1088" s="21" t="str">
        <f>TEXT(TEXT(B1088,"yyyymmdd"),"00000000")&amp;TEXT(COUNTIF($B$2:B1088,B1088),"00")</f>
        <v>2023120802</v>
      </c>
      <c r="B1088" s="21">
        <f t="shared" si="16"/>
        <v>45268</v>
      </c>
      <c r="C1088" s="22">
        <v>2023</v>
      </c>
      <c r="D1088" s="23">
        <v>12</v>
      </c>
      <c r="E1088" s="24">
        <v>8</v>
      </c>
      <c r="F1088" s="42" t="s">
        <v>17</v>
      </c>
      <c r="G1088" s="42" t="s">
        <v>13</v>
      </c>
      <c r="H1088" s="42" t="s">
        <v>138</v>
      </c>
      <c r="I1088" s="42" t="s">
        <v>139</v>
      </c>
      <c r="J1088" s="10">
        <v>7000</v>
      </c>
      <c r="K1088" s="7">
        <v>-7000</v>
      </c>
      <c r="L1088" s="1" t="s">
        <v>693</v>
      </c>
    </row>
    <row r="1089" spans="1:13">
      <c r="A1089" s="21" t="str">
        <f>TEXT(TEXT(B1089,"yyyymmdd"),"00000000")&amp;TEXT(COUNTIF($B$2:B1089,B1089),"00")</f>
        <v>2023120901</v>
      </c>
      <c r="B1089" s="21">
        <f t="shared" si="16"/>
        <v>45269</v>
      </c>
      <c r="C1089" s="22">
        <v>2023</v>
      </c>
      <c r="D1089" s="23">
        <v>12</v>
      </c>
      <c r="E1089" s="24">
        <v>9</v>
      </c>
      <c r="F1089" s="42" t="s">
        <v>17</v>
      </c>
      <c r="G1089" s="42" t="s">
        <v>13</v>
      </c>
      <c r="H1089" s="42" t="s">
        <v>138</v>
      </c>
      <c r="I1089" s="42" t="s">
        <v>139</v>
      </c>
      <c r="J1089" s="10">
        <v>12500</v>
      </c>
      <c r="K1089" s="7">
        <v>-12500</v>
      </c>
      <c r="L1089" s="1" t="s">
        <v>909</v>
      </c>
    </row>
    <row r="1090" spans="1:13">
      <c r="A1090" s="21" t="str">
        <f>TEXT(TEXT(B1090,"yyyymmdd"),"00000000")&amp;TEXT(COUNTIF($B$2:B1090,B1090),"00")</f>
        <v>2023121001</v>
      </c>
      <c r="B1090" s="21">
        <f t="shared" ref="B1090:B1153" si="17">DATE(C1090,D1090,E1090)</f>
        <v>45270</v>
      </c>
      <c r="C1090" s="22">
        <v>2023</v>
      </c>
      <c r="D1090" s="23">
        <v>12</v>
      </c>
      <c r="E1090" s="24">
        <v>10</v>
      </c>
      <c r="F1090" s="42" t="s">
        <v>17</v>
      </c>
      <c r="G1090" s="42" t="s">
        <v>7</v>
      </c>
      <c r="H1090" s="42" t="s">
        <v>113</v>
      </c>
      <c r="I1090" s="42" t="s">
        <v>231</v>
      </c>
      <c r="J1090" s="10">
        <v>6962</v>
      </c>
      <c r="K1090" s="7">
        <v>-6962</v>
      </c>
      <c r="L1090" s="1" t="s">
        <v>605</v>
      </c>
    </row>
    <row r="1091" spans="1:13">
      <c r="A1091" s="21" t="str">
        <f>TEXT(TEXT(B1091,"yyyymmdd"),"00000000")&amp;TEXT(COUNTIF($B$2:B1091,B1091),"00")</f>
        <v>2023121101</v>
      </c>
      <c r="B1091" s="21">
        <f t="shared" si="17"/>
        <v>45271</v>
      </c>
      <c r="C1091" s="22">
        <v>2023</v>
      </c>
      <c r="D1091" s="23">
        <v>12</v>
      </c>
      <c r="E1091" s="24">
        <v>11</v>
      </c>
      <c r="F1091" s="42" t="s">
        <v>17</v>
      </c>
      <c r="G1091" s="42" t="s">
        <v>13</v>
      </c>
      <c r="H1091" s="42" t="s">
        <v>138</v>
      </c>
      <c r="I1091" s="42" t="s">
        <v>139</v>
      </c>
      <c r="J1091" s="10">
        <v>10000</v>
      </c>
      <c r="K1091" s="7">
        <v>-10000</v>
      </c>
      <c r="L1091" s="1" t="s">
        <v>670</v>
      </c>
    </row>
    <row r="1092" spans="1:13">
      <c r="A1092" s="21" t="str">
        <f>TEXT(TEXT(B1092,"yyyymmdd"),"00000000")&amp;TEXT(COUNTIF($B$2:B1092,B1092),"00")</f>
        <v>2023121201</v>
      </c>
      <c r="B1092" s="21">
        <f t="shared" si="17"/>
        <v>45272</v>
      </c>
      <c r="C1092" s="22">
        <v>2023</v>
      </c>
      <c r="D1092" s="23">
        <v>12</v>
      </c>
      <c r="E1092" s="24">
        <v>12</v>
      </c>
      <c r="F1092" s="42" t="s">
        <v>17</v>
      </c>
      <c r="G1092" s="42" t="s">
        <v>13</v>
      </c>
      <c r="H1092" s="42" t="s">
        <v>138</v>
      </c>
      <c r="I1092" s="42" t="s">
        <v>139</v>
      </c>
      <c r="J1092" s="10">
        <v>7500</v>
      </c>
      <c r="K1092" s="7">
        <v>-7500</v>
      </c>
      <c r="L1092" s="1" t="s">
        <v>677</v>
      </c>
    </row>
    <row r="1093" spans="1:13">
      <c r="A1093" s="21" t="str">
        <f>TEXT(TEXT(B1093,"yyyymmdd"),"00000000")&amp;TEXT(COUNTIF($B$2:B1093,B1093),"00")</f>
        <v>2023121202</v>
      </c>
      <c r="B1093" s="21">
        <f t="shared" si="17"/>
        <v>45272</v>
      </c>
      <c r="C1093" s="22">
        <v>2023</v>
      </c>
      <c r="D1093" s="23">
        <v>12</v>
      </c>
      <c r="E1093" s="24">
        <v>12</v>
      </c>
      <c r="F1093" s="42" t="s">
        <v>17</v>
      </c>
      <c r="G1093" s="42" t="s">
        <v>7</v>
      </c>
      <c r="H1093" s="42" t="s">
        <v>167</v>
      </c>
      <c r="I1093" s="42" t="s">
        <v>168</v>
      </c>
      <c r="J1093" s="10">
        <v>2700</v>
      </c>
      <c r="K1093" s="7">
        <v>-2700</v>
      </c>
      <c r="L1093" s="1" t="s">
        <v>671</v>
      </c>
      <c r="M1093" s="2" t="s">
        <v>672</v>
      </c>
    </row>
    <row r="1094" spans="1:13">
      <c r="A1094" s="21" t="str">
        <f>TEXT(TEXT(B1094,"yyyymmdd"),"00000000")&amp;TEXT(COUNTIF($B$2:B1094,B1094),"00")</f>
        <v>2023121203</v>
      </c>
      <c r="B1094" s="21">
        <f t="shared" si="17"/>
        <v>45272</v>
      </c>
      <c r="C1094" s="22">
        <v>2023</v>
      </c>
      <c r="D1094" s="23">
        <v>12</v>
      </c>
      <c r="E1094" s="24">
        <v>12</v>
      </c>
      <c r="F1094" s="42" t="s">
        <v>17</v>
      </c>
      <c r="G1094" s="42" t="s">
        <v>7</v>
      </c>
      <c r="H1094" s="42" t="s">
        <v>110</v>
      </c>
      <c r="I1094" s="42" t="s">
        <v>120</v>
      </c>
      <c r="J1094" s="10">
        <v>1500</v>
      </c>
      <c r="K1094" s="7">
        <v>-1500</v>
      </c>
      <c r="L1094" s="1" t="s">
        <v>619</v>
      </c>
    </row>
    <row r="1095" spans="1:13">
      <c r="A1095" s="21" t="str">
        <f>TEXT(TEXT(B1095,"yyyymmdd"),"00000000")&amp;TEXT(COUNTIF($B$2:B1095,B1095),"00")</f>
        <v>2023121204</v>
      </c>
      <c r="B1095" s="21">
        <f t="shared" si="17"/>
        <v>45272</v>
      </c>
      <c r="C1095" s="22">
        <v>2023</v>
      </c>
      <c r="D1095" s="23">
        <v>12</v>
      </c>
      <c r="E1095" s="24">
        <v>12</v>
      </c>
      <c r="F1095" s="42" t="s">
        <v>17</v>
      </c>
      <c r="G1095" s="42" t="s">
        <v>13</v>
      </c>
      <c r="H1095" s="42" t="s">
        <v>138</v>
      </c>
      <c r="I1095" s="42" t="s">
        <v>139</v>
      </c>
      <c r="J1095" s="10">
        <v>8500</v>
      </c>
      <c r="K1095" s="7">
        <v>-8500</v>
      </c>
      <c r="L1095" s="1" t="s">
        <v>738</v>
      </c>
    </row>
    <row r="1096" spans="1:13">
      <c r="A1096" s="21" t="str">
        <f>TEXT(TEXT(B1096,"yyyymmdd"),"00000000")&amp;TEXT(COUNTIF($B$2:B1096,B1096),"00")</f>
        <v>2023121301</v>
      </c>
      <c r="B1096" s="21">
        <f t="shared" si="17"/>
        <v>45273</v>
      </c>
      <c r="C1096" s="22">
        <v>2023</v>
      </c>
      <c r="D1096" s="23">
        <v>12</v>
      </c>
      <c r="E1096" s="24">
        <v>13</v>
      </c>
      <c r="F1096" s="42" t="s">
        <v>17</v>
      </c>
      <c r="G1096" s="42" t="s">
        <v>13</v>
      </c>
      <c r="H1096" s="42" t="s">
        <v>138</v>
      </c>
      <c r="I1096" s="42" t="s">
        <v>139</v>
      </c>
      <c r="J1096" s="10">
        <v>3300</v>
      </c>
      <c r="K1096" s="7">
        <v>-3300</v>
      </c>
      <c r="L1096" s="1" t="s">
        <v>300</v>
      </c>
    </row>
    <row r="1097" spans="1:13">
      <c r="A1097" s="21" t="str">
        <f>TEXT(TEXT(B1097,"yyyymmdd"),"00000000")&amp;TEXT(COUNTIF($B$2:B1097,B1097),"00")</f>
        <v>2023121302</v>
      </c>
      <c r="B1097" s="21">
        <f t="shared" si="17"/>
        <v>45273</v>
      </c>
      <c r="C1097" s="22">
        <v>2023</v>
      </c>
      <c r="D1097" s="23">
        <v>12</v>
      </c>
      <c r="E1097" s="24">
        <v>13</v>
      </c>
      <c r="F1097" s="42" t="s">
        <v>17</v>
      </c>
      <c r="G1097" s="42" t="s">
        <v>13</v>
      </c>
      <c r="H1097" s="42" t="s">
        <v>167</v>
      </c>
      <c r="I1097" s="42" t="s">
        <v>168</v>
      </c>
      <c r="J1097" s="10">
        <v>1100</v>
      </c>
      <c r="K1097" s="7">
        <v>-1100</v>
      </c>
      <c r="L1097" s="1" t="s">
        <v>748</v>
      </c>
    </row>
    <row r="1098" spans="1:13">
      <c r="A1098" s="21" t="str">
        <f>TEXT(TEXT(B1098,"yyyymmdd"),"00000000")&amp;TEXT(COUNTIF($B$2:B1098,B1098),"00")</f>
        <v>2023121401</v>
      </c>
      <c r="B1098" s="21">
        <f t="shared" si="17"/>
        <v>45274</v>
      </c>
      <c r="C1098" s="22">
        <v>2023</v>
      </c>
      <c r="D1098" s="23">
        <v>12</v>
      </c>
      <c r="E1098" s="24">
        <v>14</v>
      </c>
      <c r="F1098" s="42" t="s">
        <v>17</v>
      </c>
      <c r="G1098" s="42" t="s">
        <v>13</v>
      </c>
      <c r="H1098" s="42" t="s">
        <v>138</v>
      </c>
      <c r="I1098" s="42" t="s">
        <v>139</v>
      </c>
      <c r="J1098" s="10">
        <v>7500</v>
      </c>
      <c r="K1098" s="7">
        <v>-7500</v>
      </c>
      <c r="L1098" s="1" t="s">
        <v>679</v>
      </c>
    </row>
    <row r="1099" spans="1:13">
      <c r="A1099" s="21" t="str">
        <f>TEXT(TEXT(B1099,"yyyymmdd"),"00000000")&amp;TEXT(COUNTIF($B$2:B1099,B1099),"00")</f>
        <v>2023121402</v>
      </c>
      <c r="B1099" s="21">
        <f t="shared" si="17"/>
        <v>45274</v>
      </c>
      <c r="C1099" s="22">
        <v>2023</v>
      </c>
      <c r="D1099" s="23">
        <v>12</v>
      </c>
      <c r="E1099" s="24">
        <v>14</v>
      </c>
      <c r="F1099" s="42" t="s">
        <v>17</v>
      </c>
      <c r="G1099" s="42" t="s">
        <v>7</v>
      </c>
      <c r="H1099" s="42" t="s">
        <v>117</v>
      </c>
      <c r="I1099" s="42" t="s">
        <v>453</v>
      </c>
      <c r="J1099" s="10">
        <v>3580</v>
      </c>
      <c r="K1099" s="7">
        <v>-3580</v>
      </c>
      <c r="L1099" s="1" t="s">
        <v>754</v>
      </c>
      <c r="M1099" s="2" t="s">
        <v>929</v>
      </c>
    </row>
    <row r="1100" spans="1:13">
      <c r="A1100" s="21" t="str">
        <f>TEXT(TEXT(B1100,"yyyymmdd"),"00000000")&amp;TEXT(COUNTIF($B$2:B1100,B1100),"00")</f>
        <v>2023121501</v>
      </c>
      <c r="B1100" s="21">
        <f t="shared" si="17"/>
        <v>45275</v>
      </c>
      <c r="C1100" s="22">
        <v>2023</v>
      </c>
      <c r="D1100" s="23">
        <v>12</v>
      </c>
      <c r="E1100" s="24">
        <v>15</v>
      </c>
      <c r="F1100" s="42" t="s">
        <v>17</v>
      </c>
      <c r="G1100" s="42" t="s">
        <v>13</v>
      </c>
      <c r="H1100" s="42" t="s">
        <v>113</v>
      </c>
      <c r="I1100" s="42" t="s">
        <v>171</v>
      </c>
      <c r="J1100" s="10">
        <v>15000</v>
      </c>
      <c r="K1100" s="7">
        <v>-15000</v>
      </c>
      <c r="L1100" s="1" t="s">
        <v>502</v>
      </c>
    </row>
    <row r="1101" spans="1:13">
      <c r="A1101" s="21" t="str">
        <f>TEXT(TEXT(B1101,"yyyymmdd"),"00000000")&amp;TEXT(COUNTIF($B$2:B1101,B1101),"00")</f>
        <v>2023121502</v>
      </c>
      <c r="B1101" s="21">
        <f t="shared" si="17"/>
        <v>45275</v>
      </c>
      <c r="C1101" s="22">
        <v>2023</v>
      </c>
      <c r="D1101" s="23">
        <v>12</v>
      </c>
      <c r="E1101" s="24">
        <v>15</v>
      </c>
      <c r="F1101" s="42" t="s">
        <v>17</v>
      </c>
      <c r="G1101" s="42" t="s">
        <v>13</v>
      </c>
      <c r="H1101" s="42" t="s">
        <v>138</v>
      </c>
      <c r="I1101" s="42" t="s">
        <v>139</v>
      </c>
      <c r="J1101" s="10">
        <v>22400</v>
      </c>
      <c r="K1101" s="7">
        <v>-22400</v>
      </c>
      <c r="L1101" s="1" t="s">
        <v>819</v>
      </c>
      <c r="M1101" s="2" t="s">
        <v>916</v>
      </c>
    </row>
    <row r="1102" spans="1:13">
      <c r="A1102" s="21" t="str">
        <f>TEXT(TEXT(B1102,"yyyymmdd"),"00000000")&amp;TEXT(COUNTIF($B$2:B1102,B1102),"00")</f>
        <v>2023121601</v>
      </c>
      <c r="B1102" s="21">
        <f t="shared" si="17"/>
        <v>45276</v>
      </c>
      <c r="C1102" s="22">
        <v>2023</v>
      </c>
      <c r="D1102" s="23">
        <v>12</v>
      </c>
      <c r="E1102" s="24">
        <v>16</v>
      </c>
      <c r="F1102" s="42" t="s">
        <v>17</v>
      </c>
      <c r="G1102" s="42" t="s">
        <v>7</v>
      </c>
      <c r="H1102" s="42" t="s">
        <v>138</v>
      </c>
      <c r="I1102" s="42" t="s">
        <v>139</v>
      </c>
      <c r="J1102" s="10">
        <v>9200</v>
      </c>
      <c r="K1102" s="7">
        <v>-9200</v>
      </c>
      <c r="L1102" s="1" t="s">
        <v>867</v>
      </c>
    </row>
    <row r="1103" spans="1:13">
      <c r="A1103" s="21" t="str">
        <f>TEXT(TEXT(B1103,"yyyymmdd"),"00000000")&amp;TEXT(COUNTIF($B$2:B1103,B1103),"00")</f>
        <v>2023121602</v>
      </c>
      <c r="B1103" s="21">
        <f t="shared" si="17"/>
        <v>45276</v>
      </c>
      <c r="C1103" s="22">
        <v>2023</v>
      </c>
      <c r="D1103" s="23">
        <v>12</v>
      </c>
      <c r="E1103" s="24">
        <v>16</v>
      </c>
      <c r="F1103" s="42" t="s">
        <v>17</v>
      </c>
      <c r="G1103" s="42" t="s">
        <v>7</v>
      </c>
      <c r="H1103" s="42" t="s">
        <v>110</v>
      </c>
      <c r="I1103" s="42" t="s">
        <v>120</v>
      </c>
      <c r="J1103" s="10">
        <v>1300</v>
      </c>
      <c r="K1103" s="7">
        <v>-1300</v>
      </c>
      <c r="L1103" s="1" t="s">
        <v>480</v>
      </c>
    </row>
    <row r="1104" spans="1:13">
      <c r="A1104" s="21" t="str">
        <f>TEXT(TEXT(B1104,"yyyymmdd"),"00000000")&amp;TEXT(COUNTIF($B$2:B1104,B1104),"00")</f>
        <v>2023121603</v>
      </c>
      <c r="B1104" s="21">
        <f t="shared" si="17"/>
        <v>45276</v>
      </c>
      <c r="C1104" s="22">
        <v>2023</v>
      </c>
      <c r="D1104" s="23">
        <v>12</v>
      </c>
      <c r="E1104" s="24">
        <v>16</v>
      </c>
      <c r="F1104" s="42" t="s">
        <v>17</v>
      </c>
      <c r="G1104" s="42" t="s">
        <v>7</v>
      </c>
      <c r="H1104" s="42" t="s">
        <v>138</v>
      </c>
      <c r="I1104" s="42" t="s">
        <v>139</v>
      </c>
      <c r="J1104" s="10">
        <v>8650</v>
      </c>
      <c r="K1104" s="7">
        <v>-8650</v>
      </c>
      <c r="L1104" s="1" t="s">
        <v>883</v>
      </c>
    </row>
    <row r="1105" spans="1:13">
      <c r="A1105" s="21" t="str">
        <f>TEXT(TEXT(B1105,"yyyymmdd"),"00000000")&amp;TEXT(COUNTIF($B$2:B1105,B1105),"00")</f>
        <v>2023121604</v>
      </c>
      <c r="B1105" s="21">
        <f t="shared" si="17"/>
        <v>45276</v>
      </c>
      <c r="C1105" s="22">
        <v>2023</v>
      </c>
      <c r="D1105" s="23">
        <v>12</v>
      </c>
      <c r="E1105" s="24">
        <v>16</v>
      </c>
      <c r="F1105" s="42" t="s">
        <v>17</v>
      </c>
      <c r="G1105" s="42" t="s">
        <v>7</v>
      </c>
      <c r="H1105" s="42" t="s">
        <v>116</v>
      </c>
      <c r="I1105" s="42" t="s">
        <v>217</v>
      </c>
      <c r="J1105" s="10">
        <v>3000</v>
      </c>
      <c r="K1105" s="7">
        <v>-3000</v>
      </c>
      <c r="L1105" s="1" t="s">
        <v>883</v>
      </c>
    </row>
    <row r="1106" spans="1:13">
      <c r="A1106" s="21" t="str">
        <f>TEXT(TEXT(B1106,"yyyymmdd"),"00000000")&amp;TEXT(COUNTIF($B$2:B1106,B1106),"00")</f>
        <v>2023121605</v>
      </c>
      <c r="B1106" s="21">
        <f t="shared" si="17"/>
        <v>45276</v>
      </c>
      <c r="C1106" s="22">
        <v>2023</v>
      </c>
      <c r="D1106" s="23">
        <v>12</v>
      </c>
      <c r="E1106" s="24">
        <v>16</v>
      </c>
      <c r="F1106" s="42" t="s">
        <v>17</v>
      </c>
      <c r="G1106" s="42" t="s">
        <v>7</v>
      </c>
      <c r="H1106" s="42" t="s">
        <v>138</v>
      </c>
      <c r="I1106" s="42" t="s">
        <v>139</v>
      </c>
      <c r="J1106" s="10">
        <v>4750</v>
      </c>
      <c r="K1106" s="7">
        <v>-4750</v>
      </c>
      <c r="L1106" s="1" t="s">
        <v>275</v>
      </c>
    </row>
    <row r="1107" spans="1:13">
      <c r="A1107" s="21" t="str">
        <f>TEXT(TEXT(B1107,"yyyymmdd"),"00000000")&amp;TEXT(COUNTIF($B$2:B1107,B1107),"00")</f>
        <v>2023121801</v>
      </c>
      <c r="B1107" s="21">
        <f t="shared" si="17"/>
        <v>45278</v>
      </c>
      <c r="C1107" s="22">
        <v>2023</v>
      </c>
      <c r="D1107" s="23">
        <v>12</v>
      </c>
      <c r="E1107" s="24">
        <v>18</v>
      </c>
      <c r="F1107" s="42" t="s">
        <v>17</v>
      </c>
      <c r="G1107" s="42" t="s">
        <v>7</v>
      </c>
      <c r="H1107" s="42" t="s">
        <v>116</v>
      </c>
      <c r="I1107" s="42" t="s">
        <v>212</v>
      </c>
      <c r="J1107" s="10">
        <v>15000</v>
      </c>
      <c r="K1107" s="7">
        <v>-15000</v>
      </c>
      <c r="L1107" s="1" t="s">
        <v>917</v>
      </c>
    </row>
    <row r="1108" spans="1:13">
      <c r="A1108" s="21" t="str">
        <f>TEXT(TEXT(B1108,"yyyymmdd"),"00000000")&amp;TEXT(COUNTIF($B$2:B1108,B1108),"00")</f>
        <v>2023121901</v>
      </c>
      <c r="B1108" s="21">
        <f t="shared" si="17"/>
        <v>45279</v>
      </c>
      <c r="C1108" s="22">
        <v>2023</v>
      </c>
      <c r="D1108" s="23">
        <v>12</v>
      </c>
      <c r="E1108" s="24">
        <v>19</v>
      </c>
      <c r="F1108" s="42" t="s">
        <v>17</v>
      </c>
      <c r="G1108" s="42" t="s">
        <v>7</v>
      </c>
      <c r="H1108" s="42" t="s">
        <v>138</v>
      </c>
      <c r="I1108" s="42" t="s">
        <v>139</v>
      </c>
      <c r="J1108" s="10">
        <v>9000</v>
      </c>
      <c r="K1108" s="7">
        <v>-9000</v>
      </c>
      <c r="L1108" s="1" t="s">
        <v>726</v>
      </c>
    </row>
    <row r="1109" spans="1:13">
      <c r="A1109" s="21" t="str">
        <f>TEXT(TEXT(B1109,"yyyymmdd"),"00000000")&amp;TEXT(COUNTIF($B$2:B1109,B1109),"00")</f>
        <v>2023121902</v>
      </c>
      <c r="B1109" s="21">
        <f t="shared" si="17"/>
        <v>45279</v>
      </c>
      <c r="C1109" s="22">
        <v>2023</v>
      </c>
      <c r="D1109" s="23">
        <v>12</v>
      </c>
      <c r="E1109" s="24">
        <v>19</v>
      </c>
      <c r="F1109" s="42" t="s">
        <v>17</v>
      </c>
      <c r="G1109" s="42" t="s">
        <v>7</v>
      </c>
      <c r="H1109" s="42" t="s">
        <v>116</v>
      </c>
      <c r="I1109" s="42" t="s">
        <v>212</v>
      </c>
      <c r="J1109" s="10">
        <v>50000</v>
      </c>
      <c r="K1109" s="7">
        <v>-50000</v>
      </c>
      <c r="L1109" s="1" t="s">
        <v>918</v>
      </c>
    </row>
    <row r="1110" spans="1:13">
      <c r="A1110" s="21" t="str">
        <f>TEXT(TEXT(B1110,"yyyymmdd"),"00000000")&amp;TEXT(COUNTIF($B$2:B1110,B1110),"00")</f>
        <v>2023122101</v>
      </c>
      <c r="B1110" s="21">
        <f t="shared" si="17"/>
        <v>45281</v>
      </c>
      <c r="C1110" s="22">
        <v>2023</v>
      </c>
      <c r="D1110" s="23">
        <v>12</v>
      </c>
      <c r="E1110" s="24">
        <v>21</v>
      </c>
      <c r="F1110" s="42" t="s">
        <v>17</v>
      </c>
      <c r="G1110" s="42" t="s">
        <v>7</v>
      </c>
      <c r="H1110" s="42" t="s">
        <v>110</v>
      </c>
      <c r="I1110" s="42" t="s">
        <v>120</v>
      </c>
      <c r="J1110" s="10">
        <v>5500</v>
      </c>
      <c r="K1110" s="7">
        <v>-5500</v>
      </c>
      <c r="L1110" s="1" t="s">
        <v>927</v>
      </c>
    </row>
    <row r="1111" spans="1:13">
      <c r="A1111" s="21" t="str">
        <f>TEXT(TEXT(B1111,"yyyymmdd"),"00000000")&amp;TEXT(COUNTIF($B$2:B1111,B1111),"00")</f>
        <v>2023122102</v>
      </c>
      <c r="B1111" s="21">
        <f t="shared" si="17"/>
        <v>45281</v>
      </c>
      <c r="C1111" s="22">
        <v>2023</v>
      </c>
      <c r="D1111" s="23">
        <v>12</v>
      </c>
      <c r="E1111" s="24">
        <v>21</v>
      </c>
      <c r="F1111" s="42" t="s">
        <v>17</v>
      </c>
      <c r="G1111" s="42" t="s">
        <v>7</v>
      </c>
      <c r="H1111" s="42" t="s">
        <v>110</v>
      </c>
      <c r="I1111" s="42" t="s">
        <v>122</v>
      </c>
      <c r="J1111" s="10">
        <v>3500</v>
      </c>
      <c r="K1111" s="7">
        <v>-3500</v>
      </c>
      <c r="L1111" s="1" t="s">
        <v>920</v>
      </c>
    </row>
    <row r="1112" spans="1:13">
      <c r="A1112" s="21" t="str">
        <f>TEXT(TEXT(B1112,"yyyymmdd"),"00000000")&amp;TEXT(COUNTIF($B$2:B1112,B1112),"00")</f>
        <v>2023122103</v>
      </c>
      <c r="B1112" s="21">
        <f t="shared" si="17"/>
        <v>45281</v>
      </c>
      <c r="C1112" s="22">
        <v>2023</v>
      </c>
      <c r="D1112" s="23">
        <v>12</v>
      </c>
      <c r="E1112" s="24">
        <v>21</v>
      </c>
      <c r="F1112" s="42" t="s">
        <v>17</v>
      </c>
      <c r="G1112" s="42" t="s">
        <v>7</v>
      </c>
      <c r="H1112" s="42" t="s">
        <v>138</v>
      </c>
      <c r="I1112" s="42" t="s">
        <v>139</v>
      </c>
      <c r="J1112" s="10">
        <v>6200</v>
      </c>
      <c r="K1112" s="7">
        <v>-6200</v>
      </c>
      <c r="L1112" s="1" t="s">
        <v>661</v>
      </c>
    </row>
    <row r="1113" spans="1:13">
      <c r="A1113" s="21" t="str">
        <f>TEXT(TEXT(B1113,"yyyymmdd"),"00000000")&amp;TEXT(COUNTIF($B$2:B1113,B1113),"00")</f>
        <v>2023122104</v>
      </c>
      <c r="B1113" s="21">
        <f t="shared" si="17"/>
        <v>45281</v>
      </c>
      <c r="C1113" s="22">
        <v>2023</v>
      </c>
      <c r="D1113" s="23">
        <v>12</v>
      </c>
      <c r="E1113" s="24">
        <v>21</v>
      </c>
      <c r="F1113" s="42" t="s">
        <v>17</v>
      </c>
      <c r="G1113" s="42" t="s">
        <v>7</v>
      </c>
      <c r="H1113" s="42" t="s">
        <v>138</v>
      </c>
      <c r="I1113" s="42" t="s">
        <v>139</v>
      </c>
      <c r="J1113" s="10">
        <v>5700</v>
      </c>
      <c r="K1113" s="7">
        <v>-5700</v>
      </c>
      <c r="L1113" s="1" t="s">
        <v>750</v>
      </c>
    </row>
    <row r="1114" spans="1:13">
      <c r="A1114" s="21" t="str">
        <f>TEXT(TEXT(B1114,"yyyymmdd"),"00000000")&amp;TEXT(COUNTIF($B$2:B1114,B1114),"00")</f>
        <v>2023122201</v>
      </c>
      <c r="B1114" s="21">
        <f t="shared" si="17"/>
        <v>45282</v>
      </c>
      <c r="C1114" s="22">
        <v>2023</v>
      </c>
      <c r="D1114" s="23">
        <v>12</v>
      </c>
      <c r="E1114" s="24">
        <v>22</v>
      </c>
      <c r="F1114" s="42" t="s">
        <v>17</v>
      </c>
      <c r="G1114" s="42" t="s">
        <v>7</v>
      </c>
      <c r="H1114" s="42" t="s">
        <v>110</v>
      </c>
      <c r="I1114" s="42" t="s">
        <v>120</v>
      </c>
      <c r="J1114" s="10">
        <v>1800</v>
      </c>
      <c r="K1114" s="7">
        <v>-1800</v>
      </c>
      <c r="L1114" s="1" t="s">
        <v>924</v>
      </c>
    </row>
    <row r="1115" spans="1:13">
      <c r="A1115" s="21" t="str">
        <f>TEXT(TEXT(B1115,"yyyymmdd"),"00000000")&amp;TEXT(COUNTIF($B$2:B1115,B1115),"00")</f>
        <v>2023122202</v>
      </c>
      <c r="B1115" s="21">
        <f t="shared" si="17"/>
        <v>45282</v>
      </c>
      <c r="C1115" s="22">
        <v>2023</v>
      </c>
      <c r="D1115" s="23">
        <v>12</v>
      </c>
      <c r="E1115" s="24">
        <v>22</v>
      </c>
      <c r="F1115" s="42" t="s">
        <v>17</v>
      </c>
      <c r="G1115" s="42" t="s">
        <v>7</v>
      </c>
      <c r="H1115" s="42" t="s">
        <v>116</v>
      </c>
      <c r="I1115" s="42" t="s">
        <v>217</v>
      </c>
      <c r="J1115" s="10">
        <v>2500</v>
      </c>
      <c r="K1115" s="7">
        <v>-2500</v>
      </c>
      <c r="L1115" s="1" t="s">
        <v>713</v>
      </c>
    </row>
    <row r="1116" spans="1:13">
      <c r="A1116" s="21" t="str">
        <f>TEXT(TEXT(B1116,"yyyymmdd"),"00000000")&amp;TEXT(COUNTIF($B$2:B1116,B1116),"00")</f>
        <v>2023122203</v>
      </c>
      <c r="B1116" s="21">
        <f t="shared" si="17"/>
        <v>45282</v>
      </c>
      <c r="C1116" s="22">
        <v>2023</v>
      </c>
      <c r="D1116" s="23">
        <v>12</v>
      </c>
      <c r="E1116" s="24">
        <v>22</v>
      </c>
      <c r="F1116" s="42" t="s">
        <v>17</v>
      </c>
      <c r="G1116" s="42" t="s">
        <v>7</v>
      </c>
      <c r="H1116" s="42" t="s">
        <v>116</v>
      </c>
      <c r="I1116" s="42" t="s">
        <v>128</v>
      </c>
      <c r="J1116" s="10">
        <v>15000</v>
      </c>
      <c r="K1116" s="7">
        <v>-15000</v>
      </c>
      <c r="L1116" s="1" t="s">
        <v>922</v>
      </c>
      <c r="M1116" s="2" t="s">
        <v>923</v>
      </c>
    </row>
    <row r="1117" spans="1:13">
      <c r="A1117" s="21" t="str">
        <f>TEXT(TEXT(B1117,"yyyymmdd"),"00000000")&amp;TEXT(COUNTIF($B$2:B1117,B1117),"00")</f>
        <v>2023122204</v>
      </c>
      <c r="B1117" s="21">
        <f t="shared" si="17"/>
        <v>45282</v>
      </c>
      <c r="C1117" s="22">
        <v>2023</v>
      </c>
      <c r="D1117" s="23">
        <v>12</v>
      </c>
      <c r="E1117" s="24">
        <v>22</v>
      </c>
      <c r="F1117" s="42" t="s">
        <v>17</v>
      </c>
      <c r="G1117" s="42" t="s">
        <v>7</v>
      </c>
      <c r="H1117" s="42" t="s">
        <v>138</v>
      </c>
      <c r="I1117" s="42" t="s">
        <v>139</v>
      </c>
      <c r="J1117" s="10">
        <v>12000</v>
      </c>
      <c r="K1117" s="7">
        <v>-12000</v>
      </c>
      <c r="L1117" s="1" t="s">
        <v>921</v>
      </c>
    </row>
    <row r="1118" spans="1:13">
      <c r="A1118" s="21" t="str">
        <f>TEXT(TEXT(B1118,"yyyymmdd"),"00000000")&amp;TEXT(COUNTIF($B$2:B1118,B1118),"00")</f>
        <v>2023122205</v>
      </c>
      <c r="B1118" s="21">
        <f t="shared" si="17"/>
        <v>45282</v>
      </c>
      <c r="C1118" s="22">
        <v>2023</v>
      </c>
      <c r="D1118" s="23">
        <v>12</v>
      </c>
      <c r="E1118" s="24">
        <v>22</v>
      </c>
      <c r="F1118" s="42" t="s">
        <v>17</v>
      </c>
      <c r="G1118" s="42" t="s">
        <v>7</v>
      </c>
      <c r="H1118" s="42" t="s">
        <v>116</v>
      </c>
      <c r="I1118" s="42" t="s">
        <v>225</v>
      </c>
      <c r="J1118" s="10">
        <v>3000</v>
      </c>
      <c r="K1118" s="7">
        <v>-3000</v>
      </c>
      <c r="L1118" s="1" t="s">
        <v>926</v>
      </c>
    </row>
    <row r="1119" spans="1:13">
      <c r="A1119" s="21" t="str">
        <f>TEXT(TEXT(B1119,"yyyymmdd"),"00000000")&amp;TEXT(COUNTIF($B$2:B1119,B1119),"00")</f>
        <v>2023122206</v>
      </c>
      <c r="B1119" s="21">
        <f t="shared" si="17"/>
        <v>45282</v>
      </c>
      <c r="C1119" s="22">
        <v>2023</v>
      </c>
      <c r="D1119" s="23">
        <v>12</v>
      </c>
      <c r="E1119" s="24">
        <v>22</v>
      </c>
      <c r="F1119" s="42" t="s">
        <v>17</v>
      </c>
      <c r="G1119" s="42" t="s">
        <v>7</v>
      </c>
      <c r="H1119" s="42" t="s">
        <v>110</v>
      </c>
      <c r="I1119" s="42" t="s">
        <v>120</v>
      </c>
      <c r="J1119" s="10">
        <v>8350</v>
      </c>
      <c r="K1119" s="7">
        <v>-8350</v>
      </c>
      <c r="L1119" s="1" t="s">
        <v>925</v>
      </c>
    </row>
    <row r="1120" spans="1:13">
      <c r="A1120" s="21" t="str">
        <f>TEXT(TEXT(B1120,"yyyymmdd"),"00000000")&amp;TEXT(COUNTIF($B$2:B1120,B1120),"00")</f>
        <v>2023122207</v>
      </c>
      <c r="B1120" s="21">
        <f t="shared" si="17"/>
        <v>45282</v>
      </c>
      <c r="C1120" s="22">
        <v>2023</v>
      </c>
      <c r="D1120" s="23">
        <v>12</v>
      </c>
      <c r="E1120" s="24">
        <v>22</v>
      </c>
      <c r="F1120" s="42" t="s">
        <v>17</v>
      </c>
      <c r="G1120" s="42" t="s">
        <v>7</v>
      </c>
      <c r="H1120" s="42" t="s">
        <v>117</v>
      </c>
      <c r="I1120" s="42" t="s">
        <v>453</v>
      </c>
      <c r="J1120" s="10">
        <v>12500</v>
      </c>
      <c r="K1120" s="7">
        <v>-12500</v>
      </c>
      <c r="L1120" s="1" t="s">
        <v>754</v>
      </c>
      <c r="M1120" s="2" t="s">
        <v>942</v>
      </c>
    </row>
    <row r="1121" spans="1:13">
      <c r="A1121" s="21" t="str">
        <f>TEXT(TEXT(B1121,"yyyymmdd"),"00000000")&amp;TEXT(COUNTIF($B$2:B1121,B1121),"00")</f>
        <v>2023122208</v>
      </c>
      <c r="B1121" s="21">
        <f t="shared" si="17"/>
        <v>45282</v>
      </c>
      <c r="C1121" s="22">
        <v>2023</v>
      </c>
      <c r="D1121" s="23">
        <v>12</v>
      </c>
      <c r="E1121" s="24">
        <v>22</v>
      </c>
      <c r="F1121" s="42" t="s">
        <v>17</v>
      </c>
      <c r="G1121" s="42" t="s">
        <v>7</v>
      </c>
      <c r="H1121" s="42" t="s">
        <v>167</v>
      </c>
      <c r="I1121" s="42" t="s">
        <v>214</v>
      </c>
      <c r="J1121" s="10">
        <v>10400</v>
      </c>
      <c r="K1121" s="7">
        <v>-10400</v>
      </c>
      <c r="L1121" s="1" t="s">
        <v>753</v>
      </c>
    </row>
    <row r="1122" spans="1:13">
      <c r="A1122" s="21" t="str">
        <f>TEXT(TEXT(B1122,"yyyymmdd"),"00000000")&amp;TEXT(COUNTIF($B$2:B1122,B1122),"00")</f>
        <v>2023122601</v>
      </c>
      <c r="B1122" s="21">
        <f t="shared" si="17"/>
        <v>45286</v>
      </c>
      <c r="C1122" s="22">
        <v>2023</v>
      </c>
      <c r="D1122" s="23">
        <v>12</v>
      </c>
      <c r="E1122" s="24">
        <v>26</v>
      </c>
      <c r="F1122" s="42" t="s">
        <v>17</v>
      </c>
      <c r="G1122" s="42" t="s">
        <v>7</v>
      </c>
      <c r="H1122" s="42" t="s">
        <v>116</v>
      </c>
      <c r="I1122" s="42" t="s">
        <v>212</v>
      </c>
      <c r="J1122" s="10">
        <v>29200</v>
      </c>
      <c r="K1122" s="7">
        <v>-29200</v>
      </c>
      <c r="L1122" s="1" t="s">
        <v>932</v>
      </c>
      <c r="M1122" s="2" t="s">
        <v>933</v>
      </c>
    </row>
    <row r="1123" spans="1:13">
      <c r="A1123" s="21" t="str">
        <f>TEXT(TEXT(B1123,"yyyymmdd"),"00000000")&amp;TEXT(COUNTIF($B$2:B1123,B1123),"00")</f>
        <v>2023122701</v>
      </c>
      <c r="B1123" s="21">
        <f t="shared" si="17"/>
        <v>45287</v>
      </c>
      <c r="C1123" s="22">
        <v>2023</v>
      </c>
      <c r="D1123" s="23">
        <v>12</v>
      </c>
      <c r="E1123" s="24">
        <v>27</v>
      </c>
      <c r="F1123" s="42" t="s">
        <v>17</v>
      </c>
      <c r="G1123" s="42" t="s">
        <v>7</v>
      </c>
      <c r="H1123" s="42" t="s">
        <v>119</v>
      </c>
      <c r="I1123" s="42" t="s">
        <v>180</v>
      </c>
      <c r="J1123" s="10">
        <v>50000</v>
      </c>
      <c r="K1123" s="7">
        <v>-50000</v>
      </c>
      <c r="L1123" s="1" t="s">
        <v>931</v>
      </c>
    </row>
    <row r="1124" spans="1:13">
      <c r="A1124" s="21" t="str">
        <f>TEXT(TEXT(B1124,"yyyymmdd"),"00000000")&amp;TEXT(COUNTIF($B$2:B1124,B1124),"00")</f>
        <v>2023122702</v>
      </c>
      <c r="B1124" s="21">
        <f t="shared" si="17"/>
        <v>45287</v>
      </c>
      <c r="C1124" s="22">
        <v>2023</v>
      </c>
      <c r="D1124" s="23">
        <v>12</v>
      </c>
      <c r="E1124" s="24">
        <v>27</v>
      </c>
      <c r="F1124" s="42" t="s">
        <v>17</v>
      </c>
      <c r="G1124" s="42" t="s">
        <v>7</v>
      </c>
      <c r="H1124" s="42" t="s">
        <v>119</v>
      </c>
      <c r="I1124" s="42" t="s">
        <v>180</v>
      </c>
      <c r="J1124" s="10">
        <v>3500</v>
      </c>
      <c r="K1124" s="7">
        <v>-3500</v>
      </c>
      <c r="L1124" s="1" t="s">
        <v>651</v>
      </c>
    </row>
    <row r="1125" spans="1:13">
      <c r="A1125" s="21" t="str">
        <f>TEXT(TEXT(B1125,"yyyymmdd"),"00000000")&amp;TEXT(COUNTIF($B$2:B1125,B1125),"00")</f>
        <v>2023122901</v>
      </c>
      <c r="B1125" s="21">
        <f t="shared" si="17"/>
        <v>45289</v>
      </c>
      <c r="C1125" s="22">
        <v>2023</v>
      </c>
      <c r="D1125" s="23">
        <v>12</v>
      </c>
      <c r="E1125" s="24">
        <v>29</v>
      </c>
      <c r="F1125" s="42" t="s">
        <v>17</v>
      </c>
      <c r="G1125" s="42" t="s">
        <v>7</v>
      </c>
      <c r="H1125" s="42" t="s">
        <v>119</v>
      </c>
      <c r="I1125" s="42" t="s">
        <v>180</v>
      </c>
      <c r="J1125" s="10">
        <v>7500</v>
      </c>
      <c r="K1125" s="7">
        <v>-7500</v>
      </c>
      <c r="L1125" s="1" t="s">
        <v>934</v>
      </c>
    </row>
    <row r="1126" spans="1:13">
      <c r="A1126" s="21" t="str">
        <f>TEXT(TEXT(B1126,"yyyymmdd"),"00000000")&amp;TEXT(COUNTIF($B$2:B1126,B1126),"00")</f>
        <v>2023123001</v>
      </c>
      <c r="B1126" s="21">
        <f t="shared" si="17"/>
        <v>45290</v>
      </c>
      <c r="C1126" s="22">
        <v>2023</v>
      </c>
      <c r="D1126" s="23">
        <v>12</v>
      </c>
      <c r="E1126" s="24">
        <v>30</v>
      </c>
      <c r="F1126" s="42" t="s">
        <v>17</v>
      </c>
      <c r="G1126" s="42" t="s">
        <v>7</v>
      </c>
      <c r="H1126" s="42" t="s">
        <v>116</v>
      </c>
      <c r="I1126" s="42" t="s">
        <v>212</v>
      </c>
      <c r="J1126" s="10">
        <v>32767</v>
      </c>
      <c r="K1126" s="7">
        <v>-32767</v>
      </c>
      <c r="L1126" s="1" t="s">
        <v>935</v>
      </c>
      <c r="M1126" s="2" t="s">
        <v>936</v>
      </c>
    </row>
    <row r="1127" spans="1:13">
      <c r="A1127" s="21" t="str">
        <f>TEXT(TEXT(B1127,"yyyymmdd"),"00000000")&amp;TEXT(COUNTIF($B$2:B1127,B1127),"00")</f>
        <v>2023123002</v>
      </c>
      <c r="B1127" s="21">
        <f t="shared" si="17"/>
        <v>45290</v>
      </c>
      <c r="C1127" s="22">
        <v>2023</v>
      </c>
      <c r="D1127" s="23">
        <v>12</v>
      </c>
      <c r="E1127" s="24">
        <v>30</v>
      </c>
      <c r="F1127" s="42" t="s">
        <v>17</v>
      </c>
      <c r="G1127" s="42" t="s">
        <v>170</v>
      </c>
      <c r="H1127" s="42" t="s">
        <v>155</v>
      </c>
      <c r="I1127" s="42" t="s">
        <v>156</v>
      </c>
      <c r="J1127" s="10">
        <v>1426</v>
      </c>
      <c r="K1127" s="7">
        <v>-1426</v>
      </c>
      <c r="L1127" s="1" t="s">
        <v>303</v>
      </c>
    </row>
    <row r="1128" spans="1:13">
      <c r="A1128" s="21" t="str">
        <f>TEXT(TEXT(B1128,"yyyymmdd"),"00000000")&amp;TEXT(COUNTIF($B$2:B1128,B1128),"00")</f>
        <v>2024010201</v>
      </c>
      <c r="B1128" s="21">
        <f t="shared" si="17"/>
        <v>45293</v>
      </c>
      <c r="C1128" s="22">
        <v>2024</v>
      </c>
      <c r="D1128" s="23">
        <v>1</v>
      </c>
      <c r="E1128" s="24">
        <v>2</v>
      </c>
      <c r="F1128" s="42" t="s">
        <v>17</v>
      </c>
      <c r="G1128" s="42" t="s">
        <v>7</v>
      </c>
      <c r="H1128" s="42" t="s">
        <v>167</v>
      </c>
      <c r="I1128" s="42" t="s">
        <v>168</v>
      </c>
      <c r="J1128" s="10">
        <v>4700</v>
      </c>
      <c r="K1128" s="7">
        <v>-4700</v>
      </c>
      <c r="L1128" s="1" t="s">
        <v>532</v>
      </c>
    </row>
    <row r="1129" spans="1:13">
      <c r="A1129" s="21" t="str">
        <f>TEXT(TEXT(B1129,"yyyymmdd"),"00000000")&amp;TEXT(COUNTIF($B$2:B1129,B1129),"00")</f>
        <v>2024010301</v>
      </c>
      <c r="B1129" s="21">
        <f t="shared" si="17"/>
        <v>45294</v>
      </c>
      <c r="C1129" s="22">
        <v>2024</v>
      </c>
      <c r="D1129" s="23">
        <v>1</v>
      </c>
      <c r="E1129" s="24">
        <v>3</v>
      </c>
      <c r="F1129" s="42" t="s">
        <v>19</v>
      </c>
      <c r="G1129" s="42" t="s">
        <v>135</v>
      </c>
      <c r="H1129" s="42" t="s">
        <v>135</v>
      </c>
      <c r="I1129" s="42" t="s">
        <v>152</v>
      </c>
      <c r="J1129" s="10">
        <v>-1000000</v>
      </c>
      <c r="K1129" s="7">
        <v>1000000</v>
      </c>
      <c r="L1129" s="1" t="s">
        <v>940</v>
      </c>
    </row>
    <row r="1130" spans="1:13">
      <c r="A1130" s="21" t="str">
        <f>TEXT(TEXT(B1130,"yyyymmdd"),"00000000")&amp;TEXT(COUNTIF($B$2:B1130,B1130),"00")</f>
        <v>2024010302</v>
      </c>
      <c r="B1130" s="21">
        <f t="shared" si="17"/>
        <v>45294</v>
      </c>
      <c r="C1130" s="22">
        <v>2024</v>
      </c>
      <c r="D1130" s="23">
        <v>1</v>
      </c>
      <c r="E1130" s="24">
        <v>3</v>
      </c>
      <c r="F1130" s="42" t="s">
        <v>17</v>
      </c>
      <c r="G1130" s="42" t="s">
        <v>7</v>
      </c>
      <c r="H1130" s="42" t="s">
        <v>167</v>
      </c>
      <c r="I1130" s="42" t="s">
        <v>168</v>
      </c>
      <c r="J1130" s="10">
        <v>2000</v>
      </c>
      <c r="K1130" s="7">
        <v>-2000</v>
      </c>
      <c r="L1130" s="1" t="s">
        <v>671</v>
      </c>
      <c r="M1130" s="2" t="s">
        <v>939</v>
      </c>
    </row>
    <row r="1131" spans="1:13">
      <c r="A1131" s="21" t="str">
        <f>TEXT(TEXT(B1131,"yyyymmdd"),"00000000")&amp;TEXT(COUNTIF($B$2:B1131,B1131),"00")</f>
        <v>2024010303</v>
      </c>
      <c r="B1131" s="21">
        <f t="shared" si="17"/>
        <v>45294</v>
      </c>
      <c r="C1131" s="22">
        <v>2024</v>
      </c>
      <c r="D1131" s="23">
        <v>1</v>
      </c>
      <c r="E1131" s="24">
        <v>3</v>
      </c>
      <c r="F1131" s="42" t="s">
        <v>17</v>
      </c>
      <c r="G1131" s="42" t="s">
        <v>13</v>
      </c>
      <c r="H1131" s="42" t="s">
        <v>138</v>
      </c>
      <c r="I1131" s="42" t="s">
        <v>139</v>
      </c>
      <c r="J1131" s="10">
        <v>11200</v>
      </c>
      <c r="K1131" s="7">
        <v>-11200</v>
      </c>
      <c r="L1131" s="1" t="s">
        <v>738</v>
      </c>
    </row>
    <row r="1132" spans="1:13">
      <c r="A1132" s="21" t="str">
        <f>TEXT(TEXT(B1132,"yyyymmdd"),"00000000")&amp;TEXT(COUNTIF($B$2:B1132,B1132),"00")</f>
        <v>2024010401</v>
      </c>
      <c r="B1132" s="21">
        <f t="shared" si="17"/>
        <v>45295</v>
      </c>
      <c r="C1132" s="22">
        <v>2024</v>
      </c>
      <c r="D1132" s="23">
        <v>1</v>
      </c>
      <c r="E1132" s="24">
        <v>4</v>
      </c>
      <c r="F1132" s="42" t="s">
        <v>17</v>
      </c>
      <c r="G1132" s="42" t="s">
        <v>7</v>
      </c>
      <c r="H1132" s="42" t="s">
        <v>173</v>
      </c>
      <c r="I1132" s="42" t="s">
        <v>207</v>
      </c>
      <c r="J1132" s="10">
        <v>22360</v>
      </c>
      <c r="K1132" s="7">
        <v>-22360</v>
      </c>
      <c r="L1132" s="1" t="s">
        <v>208</v>
      </c>
    </row>
    <row r="1133" spans="1:13">
      <c r="A1133" s="21" t="str">
        <f>TEXT(TEXT(B1133,"yyyymmdd"),"00000000")&amp;TEXT(COUNTIF($B$2:B1133,B1133),"00")</f>
        <v>2024010402</v>
      </c>
      <c r="B1133" s="21">
        <f t="shared" si="17"/>
        <v>45295</v>
      </c>
      <c r="C1133" s="22">
        <v>2024</v>
      </c>
      <c r="D1133" s="23">
        <v>1</v>
      </c>
      <c r="E1133" s="24">
        <v>4</v>
      </c>
      <c r="F1133" s="42" t="s">
        <v>17</v>
      </c>
      <c r="G1133" s="42" t="s">
        <v>11</v>
      </c>
      <c r="H1133" s="42" t="s">
        <v>99</v>
      </c>
      <c r="I1133" s="42" t="s">
        <v>11</v>
      </c>
      <c r="J1133" s="10">
        <v>-82900</v>
      </c>
      <c r="K1133" s="7">
        <v>82900</v>
      </c>
      <c r="L1133" s="1" t="s">
        <v>941</v>
      </c>
    </row>
    <row r="1134" spans="1:13">
      <c r="A1134" s="21" t="str">
        <f>TEXT(TEXT(B1134,"yyyymmdd"),"00000000")&amp;TEXT(COUNTIF($B$2:B1134,B1134),"00")</f>
        <v>2024010501</v>
      </c>
      <c r="B1134" s="21">
        <f t="shared" si="17"/>
        <v>45296</v>
      </c>
      <c r="C1134" s="22">
        <v>2024</v>
      </c>
      <c r="D1134" s="23">
        <v>1</v>
      </c>
      <c r="E1134" s="24">
        <v>5</v>
      </c>
      <c r="F1134" s="42" t="s">
        <v>17</v>
      </c>
      <c r="G1134" s="42" t="s">
        <v>13</v>
      </c>
      <c r="H1134" s="42" t="s">
        <v>167</v>
      </c>
      <c r="I1134" s="42" t="s">
        <v>168</v>
      </c>
      <c r="J1134" s="10">
        <v>2500</v>
      </c>
      <c r="K1134" s="7">
        <v>-2500</v>
      </c>
      <c r="L1134" s="1" t="s">
        <v>532</v>
      </c>
    </row>
    <row r="1135" spans="1:13">
      <c r="A1135" s="21" t="str">
        <f>TEXT(TEXT(B1135,"yyyymmdd"),"00000000")&amp;TEXT(COUNTIF($B$2:B1135,B1135),"00")</f>
        <v>2024010502</v>
      </c>
      <c r="B1135" s="21">
        <f t="shared" si="17"/>
        <v>45296</v>
      </c>
      <c r="C1135" s="22">
        <v>2024</v>
      </c>
      <c r="D1135" s="23">
        <v>1</v>
      </c>
      <c r="E1135" s="24">
        <v>5</v>
      </c>
      <c r="F1135" s="42" t="s">
        <v>17</v>
      </c>
      <c r="G1135" s="42" t="s">
        <v>135</v>
      </c>
      <c r="H1135" s="42" t="s">
        <v>135</v>
      </c>
      <c r="I1135" s="42" t="s">
        <v>152</v>
      </c>
      <c r="J1135" s="10">
        <v>-500000</v>
      </c>
      <c r="K1135" s="7">
        <v>500000</v>
      </c>
      <c r="L1135" s="1" t="s">
        <v>252</v>
      </c>
    </row>
    <row r="1136" spans="1:13">
      <c r="A1136" s="21" t="str">
        <f>TEXT(TEXT(B1136,"yyyymmdd"),"00000000")&amp;TEXT(COUNTIF($B$2:B1136,B1136),"00")</f>
        <v>2024010503</v>
      </c>
      <c r="B1136" s="21">
        <f t="shared" si="17"/>
        <v>45296</v>
      </c>
      <c r="C1136" s="22">
        <v>2024</v>
      </c>
      <c r="D1136" s="23">
        <v>1</v>
      </c>
      <c r="E1136" s="24">
        <v>5</v>
      </c>
      <c r="F1136" s="42" t="s">
        <v>17</v>
      </c>
      <c r="G1136" s="42" t="s">
        <v>7</v>
      </c>
      <c r="H1136" s="42" t="s">
        <v>167</v>
      </c>
      <c r="I1136" s="42" t="s">
        <v>214</v>
      </c>
      <c r="J1136" s="10">
        <v>10000</v>
      </c>
      <c r="K1136" s="7">
        <v>-10000</v>
      </c>
      <c r="L1136" s="1" t="s">
        <v>944</v>
      </c>
    </row>
    <row r="1137" spans="1:13">
      <c r="A1137" s="21" t="str">
        <f>TEXT(TEXT(B1137,"yyyymmdd"),"00000000")&amp;TEXT(COUNTIF($B$2:B1137,B1137),"00")</f>
        <v>2024010504</v>
      </c>
      <c r="B1137" s="21">
        <f t="shared" si="17"/>
        <v>45296</v>
      </c>
      <c r="C1137" s="22">
        <v>2024</v>
      </c>
      <c r="D1137" s="23">
        <v>1</v>
      </c>
      <c r="E1137" s="24">
        <v>5</v>
      </c>
      <c r="F1137" s="42" t="s">
        <v>17</v>
      </c>
      <c r="G1137" s="42" t="s">
        <v>7</v>
      </c>
      <c r="H1137" s="42" t="s">
        <v>167</v>
      </c>
      <c r="I1137" s="42" t="s">
        <v>214</v>
      </c>
      <c r="J1137" s="10">
        <v>9000</v>
      </c>
      <c r="K1137" s="7">
        <v>-9000</v>
      </c>
      <c r="L1137" s="1" t="s">
        <v>603</v>
      </c>
    </row>
    <row r="1138" spans="1:13">
      <c r="A1138" s="21" t="str">
        <f>TEXT(TEXT(B1138,"yyyymmdd"),"00000000")&amp;TEXT(COUNTIF($B$2:B1138,B1138),"00")</f>
        <v>2024010505</v>
      </c>
      <c r="B1138" s="21">
        <f t="shared" si="17"/>
        <v>45296</v>
      </c>
      <c r="C1138" s="22">
        <v>2024</v>
      </c>
      <c r="D1138" s="23">
        <v>1</v>
      </c>
      <c r="E1138" s="24">
        <v>5</v>
      </c>
      <c r="F1138" s="42" t="s">
        <v>17</v>
      </c>
      <c r="G1138" s="42" t="s">
        <v>13</v>
      </c>
      <c r="H1138" s="42" t="s">
        <v>138</v>
      </c>
      <c r="I1138" s="42" t="s">
        <v>139</v>
      </c>
      <c r="J1138" s="10">
        <v>3800</v>
      </c>
      <c r="K1138" s="7">
        <v>-3800</v>
      </c>
      <c r="L1138" s="1" t="s">
        <v>300</v>
      </c>
    </row>
    <row r="1139" spans="1:13">
      <c r="A1139" s="21" t="str">
        <f>TEXT(TEXT(B1139,"yyyymmdd"),"00000000")&amp;TEXT(COUNTIF($B$2:B1139,B1139),"00")</f>
        <v>2024010506</v>
      </c>
      <c r="B1139" s="21">
        <f t="shared" si="17"/>
        <v>45296</v>
      </c>
      <c r="C1139" s="22">
        <v>2024</v>
      </c>
      <c r="D1139" s="23">
        <v>1</v>
      </c>
      <c r="E1139" s="24">
        <v>5</v>
      </c>
      <c r="F1139" s="42" t="s">
        <v>17</v>
      </c>
      <c r="G1139" s="42" t="s">
        <v>7</v>
      </c>
      <c r="H1139" s="42" t="s">
        <v>167</v>
      </c>
      <c r="I1139" s="42" t="s">
        <v>565</v>
      </c>
      <c r="J1139" s="10">
        <v>10000</v>
      </c>
      <c r="K1139" s="7">
        <v>-10000</v>
      </c>
      <c r="L1139" s="1" t="s">
        <v>943</v>
      </c>
    </row>
    <row r="1140" spans="1:13">
      <c r="A1140" s="21" t="str">
        <f>TEXT(TEXT(B1140,"yyyymmdd"),"00000000")&amp;TEXT(COUNTIF($B$2:B1140,B1140),"00")</f>
        <v>2024010601</v>
      </c>
      <c r="B1140" s="21">
        <f t="shared" si="17"/>
        <v>45297</v>
      </c>
      <c r="C1140" s="22">
        <v>2024</v>
      </c>
      <c r="D1140" s="23">
        <v>1</v>
      </c>
      <c r="E1140" s="24">
        <v>6</v>
      </c>
      <c r="F1140" s="42" t="s">
        <v>17</v>
      </c>
      <c r="G1140" s="42" t="s">
        <v>11</v>
      </c>
      <c r="H1140" s="42" t="s">
        <v>99</v>
      </c>
      <c r="I1140" s="42" t="s">
        <v>11</v>
      </c>
      <c r="J1140" s="10">
        <v>14700</v>
      </c>
      <c r="K1140" s="7">
        <v>-14700</v>
      </c>
      <c r="L1140" s="1" t="s">
        <v>532</v>
      </c>
      <c r="M1140" s="2" t="s">
        <v>948</v>
      </c>
    </row>
    <row r="1141" spans="1:13">
      <c r="A1141" s="21" t="str">
        <f>TEXT(TEXT(B1141,"yyyymmdd"),"00000000")&amp;TEXT(COUNTIF($B$2:B1141,B1141),"00")</f>
        <v>2024010602</v>
      </c>
      <c r="B1141" s="21">
        <f t="shared" si="17"/>
        <v>45297</v>
      </c>
      <c r="C1141" s="22">
        <v>2024</v>
      </c>
      <c r="D1141" s="23">
        <v>1</v>
      </c>
      <c r="E1141" s="24">
        <v>6</v>
      </c>
      <c r="F1141" s="42" t="s">
        <v>17</v>
      </c>
      <c r="G1141" s="42" t="s">
        <v>7</v>
      </c>
      <c r="H1141" s="42" t="s">
        <v>116</v>
      </c>
      <c r="I1141" s="42" t="s">
        <v>212</v>
      </c>
      <c r="J1141" s="10">
        <v>20000</v>
      </c>
      <c r="K1141" s="7">
        <v>-20000</v>
      </c>
      <c r="L1141" s="1" t="s">
        <v>946</v>
      </c>
      <c r="M1141" s="2" t="s">
        <v>947</v>
      </c>
    </row>
    <row r="1142" spans="1:13">
      <c r="A1142" s="21" t="str">
        <f>TEXT(TEXT(B1142,"yyyymmdd"),"00000000")&amp;TEXT(COUNTIF($B$2:B1142,B1142),"00")</f>
        <v>2024010603</v>
      </c>
      <c r="B1142" s="21">
        <f t="shared" si="17"/>
        <v>45297</v>
      </c>
      <c r="C1142" s="22">
        <v>2024</v>
      </c>
      <c r="D1142" s="23">
        <v>1</v>
      </c>
      <c r="E1142" s="24">
        <v>6</v>
      </c>
      <c r="F1142" s="42" t="s">
        <v>17</v>
      </c>
      <c r="G1142" s="42" t="s">
        <v>7</v>
      </c>
      <c r="H1142" s="42" t="s">
        <v>110</v>
      </c>
      <c r="I1142" s="42" t="s">
        <v>120</v>
      </c>
      <c r="J1142" s="10">
        <v>2000</v>
      </c>
      <c r="K1142" s="7">
        <v>-2000</v>
      </c>
      <c r="L1142" s="1" t="s">
        <v>480</v>
      </c>
    </row>
    <row r="1143" spans="1:13">
      <c r="A1143" s="21" t="str">
        <f>TEXT(TEXT(B1143,"yyyymmdd"),"00000000")&amp;TEXT(COUNTIF($B$2:B1143,B1143),"00")</f>
        <v>2024010604</v>
      </c>
      <c r="B1143" s="21">
        <f t="shared" si="17"/>
        <v>45297</v>
      </c>
      <c r="C1143" s="22">
        <v>2024</v>
      </c>
      <c r="D1143" s="23">
        <v>1</v>
      </c>
      <c r="E1143" s="24">
        <v>6</v>
      </c>
      <c r="F1143" s="42" t="s">
        <v>17</v>
      </c>
      <c r="G1143" s="42" t="s">
        <v>7</v>
      </c>
      <c r="H1143" s="42" t="s">
        <v>111</v>
      </c>
      <c r="I1143" s="42" t="s">
        <v>334</v>
      </c>
      <c r="J1143" s="10">
        <v>12000</v>
      </c>
      <c r="K1143" s="7">
        <v>-12000</v>
      </c>
      <c r="L1143" s="1" t="s">
        <v>868</v>
      </c>
    </row>
    <row r="1144" spans="1:13">
      <c r="A1144" s="21" t="str">
        <f>TEXT(TEXT(B1144,"yyyymmdd"),"00000000")&amp;TEXT(COUNTIF($B$2:B1144,B1144),"00")</f>
        <v>2024010605</v>
      </c>
      <c r="B1144" s="21">
        <f t="shared" si="17"/>
        <v>45297</v>
      </c>
      <c r="C1144" s="22">
        <v>2024</v>
      </c>
      <c r="D1144" s="23">
        <v>1</v>
      </c>
      <c r="E1144" s="24">
        <v>6</v>
      </c>
      <c r="F1144" s="42" t="s">
        <v>17</v>
      </c>
      <c r="G1144" s="42" t="s">
        <v>7</v>
      </c>
      <c r="H1144" s="42" t="s">
        <v>155</v>
      </c>
      <c r="I1144" s="42" t="s">
        <v>221</v>
      </c>
      <c r="J1144" s="10">
        <v>15540</v>
      </c>
      <c r="K1144" s="7">
        <v>-15540</v>
      </c>
      <c r="L1144" s="1" t="s">
        <v>945</v>
      </c>
      <c r="M1144" s="2" t="s">
        <v>951</v>
      </c>
    </row>
    <row r="1145" spans="1:13">
      <c r="A1145" s="21" t="str">
        <f>TEXT(TEXT(B1145,"yyyymmdd"),"00000000")&amp;TEXT(COUNTIF($B$2:B1145,B1145),"00")</f>
        <v>2024010801</v>
      </c>
      <c r="B1145" s="21">
        <f t="shared" si="17"/>
        <v>45299</v>
      </c>
      <c r="C1145" s="22">
        <v>2024</v>
      </c>
      <c r="D1145" s="23">
        <v>1</v>
      </c>
      <c r="E1145" s="24">
        <v>8</v>
      </c>
      <c r="F1145" s="42" t="s">
        <v>17</v>
      </c>
      <c r="G1145" s="42" t="s">
        <v>7</v>
      </c>
      <c r="H1145" s="42" t="s">
        <v>167</v>
      </c>
      <c r="I1145" s="42" t="s">
        <v>168</v>
      </c>
      <c r="J1145" s="10">
        <v>18380</v>
      </c>
      <c r="K1145" s="7">
        <v>-18380</v>
      </c>
      <c r="L1145" s="1" t="s">
        <v>845</v>
      </c>
    </row>
    <row r="1146" spans="1:13">
      <c r="A1146" s="21" t="str">
        <f>TEXT(TEXT(B1146,"yyyymmdd"),"00000000")&amp;TEXT(COUNTIF($B$2:B1146,B1146),"00")</f>
        <v>2024010802</v>
      </c>
      <c r="B1146" s="21">
        <f t="shared" si="17"/>
        <v>45299</v>
      </c>
      <c r="C1146" s="22">
        <v>2024</v>
      </c>
      <c r="D1146" s="23">
        <v>1</v>
      </c>
      <c r="E1146" s="24">
        <v>8</v>
      </c>
      <c r="F1146" s="42" t="s">
        <v>17</v>
      </c>
      <c r="G1146" s="42" t="s">
        <v>7</v>
      </c>
      <c r="H1146" s="42" t="s">
        <v>110</v>
      </c>
      <c r="I1146" s="42" t="s">
        <v>124</v>
      </c>
      <c r="J1146" s="10">
        <v>3800</v>
      </c>
      <c r="K1146" s="7">
        <v>-3800</v>
      </c>
      <c r="L1146" s="1" t="s">
        <v>865</v>
      </c>
    </row>
    <row r="1147" spans="1:13">
      <c r="A1147" s="21" t="str">
        <f>TEXT(TEXT(B1147,"yyyymmdd"),"00000000")&amp;TEXT(COUNTIF($B$2:B1147,B1147),"00")</f>
        <v>2024010803</v>
      </c>
      <c r="B1147" s="21">
        <f t="shared" si="17"/>
        <v>45299</v>
      </c>
      <c r="C1147" s="22">
        <v>2024</v>
      </c>
      <c r="D1147" s="23">
        <v>1</v>
      </c>
      <c r="E1147" s="24">
        <v>8</v>
      </c>
      <c r="F1147" s="42" t="s">
        <v>17</v>
      </c>
      <c r="G1147" s="42" t="s">
        <v>135</v>
      </c>
      <c r="H1147" s="42" t="s">
        <v>135</v>
      </c>
      <c r="I1147" s="42" t="s">
        <v>143</v>
      </c>
      <c r="J1147" s="10">
        <v>-10000</v>
      </c>
      <c r="K1147" s="7">
        <v>10000</v>
      </c>
      <c r="L1147" s="1" t="s">
        <v>165</v>
      </c>
    </row>
    <row r="1148" spans="1:13">
      <c r="A1148" s="21" t="str">
        <f>TEXT(TEXT(B1148,"yyyymmdd"),"00000000")&amp;TEXT(COUNTIF($B$2:B1148,B1148),"00")</f>
        <v>2024010804</v>
      </c>
      <c r="B1148" s="21">
        <f t="shared" si="17"/>
        <v>45299</v>
      </c>
      <c r="C1148" s="22">
        <v>2024</v>
      </c>
      <c r="D1148" s="23">
        <v>1</v>
      </c>
      <c r="E1148" s="24">
        <v>8</v>
      </c>
      <c r="F1148" s="42" t="s">
        <v>17</v>
      </c>
      <c r="G1148" s="42" t="s">
        <v>13</v>
      </c>
      <c r="H1148" s="42" t="s">
        <v>138</v>
      </c>
      <c r="I1148" s="42" t="s">
        <v>139</v>
      </c>
      <c r="J1148" s="10">
        <v>9500</v>
      </c>
      <c r="K1148" s="7">
        <v>-9500</v>
      </c>
      <c r="L1148" s="1" t="s">
        <v>680</v>
      </c>
    </row>
    <row r="1149" spans="1:13">
      <c r="A1149" s="21" t="str">
        <f>TEXT(TEXT(B1149,"yyyymmdd"),"00000000")&amp;TEXT(COUNTIF($B$2:B1149,B1149),"00")</f>
        <v>2024010805</v>
      </c>
      <c r="B1149" s="21">
        <f t="shared" si="17"/>
        <v>45299</v>
      </c>
      <c r="C1149" s="22">
        <v>2024</v>
      </c>
      <c r="D1149" s="23">
        <v>1</v>
      </c>
      <c r="E1149" s="24">
        <v>8</v>
      </c>
      <c r="F1149" s="42" t="s">
        <v>17</v>
      </c>
      <c r="G1149" s="42" t="s">
        <v>7</v>
      </c>
      <c r="H1149" s="42" t="s">
        <v>138</v>
      </c>
      <c r="I1149" s="42" t="s">
        <v>139</v>
      </c>
      <c r="J1149" s="10">
        <v>9500</v>
      </c>
      <c r="K1149" s="7">
        <v>-9500</v>
      </c>
      <c r="L1149" s="1" t="s">
        <v>680</v>
      </c>
      <c r="M1149" s="2" t="s">
        <v>952</v>
      </c>
    </row>
    <row r="1150" spans="1:13">
      <c r="A1150" s="21" t="str">
        <f>TEXT(TEXT(B1150,"yyyymmdd"),"00000000")&amp;TEXT(COUNTIF($B$2:B1150,B1150),"00")</f>
        <v>2024010806</v>
      </c>
      <c r="B1150" s="21">
        <f t="shared" si="17"/>
        <v>45299</v>
      </c>
      <c r="C1150" s="22">
        <v>2024</v>
      </c>
      <c r="D1150" s="23">
        <v>1</v>
      </c>
      <c r="E1150" s="24">
        <v>8</v>
      </c>
      <c r="F1150" s="42" t="s">
        <v>17</v>
      </c>
      <c r="G1150" s="42" t="s">
        <v>13</v>
      </c>
      <c r="H1150" s="42" t="s">
        <v>32</v>
      </c>
      <c r="I1150" s="42" t="s">
        <v>620</v>
      </c>
      <c r="J1150" s="10">
        <v>50000</v>
      </c>
      <c r="K1150" s="7">
        <v>-50000</v>
      </c>
      <c r="L1150" s="1" t="s">
        <v>598</v>
      </c>
    </row>
    <row r="1151" spans="1:13">
      <c r="A1151" s="21" t="str">
        <f>TEXT(TEXT(B1151,"yyyymmdd"),"00000000")&amp;TEXT(COUNTIF($B$2:B1151,B1151),"00")</f>
        <v>2024010901</v>
      </c>
      <c r="B1151" s="21">
        <f t="shared" si="17"/>
        <v>45300</v>
      </c>
      <c r="C1151" s="22">
        <v>2024</v>
      </c>
      <c r="D1151" s="23">
        <v>1</v>
      </c>
      <c r="E1151" s="24">
        <v>9</v>
      </c>
      <c r="F1151" s="42" t="s">
        <v>17</v>
      </c>
      <c r="G1151" s="42" t="s">
        <v>7</v>
      </c>
      <c r="H1151" s="42" t="s">
        <v>115</v>
      </c>
      <c r="I1151" s="42" t="s">
        <v>953</v>
      </c>
      <c r="J1151" s="10">
        <v>5200</v>
      </c>
      <c r="K1151" s="7">
        <v>-5200</v>
      </c>
      <c r="L1151" s="1" t="s">
        <v>954</v>
      </c>
      <c r="M1151" s="2" t="s">
        <v>955</v>
      </c>
    </row>
    <row r="1152" spans="1:13">
      <c r="A1152" s="21" t="str">
        <f>TEXT(TEXT(B1152,"yyyymmdd"),"00000000")&amp;TEXT(COUNTIF($B$2:B1152,B1152),"00")</f>
        <v>2024010902</v>
      </c>
      <c r="B1152" s="21">
        <f t="shared" si="17"/>
        <v>45300</v>
      </c>
      <c r="C1152" s="22">
        <v>2024</v>
      </c>
      <c r="D1152" s="23">
        <v>1</v>
      </c>
      <c r="E1152" s="24">
        <v>9</v>
      </c>
      <c r="F1152" s="42" t="s">
        <v>17</v>
      </c>
      <c r="G1152" s="42" t="s">
        <v>7</v>
      </c>
      <c r="H1152" s="42" t="s">
        <v>115</v>
      </c>
      <c r="I1152" s="42" t="s">
        <v>630</v>
      </c>
      <c r="J1152" s="10">
        <v>1800</v>
      </c>
      <c r="K1152" s="7">
        <v>-1800</v>
      </c>
      <c r="L1152" s="1" t="s">
        <v>956</v>
      </c>
    </row>
    <row r="1153" spans="1:13">
      <c r="A1153" s="21" t="str">
        <f>TEXT(TEXT(B1153,"yyyymmdd"),"00000000")&amp;TEXT(COUNTIF($B$2:B1153,B1153),"00")</f>
        <v>2024010903</v>
      </c>
      <c r="B1153" s="21">
        <f t="shared" si="17"/>
        <v>45300</v>
      </c>
      <c r="C1153" s="22">
        <v>2024</v>
      </c>
      <c r="D1153" s="23">
        <v>1</v>
      </c>
      <c r="E1153" s="24">
        <v>9</v>
      </c>
      <c r="F1153" s="42" t="s">
        <v>17</v>
      </c>
      <c r="G1153" s="42" t="s">
        <v>13</v>
      </c>
      <c r="H1153" s="42" t="s">
        <v>138</v>
      </c>
      <c r="I1153" s="42" t="s">
        <v>139</v>
      </c>
      <c r="J1153" s="10">
        <v>8900</v>
      </c>
      <c r="K1153" s="7">
        <v>-8900</v>
      </c>
      <c r="L1153" s="1" t="s">
        <v>750</v>
      </c>
    </row>
    <row r="1154" spans="1:13">
      <c r="A1154" s="21" t="str">
        <f>TEXT(TEXT(B1154,"yyyymmdd"),"00000000")&amp;TEXT(COUNTIF($B$2:B1154,B1154),"00")</f>
        <v>2024011001</v>
      </c>
      <c r="B1154" s="21">
        <f t="shared" ref="B1154:B1217" si="18">DATE(C1154,D1154,E1154)</f>
        <v>45301</v>
      </c>
      <c r="C1154" s="22">
        <v>2024</v>
      </c>
      <c r="D1154" s="23">
        <v>1</v>
      </c>
      <c r="E1154" s="24">
        <v>10</v>
      </c>
      <c r="F1154" s="42" t="s">
        <v>17</v>
      </c>
      <c r="G1154" s="42" t="s">
        <v>13</v>
      </c>
      <c r="H1154" s="42" t="s">
        <v>167</v>
      </c>
      <c r="I1154" s="42" t="s">
        <v>168</v>
      </c>
      <c r="J1154" s="10">
        <v>7800</v>
      </c>
      <c r="K1154" s="7">
        <v>-7800</v>
      </c>
      <c r="L1154" s="1" t="s">
        <v>532</v>
      </c>
      <c r="M1154" s="2" t="s">
        <v>958</v>
      </c>
    </row>
    <row r="1155" spans="1:13">
      <c r="A1155" s="21" t="str">
        <f>TEXT(TEXT(B1155,"yyyymmdd"),"00000000")&amp;TEXT(COUNTIF($B$2:B1155,B1155),"00")</f>
        <v>2024011002</v>
      </c>
      <c r="B1155" s="21">
        <f t="shared" si="18"/>
        <v>45301</v>
      </c>
      <c r="C1155" s="22">
        <v>2024</v>
      </c>
      <c r="D1155" s="23">
        <v>1</v>
      </c>
      <c r="E1155" s="24">
        <v>10</v>
      </c>
      <c r="F1155" s="42" t="s">
        <v>17</v>
      </c>
      <c r="G1155" s="42" t="s">
        <v>13</v>
      </c>
      <c r="H1155" s="42" t="s">
        <v>167</v>
      </c>
      <c r="I1155" s="42" t="s">
        <v>214</v>
      </c>
      <c r="J1155" s="10">
        <v>29180</v>
      </c>
      <c r="K1155" s="7">
        <v>-29180</v>
      </c>
      <c r="L1155" s="1" t="s">
        <v>957</v>
      </c>
    </row>
    <row r="1156" spans="1:13">
      <c r="A1156" s="21" t="str">
        <f>TEXT(TEXT(B1156,"yyyymmdd"),"00000000")&amp;TEXT(COUNTIF($B$2:B1156,B1156),"00")</f>
        <v>2024011101</v>
      </c>
      <c r="B1156" s="21">
        <f t="shared" si="18"/>
        <v>45302</v>
      </c>
      <c r="C1156" s="22">
        <v>2024</v>
      </c>
      <c r="D1156" s="23">
        <v>1</v>
      </c>
      <c r="E1156" s="24">
        <v>11</v>
      </c>
      <c r="F1156" s="42" t="s">
        <v>17</v>
      </c>
      <c r="G1156" s="42" t="s">
        <v>7</v>
      </c>
      <c r="H1156" s="42" t="s">
        <v>167</v>
      </c>
      <c r="I1156" s="42" t="s">
        <v>129</v>
      </c>
      <c r="J1156" s="10">
        <v>33900</v>
      </c>
      <c r="K1156" s="7">
        <v>-33900</v>
      </c>
      <c r="L1156" s="1" t="s">
        <v>541</v>
      </c>
      <c r="M1156" s="2" t="s">
        <v>959</v>
      </c>
    </row>
    <row r="1157" spans="1:13">
      <c r="A1157" s="21" t="str">
        <f>TEXT(TEXT(B1157,"yyyymmdd"),"00000000")&amp;TEXT(COUNTIF($B$2:B1157,B1157),"00")</f>
        <v>2024011301</v>
      </c>
      <c r="B1157" s="21">
        <f t="shared" si="18"/>
        <v>45304</v>
      </c>
      <c r="C1157" s="22">
        <v>2024</v>
      </c>
      <c r="D1157" s="23">
        <v>1</v>
      </c>
      <c r="E1157" s="24">
        <v>13</v>
      </c>
      <c r="F1157" s="42" t="s">
        <v>17</v>
      </c>
      <c r="G1157" s="42" t="s">
        <v>7</v>
      </c>
      <c r="H1157" s="42" t="s">
        <v>167</v>
      </c>
      <c r="I1157" s="42" t="s">
        <v>214</v>
      </c>
      <c r="J1157" s="10">
        <v>10200</v>
      </c>
      <c r="K1157" s="7">
        <v>-10200</v>
      </c>
      <c r="L1157" s="1" t="s">
        <v>603</v>
      </c>
    </row>
    <row r="1158" spans="1:13">
      <c r="A1158" s="21" t="str">
        <f>TEXT(TEXT(B1158,"yyyymmdd"),"00000000")&amp;TEXT(COUNTIF($B$2:B1158,B1158),"00")</f>
        <v>2024011302</v>
      </c>
      <c r="B1158" s="21">
        <f t="shared" si="18"/>
        <v>45304</v>
      </c>
      <c r="C1158" s="22">
        <v>2024</v>
      </c>
      <c r="D1158" s="23">
        <v>1</v>
      </c>
      <c r="E1158" s="24">
        <v>13</v>
      </c>
      <c r="F1158" s="42" t="s">
        <v>17</v>
      </c>
      <c r="G1158" s="42" t="s">
        <v>13</v>
      </c>
      <c r="H1158" s="42" t="s">
        <v>113</v>
      </c>
      <c r="I1158" s="42" t="s">
        <v>171</v>
      </c>
      <c r="J1158" s="10">
        <v>15000</v>
      </c>
      <c r="K1158" s="7">
        <v>-15000</v>
      </c>
      <c r="L1158" s="1" t="s">
        <v>502</v>
      </c>
    </row>
    <row r="1159" spans="1:13">
      <c r="A1159" s="21" t="str">
        <f>TEXT(TEXT(B1159,"yyyymmdd"),"00000000")&amp;TEXT(COUNTIF($B$2:B1159,B1159),"00")</f>
        <v>2024011303</v>
      </c>
      <c r="B1159" s="21">
        <f t="shared" si="18"/>
        <v>45304</v>
      </c>
      <c r="C1159" s="22">
        <v>2024</v>
      </c>
      <c r="D1159" s="23">
        <v>1</v>
      </c>
      <c r="E1159" s="24">
        <v>13</v>
      </c>
      <c r="F1159" s="42" t="s">
        <v>17</v>
      </c>
      <c r="G1159" s="42" t="s">
        <v>13</v>
      </c>
      <c r="H1159" s="42" t="s">
        <v>138</v>
      </c>
      <c r="I1159" s="42" t="s">
        <v>139</v>
      </c>
      <c r="J1159" s="10">
        <v>6500</v>
      </c>
      <c r="K1159" s="7">
        <v>-6500</v>
      </c>
      <c r="L1159" s="1" t="s">
        <v>960</v>
      </c>
    </row>
    <row r="1160" spans="1:13">
      <c r="A1160" s="21" t="str">
        <f>TEXT(TEXT(B1160,"yyyymmdd"),"00000000")&amp;TEXT(COUNTIF($B$2:B1160,B1160),"00")</f>
        <v>2024011401</v>
      </c>
      <c r="B1160" s="21">
        <f t="shared" si="18"/>
        <v>45305</v>
      </c>
      <c r="C1160" s="22">
        <v>2024</v>
      </c>
      <c r="D1160" s="23">
        <v>1</v>
      </c>
      <c r="E1160" s="24">
        <v>14</v>
      </c>
      <c r="F1160" s="42" t="s">
        <v>17</v>
      </c>
      <c r="G1160" s="42" t="s">
        <v>13</v>
      </c>
      <c r="H1160" s="42" t="s">
        <v>167</v>
      </c>
      <c r="I1160" s="42" t="s">
        <v>168</v>
      </c>
      <c r="J1160" s="10">
        <v>4100</v>
      </c>
      <c r="K1160" s="7">
        <v>-4100</v>
      </c>
      <c r="L1160" s="1" t="s">
        <v>532</v>
      </c>
      <c r="M1160" s="2" t="s">
        <v>672</v>
      </c>
    </row>
    <row r="1161" spans="1:13">
      <c r="A1161" s="21" t="str">
        <f>TEXT(TEXT(B1161,"yyyymmdd"),"00000000")&amp;TEXT(COUNTIF($B$2:B1161,B1161),"00")</f>
        <v>2024011501</v>
      </c>
      <c r="B1161" s="21">
        <f t="shared" si="18"/>
        <v>45306</v>
      </c>
      <c r="C1161" s="22">
        <v>2024</v>
      </c>
      <c r="D1161" s="23">
        <v>1</v>
      </c>
      <c r="E1161" s="24">
        <v>15</v>
      </c>
      <c r="F1161" s="42" t="s">
        <v>17</v>
      </c>
      <c r="G1161" s="42" t="s">
        <v>7</v>
      </c>
      <c r="H1161" s="42" t="s">
        <v>167</v>
      </c>
      <c r="I1161" s="42" t="s">
        <v>129</v>
      </c>
      <c r="J1161" s="10">
        <v>34590</v>
      </c>
      <c r="K1161" s="7">
        <v>-34590</v>
      </c>
      <c r="L1161" s="1" t="s">
        <v>961</v>
      </c>
      <c r="M1161" s="2" t="s">
        <v>962</v>
      </c>
    </row>
    <row r="1162" spans="1:13">
      <c r="A1162" s="21" t="str">
        <f>TEXT(TEXT(B1162,"yyyymmdd"),"00000000")&amp;TEXT(COUNTIF($B$2:B1162,B1162),"00")</f>
        <v>2024011601</v>
      </c>
      <c r="B1162" s="21">
        <f t="shared" si="18"/>
        <v>45307</v>
      </c>
      <c r="C1162" s="22">
        <v>2024</v>
      </c>
      <c r="D1162" s="23">
        <v>1</v>
      </c>
      <c r="E1162" s="24">
        <v>16</v>
      </c>
      <c r="F1162" s="42" t="s">
        <v>17</v>
      </c>
      <c r="G1162" s="42" t="s">
        <v>13</v>
      </c>
      <c r="H1162" s="42" t="s">
        <v>138</v>
      </c>
      <c r="I1162" s="42" t="s">
        <v>139</v>
      </c>
      <c r="J1162" s="10">
        <v>7500</v>
      </c>
      <c r="K1162" s="7">
        <v>-7500</v>
      </c>
      <c r="L1162" s="1" t="s">
        <v>677</v>
      </c>
    </row>
    <row r="1163" spans="1:13">
      <c r="A1163" s="21" t="str">
        <f>TEXT(TEXT(B1163,"yyyymmdd"),"00000000")&amp;TEXT(COUNTIF($B$2:B1163,B1163),"00")</f>
        <v>2024011602</v>
      </c>
      <c r="B1163" s="21">
        <f t="shared" si="18"/>
        <v>45307</v>
      </c>
      <c r="C1163" s="22">
        <v>2024</v>
      </c>
      <c r="D1163" s="23">
        <v>1</v>
      </c>
      <c r="E1163" s="24">
        <v>16</v>
      </c>
      <c r="F1163" s="42" t="s">
        <v>17</v>
      </c>
      <c r="G1163" s="42" t="s">
        <v>13</v>
      </c>
      <c r="H1163" s="42" t="s">
        <v>167</v>
      </c>
      <c r="I1163" s="42" t="s">
        <v>214</v>
      </c>
      <c r="J1163" s="10">
        <v>12990</v>
      </c>
      <c r="K1163" s="7">
        <v>-12990</v>
      </c>
      <c r="L1163" s="1" t="s">
        <v>957</v>
      </c>
    </row>
    <row r="1164" spans="1:13">
      <c r="A1164" s="21" t="str">
        <f>TEXT(TEXT(B1164,"yyyymmdd"),"00000000")&amp;TEXT(COUNTIF($B$2:B1164,B1164),"00")</f>
        <v>2024011603</v>
      </c>
      <c r="B1164" s="21">
        <f t="shared" si="18"/>
        <v>45307</v>
      </c>
      <c r="C1164" s="22">
        <v>2024</v>
      </c>
      <c r="D1164" s="23">
        <v>1</v>
      </c>
      <c r="E1164" s="24">
        <v>16</v>
      </c>
      <c r="F1164" s="42" t="s">
        <v>17</v>
      </c>
      <c r="G1164" s="42" t="s">
        <v>7</v>
      </c>
      <c r="H1164" s="42" t="s">
        <v>110</v>
      </c>
      <c r="I1164" s="42" t="s">
        <v>120</v>
      </c>
      <c r="J1164" s="10">
        <v>1500</v>
      </c>
      <c r="K1164" s="7">
        <v>-1500</v>
      </c>
      <c r="L1164" s="1" t="s">
        <v>871</v>
      </c>
    </row>
    <row r="1165" spans="1:13">
      <c r="A1165" s="21" t="str">
        <f>TEXT(TEXT(B1165,"yyyymmdd"),"00000000")&amp;TEXT(COUNTIF($B$2:B1165,B1165),"00")</f>
        <v>2024011701</v>
      </c>
      <c r="B1165" s="21">
        <f t="shared" si="18"/>
        <v>45308</v>
      </c>
      <c r="C1165" s="22">
        <v>2024</v>
      </c>
      <c r="D1165" s="23">
        <v>1</v>
      </c>
      <c r="E1165" s="24">
        <v>17</v>
      </c>
      <c r="F1165" s="42" t="s">
        <v>19</v>
      </c>
      <c r="G1165" s="42" t="s">
        <v>11</v>
      </c>
      <c r="H1165" s="42" t="s">
        <v>99</v>
      </c>
      <c r="I1165" s="42" t="s">
        <v>94</v>
      </c>
      <c r="J1165" s="10">
        <v>1000000</v>
      </c>
      <c r="K1165" s="7">
        <v>-1000000</v>
      </c>
      <c r="L1165" s="1" t="s">
        <v>503</v>
      </c>
    </row>
    <row r="1166" spans="1:13">
      <c r="A1166" s="21" t="str">
        <f>TEXT(TEXT(B1166,"yyyymmdd"),"00000000")&amp;TEXT(COUNTIF($B$2:B1166,B1166),"00")</f>
        <v>2024011702</v>
      </c>
      <c r="B1166" s="21">
        <f t="shared" si="18"/>
        <v>45308</v>
      </c>
      <c r="C1166" s="22">
        <v>2024</v>
      </c>
      <c r="D1166" s="23">
        <v>1</v>
      </c>
      <c r="E1166" s="24">
        <v>17</v>
      </c>
      <c r="F1166" s="42" t="s">
        <v>498</v>
      </c>
      <c r="G1166" s="42" t="s">
        <v>11</v>
      </c>
      <c r="H1166" s="42" t="s">
        <v>99</v>
      </c>
      <c r="I1166" s="42" t="s">
        <v>94</v>
      </c>
      <c r="J1166" s="10">
        <v>-1000000</v>
      </c>
      <c r="K1166" s="7">
        <v>1000000</v>
      </c>
      <c r="L1166" s="1" t="s">
        <v>503</v>
      </c>
    </row>
    <row r="1167" spans="1:13">
      <c r="A1167" s="21" t="str">
        <f>TEXT(TEXT(B1167,"yyyymmdd"),"00000000")&amp;TEXT(COUNTIF($B$2:B1167,B1167),"00")</f>
        <v>2024011801</v>
      </c>
      <c r="B1167" s="21">
        <f t="shared" si="18"/>
        <v>45309</v>
      </c>
      <c r="C1167" s="22">
        <v>2024</v>
      </c>
      <c r="D1167" s="23">
        <v>1</v>
      </c>
      <c r="E1167" s="24">
        <v>18</v>
      </c>
      <c r="F1167" s="42" t="s">
        <v>17</v>
      </c>
      <c r="G1167" s="42" t="s">
        <v>13</v>
      </c>
      <c r="H1167" s="42" t="s">
        <v>138</v>
      </c>
      <c r="I1167" s="42" t="s">
        <v>139</v>
      </c>
      <c r="J1167" s="10">
        <v>4600</v>
      </c>
      <c r="K1167" s="7">
        <v>-4600</v>
      </c>
      <c r="L1167" s="1" t="s">
        <v>300</v>
      </c>
    </row>
    <row r="1168" spans="1:13">
      <c r="A1168" s="21" t="str">
        <f>TEXT(TEXT(B1168,"yyyymmdd"),"00000000")&amp;TEXT(COUNTIF($B$2:B1168,B1168),"00")</f>
        <v>2024011802</v>
      </c>
      <c r="B1168" s="21">
        <f t="shared" si="18"/>
        <v>45309</v>
      </c>
      <c r="C1168" s="22">
        <v>2024</v>
      </c>
      <c r="D1168" s="23">
        <v>1</v>
      </c>
      <c r="E1168" s="24">
        <v>18</v>
      </c>
      <c r="F1168" s="42" t="s">
        <v>17</v>
      </c>
      <c r="G1168" s="42" t="s">
        <v>135</v>
      </c>
      <c r="H1168" s="42" t="s">
        <v>135</v>
      </c>
      <c r="I1168" s="42" t="s">
        <v>143</v>
      </c>
      <c r="J1168" s="10">
        <v>-30000</v>
      </c>
      <c r="K1168" s="7">
        <v>30000</v>
      </c>
      <c r="L1168" s="1" t="s">
        <v>165</v>
      </c>
    </row>
    <row r="1169" spans="1:13">
      <c r="A1169" s="21" t="str">
        <f>TEXT(TEXT(B1169,"yyyymmdd"),"00000000")&amp;TEXT(COUNTIF($B$2:B1169,B1169),"00")</f>
        <v>2024012001</v>
      </c>
      <c r="B1169" s="21">
        <f t="shared" si="18"/>
        <v>45311</v>
      </c>
      <c r="C1169" s="22">
        <v>2024</v>
      </c>
      <c r="D1169" s="23">
        <v>1</v>
      </c>
      <c r="E1169" s="24">
        <v>20</v>
      </c>
      <c r="F1169" s="42" t="s">
        <v>17</v>
      </c>
      <c r="G1169" s="42" t="s">
        <v>7</v>
      </c>
      <c r="H1169" s="42" t="s">
        <v>117</v>
      </c>
      <c r="I1169" s="42" t="s">
        <v>450</v>
      </c>
      <c r="J1169" s="10">
        <v>275491</v>
      </c>
      <c r="K1169" s="7">
        <v>-275491</v>
      </c>
      <c r="L1169" s="1" t="s">
        <v>919</v>
      </c>
      <c r="M1169" s="2" t="s">
        <v>949</v>
      </c>
    </row>
    <row r="1170" spans="1:13">
      <c r="A1170" s="21" t="str">
        <f>TEXT(TEXT(B1170,"yyyymmdd"),"00000000")&amp;TEXT(COUNTIF($B$2:B1170,B1170),"00")</f>
        <v>2024012002</v>
      </c>
      <c r="B1170" s="21">
        <f t="shared" si="18"/>
        <v>45311</v>
      </c>
      <c r="C1170" s="22">
        <v>2024</v>
      </c>
      <c r="D1170" s="23">
        <v>1</v>
      </c>
      <c r="E1170" s="24">
        <v>20</v>
      </c>
      <c r="F1170" s="42" t="s">
        <v>17</v>
      </c>
      <c r="G1170" s="42" t="s">
        <v>7</v>
      </c>
      <c r="H1170" s="42" t="s">
        <v>116</v>
      </c>
      <c r="I1170" s="42" t="s">
        <v>217</v>
      </c>
      <c r="J1170" s="10">
        <v>18900</v>
      </c>
      <c r="K1170" s="7">
        <v>-18900</v>
      </c>
      <c r="L1170" s="1" t="s">
        <v>964</v>
      </c>
    </row>
    <row r="1171" spans="1:13">
      <c r="A1171" s="21" t="str">
        <f>TEXT(TEXT(B1171,"yyyymmdd"),"00000000")&amp;TEXT(COUNTIF($B$2:B1171,B1171),"00")</f>
        <v>2024012003</v>
      </c>
      <c r="B1171" s="21">
        <f t="shared" si="18"/>
        <v>45311</v>
      </c>
      <c r="C1171" s="22">
        <v>2024</v>
      </c>
      <c r="D1171" s="23">
        <v>1</v>
      </c>
      <c r="E1171" s="24">
        <v>20</v>
      </c>
      <c r="F1171" s="42" t="s">
        <v>17</v>
      </c>
      <c r="G1171" s="42" t="s">
        <v>7</v>
      </c>
      <c r="H1171" s="42" t="s">
        <v>138</v>
      </c>
      <c r="I1171" s="42" t="s">
        <v>139</v>
      </c>
      <c r="J1171" s="10">
        <v>27000</v>
      </c>
      <c r="K1171" s="7">
        <v>-27000</v>
      </c>
      <c r="L1171" s="1" t="s">
        <v>963</v>
      </c>
    </row>
    <row r="1172" spans="1:13">
      <c r="A1172" s="21" t="str">
        <f>TEXT(TEXT(B1172,"yyyymmdd"),"00000000")&amp;TEXT(COUNTIF($B$2:B1172,B1172),"00")</f>
        <v>2024012004</v>
      </c>
      <c r="B1172" s="21">
        <f t="shared" si="18"/>
        <v>45311</v>
      </c>
      <c r="C1172" s="22">
        <v>2024</v>
      </c>
      <c r="D1172" s="23">
        <v>1</v>
      </c>
      <c r="E1172" s="24">
        <v>20</v>
      </c>
      <c r="F1172" s="42" t="s">
        <v>17</v>
      </c>
      <c r="G1172" s="42" t="s">
        <v>7</v>
      </c>
      <c r="H1172" s="42" t="s">
        <v>117</v>
      </c>
      <c r="I1172" s="42" t="s">
        <v>453</v>
      </c>
      <c r="J1172" s="10">
        <v>1323</v>
      </c>
      <c r="K1172" s="7">
        <v>-1323</v>
      </c>
      <c r="L1172" s="1" t="s">
        <v>930</v>
      </c>
      <c r="M1172" s="2" t="s">
        <v>950</v>
      </c>
    </row>
    <row r="1173" spans="1:13">
      <c r="A1173" s="21" t="str">
        <f>TEXT(TEXT(B1173,"yyyymmdd"),"00000000")&amp;TEXT(COUNTIF($B$2:B1173,B1173),"00")</f>
        <v>2024012005</v>
      </c>
      <c r="B1173" s="21">
        <f t="shared" si="18"/>
        <v>45311</v>
      </c>
      <c r="C1173" s="22">
        <v>2024</v>
      </c>
      <c r="D1173" s="23">
        <v>1</v>
      </c>
      <c r="E1173" s="24">
        <v>20</v>
      </c>
      <c r="F1173" s="42" t="s">
        <v>17</v>
      </c>
      <c r="G1173" s="42" t="s">
        <v>7</v>
      </c>
      <c r="H1173" s="42" t="s">
        <v>116</v>
      </c>
      <c r="I1173" s="42" t="s">
        <v>225</v>
      </c>
      <c r="J1173" s="10">
        <v>8500</v>
      </c>
      <c r="K1173" s="7">
        <v>-8500</v>
      </c>
      <c r="L1173" s="1" t="s">
        <v>774</v>
      </c>
    </row>
    <row r="1174" spans="1:13">
      <c r="A1174" s="21" t="str">
        <f>TEXT(TEXT(B1174,"yyyymmdd"),"00000000")&amp;TEXT(COUNTIF($B$2:B1174,B1174),"00")</f>
        <v>2024012101</v>
      </c>
      <c r="B1174" s="21">
        <f t="shared" si="18"/>
        <v>45312</v>
      </c>
      <c r="C1174" s="22">
        <v>2024</v>
      </c>
      <c r="D1174" s="23">
        <v>1</v>
      </c>
      <c r="E1174" s="24">
        <v>21</v>
      </c>
      <c r="F1174" s="42" t="s">
        <v>17</v>
      </c>
      <c r="G1174" s="42" t="s">
        <v>7</v>
      </c>
      <c r="H1174" s="42" t="s">
        <v>167</v>
      </c>
      <c r="I1174" s="42" t="s">
        <v>168</v>
      </c>
      <c r="J1174" s="10">
        <v>16350</v>
      </c>
      <c r="K1174" s="7">
        <v>-16350</v>
      </c>
      <c r="L1174" s="1" t="s">
        <v>532</v>
      </c>
      <c r="M1174" s="2" t="s">
        <v>965</v>
      </c>
    </row>
    <row r="1175" spans="1:13">
      <c r="A1175" s="21" t="str">
        <f>TEXT(TEXT(B1175,"yyyymmdd"),"00000000")&amp;TEXT(COUNTIF($B$2:B1175,B1175),"00")</f>
        <v>2024012201</v>
      </c>
      <c r="B1175" s="21">
        <f t="shared" si="18"/>
        <v>45313</v>
      </c>
      <c r="C1175" s="22">
        <v>2024</v>
      </c>
      <c r="D1175" s="23">
        <v>1</v>
      </c>
      <c r="E1175" s="24">
        <v>22</v>
      </c>
      <c r="F1175" s="42" t="s">
        <v>498</v>
      </c>
      <c r="G1175" s="42" t="s">
        <v>7</v>
      </c>
      <c r="H1175" s="42" t="s">
        <v>118</v>
      </c>
      <c r="I1175" s="42" t="s">
        <v>966</v>
      </c>
      <c r="J1175" s="10">
        <v>160000</v>
      </c>
      <c r="K1175" s="7">
        <v>-160000</v>
      </c>
      <c r="L1175" s="1" t="s">
        <v>967</v>
      </c>
    </row>
    <row r="1176" spans="1:13">
      <c r="A1176" s="21" t="str">
        <f>TEXT(TEXT(B1176,"yyyymmdd"),"00000000")&amp;TEXT(COUNTIF($B$2:B1176,B1176),"00")</f>
        <v>2024012301</v>
      </c>
      <c r="B1176" s="21">
        <f t="shared" si="18"/>
        <v>45314</v>
      </c>
      <c r="C1176" s="22">
        <v>2024</v>
      </c>
      <c r="D1176" s="23">
        <v>1</v>
      </c>
      <c r="E1176" s="24">
        <v>23</v>
      </c>
      <c r="F1176" s="42" t="s">
        <v>17</v>
      </c>
      <c r="G1176" s="42" t="s">
        <v>13</v>
      </c>
      <c r="H1176" s="42" t="s">
        <v>138</v>
      </c>
      <c r="I1176" s="42" t="s">
        <v>159</v>
      </c>
      <c r="J1176" s="10">
        <v>13000</v>
      </c>
      <c r="K1176" s="7">
        <v>-13000</v>
      </c>
      <c r="L1176" s="1" t="s">
        <v>852</v>
      </c>
    </row>
    <row r="1177" spans="1:13">
      <c r="A1177" s="21" t="str">
        <f>TEXT(TEXT(B1177,"yyyymmdd"),"00000000")&amp;TEXT(COUNTIF($B$2:B1177,B1177),"00")</f>
        <v>2024012302</v>
      </c>
      <c r="B1177" s="21">
        <f t="shared" si="18"/>
        <v>45314</v>
      </c>
      <c r="C1177" s="22">
        <v>2024</v>
      </c>
      <c r="D1177" s="23">
        <v>1</v>
      </c>
      <c r="E1177" s="24">
        <v>23</v>
      </c>
      <c r="F1177" s="42" t="s">
        <v>17</v>
      </c>
      <c r="G1177" s="42" t="s">
        <v>7</v>
      </c>
      <c r="H1177" s="42" t="s">
        <v>115</v>
      </c>
      <c r="I1177" s="42" t="s">
        <v>630</v>
      </c>
      <c r="J1177" s="10">
        <v>9500</v>
      </c>
      <c r="K1177" s="7">
        <v>-9500</v>
      </c>
      <c r="L1177" s="1" t="s">
        <v>968</v>
      </c>
    </row>
    <row r="1178" spans="1:13">
      <c r="A1178" s="21" t="str">
        <f>TEXT(TEXT(B1178,"yyyymmdd"),"00000000")&amp;TEXT(COUNTIF($B$2:B1178,B1178),"00")</f>
        <v>2024012303</v>
      </c>
      <c r="B1178" s="21">
        <f t="shared" si="18"/>
        <v>45314</v>
      </c>
      <c r="C1178" s="22">
        <v>2024</v>
      </c>
      <c r="D1178" s="23">
        <v>1</v>
      </c>
      <c r="E1178" s="24">
        <v>23</v>
      </c>
      <c r="F1178" s="42" t="s">
        <v>17</v>
      </c>
      <c r="G1178" s="42" t="s">
        <v>13</v>
      </c>
      <c r="H1178" s="42" t="s">
        <v>167</v>
      </c>
      <c r="I1178" s="42" t="s">
        <v>214</v>
      </c>
      <c r="J1178" s="10">
        <v>11960</v>
      </c>
      <c r="K1178" s="7">
        <v>-11960</v>
      </c>
      <c r="L1178" s="1" t="s">
        <v>957</v>
      </c>
    </row>
    <row r="1179" spans="1:13">
      <c r="A1179" s="21" t="str">
        <f>TEXT(TEXT(B1179,"yyyymmdd"),"00000000")&amp;TEXT(COUNTIF($B$2:B1179,B1179),"00")</f>
        <v>2024012501</v>
      </c>
      <c r="B1179" s="21">
        <f t="shared" si="18"/>
        <v>45316</v>
      </c>
      <c r="C1179" s="22">
        <v>2024</v>
      </c>
      <c r="D1179" s="23">
        <v>1</v>
      </c>
      <c r="E1179" s="24">
        <v>25</v>
      </c>
      <c r="F1179" s="42" t="s">
        <v>17</v>
      </c>
      <c r="G1179" s="42" t="s">
        <v>11</v>
      </c>
      <c r="H1179" s="42" t="s">
        <v>99</v>
      </c>
      <c r="I1179" s="42" t="s">
        <v>94</v>
      </c>
      <c r="J1179" s="10">
        <v>-100000</v>
      </c>
      <c r="K1179" s="7">
        <v>100000</v>
      </c>
      <c r="L1179" s="1" t="s">
        <v>433</v>
      </c>
    </row>
    <row r="1180" spans="1:13">
      <c r="A1180" s="21" t="str">
        <f>TEXT(TEXT(B1180,"yyyymmdd"),"00000000")&amp;TEXT(COUNTIF($B$2:B1180,B1180),"00")</f>
        <v>2024012502</v>
      </c>
      <c r="B1180" s="21">
        <f t="shared" si="18"/>
        <v>45316</v>
      </c>
      <c r="C1180" s="22">
        <v>2024</v>
      </c>
      <c r="D1180" s="23">
        <v>1</v>
      </c>
      <c r="E1180" s="24">
        <v>25</v>
      </c>
      <c r="F1180" s="42" t="s">
        <v>498</v>
      </c>
      <c r="G1180" s="42" t="s">
        <v>11</v>
      </c>
      <c r="H1180" s="42" t="s">
        <v>99</v>
      </c>
      <c r="I1180" s="42" t="s">
        <v>94</v>
      </c>
      <c r="J1180" s="10">
        <v>100000</v>
      </c>
      <c r="K1180" s="7">
        <v>-100000</v>
      </c>
      <c r="L1180" s="1" t="s">
        <v>294</v>
      </c>
    </row>
    <row r="1181" spans="1:13">
      <c r="A1181" s="21" t="str">
        <f>TEXT(TEXT(B1181,"yyyymmdd"),"00000000")&amp;TEXT(COUNTIF($B$2:B1181,B1181),"00")</f>
        <v>2024012503</v>
      </c>
      <c r="B1181" s="21">
        <f t="shared" si="18"/>
        <v>45316</v>
      </c>
      <c r="C1181" s="22">
        <v>2024</v>
      </c>
      <c r="D1181" s="23">
        <v>1</v>
      </c>
      <c r="E1181" s="24">
        <v>25</v>
      </c>
      <c r="F1181" s="42" t="s">
        <v>17</v>
      </c>
      <c r="G1181" s="42" t="s">
        <v>7</v>
      </c>
      <c r="H1181" s="42" t="s">
        <v>118</v>
      </c>
      <c r="I1181" s="42" t="s">
        <v>446</v>
      </c>
      <c r="J1181" s="10">
        <v>40000</v>
      </c>
      <c r="K1181" s="7">
        <v>-40000</v>
      </c>
      <c r="L1181" s="1" t="s">
        <v>969</v>
      </c>
    </row>
    <row r="1182" spans="1:13">
      <c r="A1182" s="21" t="str">
        <f>TEXT(TEXT(B1182,"yyyymmdd"),"00000000")&amp;TEXT(COUNTIF($B$2:B1182,B1182),"00")</f>
        <v>2024012504</v>
      </c>
      <c r="B1182" s="21">
        <f t="shared" si="18"/>
        <v>45316</v>
      </c>
      <c r="C1182" s="22">
        <v>2024</v>
      </c>
      <c r="D1182" s="23">
        <v>1</v>
      </c>
      <c r="E1182" s="24">
        <v>25</v>
      </c>
      <c r="F1182" s="42" t="s">
        <v>17</v>
      </c>
      <c r="G1182" s="42" t="s">
        <v>13</v>
      </c>
      <c r="H1182" s="42" t="s">
        <v>138</v>
      </c>
      <c r="I1182" s="42" t="s">
        <v>159</v>
      </c>
      <c r="J1182" s="10">
        <v>5500</v>
      </c>
      <c r="K1182" s="7">
        <v>-5500</v>
      </c>
      <c r="L1182" s="1" t="s">
        <v>300</v>
      </c>
    </row>
    <row r="1183" spans="1:13">
      <c r="A1183" s="21" t="str">
        <f>TEXT(TEXT(B1183,"yyyymmdd"),"00000000")&amp;TEXT(COUNTIF($B$2:B1183,B1183),"00")</f>
        <v>2024012505</v>
      </c>
      <c r="B1183" s="21">
        <f t="shared" si="18"/>
        <v>45316</v>
      </c>
      <c r="C1183" s="22">
        <v>2024</v>
      </c>
      <c r="D1183" s="23">
        <v>1</v>
      </c>
      <c r="E1183" s="24">
        <v>25</v>
      </c>
      <c r="F1183" s="42" t="s">
        <v>17</v>
      </c>
      <c r="G1183" s="42" t="s">
        <v>7</v>
      </c>
      <c r="H1183" s="42" t="s">
        <v>116</v>
      </c>
      <c r="I1183" s="42" t="s">
        <v>212</v>
      </c>
      <c r="J1183" s="10">
        <v>6000</v>
      </c>
      <c r="K1183" s="7">
        <v>-6000</v>
      </c>
      <c r="L1183" s="1" t="s">
        <v>917</v>
      </c>
    </row>
    <row r="1184" spans="1:13">
      <c r="A1184" s="21" t="str">
        <f>TEXT(TEXT(B1184,"yyyymmdd"),"00000000")&amp;TEXT(COUNTIF($B$2:B1184,B1184),"00")</f>
        <v>2024012601</v>
      </c>
      <c r="B1184" s="21">
        <f t="shared" si="18"/>
        <v>45317</v>
      </c>
      <c r="C1184" s="22">
        <v>2024</v>
      </c>
      <c r="D1184" s="23">
        <v>1</v>
      </c>
      <c r="E1184" s="24">
        <v>26</v>
      </c>
      <c r="F1184" s="42" t="s">
        <v>17</v>
      </c>
      <c r="G1184" s="42" t="s">
        <v>7</v>
      </c>
      <c r="H1184" s="42" t="s">
        <v>118</v>
      </c>
      <c r="I1184" s="42" t="s">
        <v>446</v>
      </c>
      <c r="J1184" s="10">
        <v>15000</v>
      </c>
      <c r="K1184" s="7">
        <v>-15000</v>
      </c>
      <c r="L1184" s="1" t="s">
        <v>969</v>
      </c>
      <c r="M1184" s="2" t="s">
        <v>970</v>
      </c>
    </row>
    <row r="1185" spans="1:13">
      <c r="A1185" s="21" t="str">
        <f>TEXT(TEXT(B1185,"yyyymmdd"),"00000000")&amp;TEXT(COUNTIF($B$2:B1185,B1185),"00")</f>
        <v>2024012701</v>
      </c>
      <c r="B1185" s="21">
        <f t="shared" si="18"/>
        <v>45318</v>
      </c>
      <c r="C1185" s="22">
        <v>2024</v>
      </c>
      <c r="D1185" s="23">
        <v>1</v>
      </c>
      <c r="E1185" s="24">
        <v>27</v>
      </c>
      <c r="F1185" s="42" t="s">
        <v>17</v>
      </c>
      <c r="G1185" s="42" t="s">
        <v>7</v>
      </c>
      <c r="H1185" s="42" t="s">
        <v>138</v>
      </c>
      <c r="I1185" s="42" t="s">
        <v>139</v>
      </c>
      <c r="J1185" s="10">
        <v>12500</v>
      </c>
      <c r="K1185" s="7">
        <v>-12500</v>
      </c>
      <c r="L1185" s="1" t="s">
        <v>971</v>
      </c>
    </row>
    <row r="1186" spans="1:13">
      <c r="A1186" s="21" t="str">
        <f>TEXT(TEXT(B1186,"yyyymmdd"),"00000000")&amp;TEXT(COUNTIF($B$2:B1186,B1186),"00")</f>
        <v>2024012702</v>
      </c>
      <c r="B1186" s="21">
        <f t="shared" si="18"/>
        <v>45318</v>
      </c>
      <c r="C1186" s="22">
        <v>2024</v>
      </c>
      <c r="D1186" s="23">
        <v>1</v>
      </c>
      <c r="E1186" s="24">
        <v>27</v>
      </c>
      <c r="F1186" s="42" t="s">
        <v>17</v>
      </c>
      <c r="G1186" s="42" t="s">
        <v>7</v>
      </c>
      <c r="H1186" s="42" t="s">
        <v>116</v>
      </c>
      <c r="I1186" s="42" t="s">
        <v>128</v>
      </c>
      <c r="J1186" s="10">
        <v>16000</v>
      </c>
      <c r="K1186" s="7">
        <v>-16000</v>
      </c>
      <c r="L1186" s="1" t="s">
        <v>972</v>
      </c>
    </row>
    <row r="1187" spans="1:13">
      <c r="A1187" s="21" t="str">
        <f>TEXT(TEXT(B1187,"yyyymmdd"),"00000000")&amp;TEXT(COUNTIF($B$2:B1187,B1187),"00")</f>
        <v>2024012703</v>
      </c>
      <c r="B1187" s="21">
        <f t="shared" si="18"/>
        <v>45318</v>
      </c>
      <c r="C1187" s="22">
        <v>2024</v>
      </c>
      <c r="D1187" s="23">
        <v>1</v>
      </c>
      <c r="E1187" s="24">
        <v>27</v>
      </c>
      <c r="F1187" s="42" t="s">
        <v>17</v>
      </c>
      <c r="G1187" s="42" t="s">
        <v>7</v>
      </c>
      <c r="H1187" s="42" t="s">
        <v>138</v>
      </c>
      <c r="I1187" s="42" t="s">
        <v>139</v>
      </c>
      <c r="J1187" s="10">
        <v>8550</v>
      </c>
      <c r="K1187" s="7">
        <v>-8550</v>
      </c>
      <c r="L1187" s="1" t="s">
        <v>973</v>
      </c>
    </row>
    <row r="1188" spans="1:13">
      <c r="A1188" s="21" t="str">
        <f>TEXT(TEXT(B1188,"yyyymmdd"),"00000000")&amp;TEXT(COUNTIF($B$2:B1188,B1188),"00")</f>
        <v>2024012704</v>
      </c>
      <c r="B1188" s="21">
        <f t="shared" si="18"/>
        <v>45318</v>
      </c>
      <c r="C1188" s="22">
        <v>2024</v>
      </c>
      <c r="D1188" s="23">
        <v>1</v>
      </c>
      <c r="E1188" s="24">
        <v>27</v>
      </c>
      <c r="F1188" s="42" t="s">
        <v>17</v>
      </c>
      <c r="G1188" s="42" t="s">
        <v>7</v>
      </c>
      <c r="H1188" s="42" t="s">
        <v>111</v>
      </c>
      <c r="I1188" s="42" t="s">
        <v>334</v>
      </c>
      <c r="J1188" s="10">
        <v>16000</v>
      </c>
      <c r="K1188" s="7">
        <v>-16000</v>
      </c>
      <c r="L1188" s="1" t="s">
        <v>974</v>
      </c>
    </row>
    <row r="1189" spans="1:13">
      <c r="A1189" s="21" t="str">
        <f>TEXT(TEXT(B1189,"yyyymmdd"),"00000000")&amp;TEXT(COUNTIF($B$2:B1189,B1189),"00")</f>
        <v>2024012801</v>
      </c>
      <c r="B1189" s="21">
        <f t="shared" si="18"/>
        <v>45319</v>
      </c>
      <c r="C1189" s="22">
        <v>2024</v>
      </c>
      <c r="D1189" s="23">
        <v>1</v>
      </c>
      <c r="E1189" s="24">
        <v>28</v>
      </c>
      <c r="F1189" s="42" t="s">
        <v>17</v>
      </c>
      <c r="G1189" s="42" t="s">
        <v>7</v>
      </c>
      <c r="H1189" s="42" t="s">
        <v>111</v>
      </c>
      <c r="I1189" s="42" t="s">
        <v>334</v>
      </c>
      <c r="J1189" s="10">
        <v>21100</v>
      </c>
      <c r="K1189" s="7">
        <v>-21100</v>
      </c>
      <c r="L1189" s="1" t="s">
        <v>977</v>
      </c>
    </row>
    <row r="1190" spans="1:13">
      <c r="A1190" s="21" t="str">
        <f>TEXT(TEXT(B1190,"yyyymmdd"),"00000000")&amp;TEXT(COUNTIF($B$2:B1190,B1190),"00")</f>
        <v>2024012802</v>
      </c>
      <c r="B1190" s="21">
        <f t="shared" si="18"/>
        <v>45319</v>
      </c>
      <c r="C1190" s="22">
        <v>2024</v>
      </c>
      <c r="D1190" s="23">
        <v>1</v>
      </c>
      <c r="E1190" s="24">
        <v>28</v>
      </c>
      <c r="F1190" s="42" t="s">
        <v>17</v>
      </c>
      <c r="G1190" s="42" t="s">
        <v>7</v>
      </c>
      <c r="H1190" s="42" t="s">
        <v>110</v>
      </c>
      <c r="I1190" s="42" t="s">
        <v>120</v>
      </c>
      <c r="J1190" s="10">
        <v>5100</v>
      </c>
      <c r="K1190" s="7">
        <v>-5100</v>
      </c>
      <c r="L1190" s="1" t="s">
        <v>651</v>
      </c>
    </row>
    <row r="1191" spans="1:13">
      <c r="A1191" s="21" t="str">
        <f>TEXT(TEXT(B1191,"yyyymmdd"),"00000000")&amp;TEXT(COUNTIF($B$2:B1191,B1191),"00")</f>
        <v>2024012803</v>
      </c>
      <c r="B1191" s="21">
        <f t="shared" si="18"/>
        <v>45319</v>
      </c>
      <c r="C1191" s="22">
        <v>2024</v>
      </c>
      <c r="D1191" s="23">
        <v>1</v>
      </c>
      <c r="E1191" s="24">
        <v>28</v>
      </c>
      <c r="F1191" s="42" t="s">
        <v>17</v>
      </c>
      <c r="G1191" s="42" t="s">
        <v>7</v>
      </c>
      <c r="H1191" s="42" t="s">
        <v>116</v>
      </c>
      <c r="I1191" s="42" t="s">
        <v>212</v>
      </c>
      <c r="J1191" s="10">
        <v>5000</v>
      </c>
      <c r="K1191" s="7">
        <v>-5000</v>
      </c>
      <c r="L1191" s="1" t="s">
        <v>703</v>
      </c>
    </row>
    <row r="1192" spans="1:13">
      <c r="A1192" s="21" t="str">
        <f>TEXT(TEXT(B1192,"yyyymmdd"),"00000000")&amp;TEXT(COUNTIF($B$2:B1192,B1192),"00")</f>
        <v>2024012804</v>
      </c>
      <c r="B1192" s="21">
        <f t="shared" si="18"/>
        <v>45319</v>
      </c>
      <c r="C1192" s="22">
        <v>2024</v>
      </c>
      <c r="D1192" s="23">
        <v>1</v>
      </c>
      <c r="E1192" s="24">
        <v>28</v>
      </c>
      <c r="F1192" s="42" t="s">
        <v>17</v>
      </c>
      <c r="G1192" s="42" t="s">
        <v>7</v>
      </c>
      <c r="H1192" s="42" t="s">
        <v>119</v>
      </c>
      <c r="I1192" s="42" t="s">
        <v>975</v>
      </c>
      <c r="J1192" s="10">
        <v>50000</v>
      </c>
      <c r="K1192" s="7">
        <v>-50000</v>
      </c>
      <c r="L1192" s="1" t="s">
        <v>976</v>
      </c>
    </row>
    <row r="1193" spans="1:13">
      <c r="A1193" s="21" t="str">
        <f>TEXT(TEXT(B1193,"yyyymmdd"),"00000000")&amp;TEXT(COUNTIF($B$2:B1193,B1193),"00")</f>
        <v>2024012901</v>
      </c>
      <c r="B1193" s="21">
        <f t="shared" si="18"/>
        <v>45320</v>
      </c>
      <c r="C1193" s="22">
        <v>2024</v>
      </c>
      <c r="D1193" s="23">
        <v>1</v>
      </c>
      <c r="E1193" s="24">
        <v>29</v>
      </c>
      <c r="F1193" s="42" t="s">
        <v>17</v>
      </c>
      <c r="G1193" s="42" t="s">
        <v>7</v>
      </c>
      <c r="H1193" s="42" t="s">
        <v>167</v>
      </c>
      <c r="I1193" s="42" t="s">
        <v>214</v>
      </c>
      <c r="J1193" s="10">
        <v>18800</v>
      </c>
      <c r="K1193" s="7">
        <v>-18800</v>
      </c>
      <c r="L1193" s="1" t="s">
        <v>979</v>
      </c>
    </row>
    <row r="1194" spans="1:13">
      <c r="A1194" s="21" t="str">
        <f>TEXT(TEXT(B1194,"yyyymmdd"),"00000000")&amp;TEXT(COUNTIF($B$2:B1194,B1194),"00")</f>
        <v>2024012902</v>
      </c>
      <c r="B1194" s="21">
        <f t="shared" si="18"/>
        <v>45320</v>
      </c>
      <c r="C1194" s="22">
        <v>2024</v>
      </c>
      <c r="D1194" s="23">
        <v>1</v>
      </c>
      <c r="E1194" s="24">
        <v>29</v>
      </c>
      <c r="F1194" s="42" t="s">
        <v>17</v>
      </c>
      <c r="G1194" s="42" t="s">
        <v>7</v>
      </c>
      <c r="H1194" s="42" t="s">
        <v>167</v>
      </c>
      <c r="I1194" s="42" t="s">
        <v>565</v>
      </c>
      <c r="J1194" s="10">
        <v>25000</v>
      </c>
      <c r="K1194" s="7">
        <v>-25000</v>
      </c>
      <c r="L1194" s="1" t="s">
        <v>978</v>
      </c>
    </row>
    <row r="1195" spans="1:13">
      <c r="A1195" s="21" t="str">
        <f>TEXT(TEXT(B1195,"yyyymmdd"),"00000000")&amp;TEXT(COUNTIF($B$2:B1195,B1195),"00")</f>
        <v>2024013001</v>
      </c>
      <c r="B1195" s="21">
        <f t="shared" si="18"/>
        <v>45321</v>
      </c>
      <c r="C1195" s="22">
        <v>2024</v>
      </c>
      <c r="D1195" s="23">
        <v>1</v>
      </c>
      <c r="E1195" s="24">
        <v>30</v>
      </c>
      <c r="F1195" s="42" t="s">
        <v>17</v>
      </c>
      <c r="G1195" s="42" t="s">
        <v>7</v>
      </c>
      <c r="H1195" s="42" t="s">
        <v>138</v>
      </c>
      <c r="I1195" s="42" t="s">
        <v>159</v>
      </c>
      <c r="J1195" s="10">
        <v>1800</v>
      </c>
      <c r="K1195" s="7">
        <v>-1800</v>
      </c>
      <c r="L1195" s="1" t="s">
        <v>300</v>
      </c>
    </row>
    <row r="1196" spans="1:13">
      <c r="A1196" s="21" t="str">
        <f>TEXT(TEXT(B1196,"yyyymmdd"),"00000000")&amp;TEXT(COUNTIF($B$2:B1196,B1196),"00")</f>
        <v>2024013101</v>
      </c>
      <c r="B1196" s="21">
        <f t="shared" si="18"/>
        <v>45322</v>
      </c>
      <c r="C1196" s="22">
        <v>2024</v>
      </c>
      <c r="D1196" s="23">
        <v>1</v>
      </c>
      <c r="E1196" s="24">
        <v>31</v>
      </c>
      <c r="F1196" s="42" t="s">
        <v>17</v>
      </c>
      <c r="G1196" s="42" t="s">
        <v>7</v>
      </c>
      <c r="H1196" s="42" t="s">
        <v>138</v>
      </c>
      <c r="I1196" s="42" t="s">
        <v>139</v>
      </c>
      <c r="J1196" s="10">
        <v>13900</v>
      </c>
      <c r="K1196" s="7">
        <v>-13900</v>
      </c>
      <c r="L1196" s="1" t="s">
        <v>791</v>
      </c>
    </row>
    <row r="1197" spans="1:13">
      <c r="A1197" s="21" t="str">
        <f>TEXT(TEXT(B1197,"yyyymmdd"),"00000000")&amp;TEXT(COUNTIF($B$2:B1197,B1197),"00")</f>
        <v>2024013102</v>
      </c>
      <c r="B1197" s="21">
        <f t="shared" si="18"/>
        <v>45322</v>
      </c>
      <c r="C1197" s="22">
        <v>2024</v>
      </c>
      <c r="D1197" s="23">
        <v>1</v>
      </c>
      <c r="E1197" s="24">
        <v>31</v>
      </c>
      <c r="F1197" s="42" t="s">
        <v>17</v>
      </c>
      <c r="G1197" s="42" t="s">
        <v>7</v>
      </c>
      <c r="H1197" s="42" t="s">
        <v>116</v>
      </c>
      <c r="I1197" s="42" t="s">
        <v>217</v>
      </c>
      <c r="J1197" s="10">
        <v>1000</v>
      </c>
      <c r="K1197" s="7">
        <v>-1000</v>
      </c>
      <c r="L1197" s="1" t="s">
        <v>883</v>
      </c>
      <c r="M1197" s="2" t="s">
        <v>980</v>
      </c>
    </row>
    <row r="1198" spans="1:13">
      <c r="A1198" s="21" t="str">
        <f>TEXT(TEXT(B1198,"yyyymmdd"),"00000000")&amp;TEXT(COUNTIF($B$2:B1198,B1198),"00")</f>
        <v>2024013103</v>
      </c>
      <c r="B1198" s="21">
        <f t="shared" si="18"/>
        <v>45322</v>
      </c>
      <c r="C1198" s="22">
        <v>2024</v>
      </c>
      <c r="D1198" s="23">
        <v>1</v>
      </c>
      <c r="E1198" s="24">
        <v>31</v>
      </c>
      <c r="F1198" s="42" t="s">
        <v>17</v>
      </c>
      <c r="G1198" s="42" t="s">
        <v>170</v>
      </c>
      <c r="H1198" s="42" t="s">
        <v>155</v>
      </c>
      <c r="I1198" s="42" t="s">
        <v>156</v>
      </c>
      <c r="J1198" s="10">
        <v>1421</v>
      </c>
      <c r="K1198" s="7">
        <v>-1421</v>
      </c>
      <c r="L1198" s="1" t="s">
        <v>303</v>
      </c>
    </row>
    <row r="1199" spans="1:13">
      <c r="A1199" s="21" t="str">
        <f>TEXT(TEXT(B1199,"yyyymmdd"),"00000000")&amp;TEXT(COUNTIF($B$2:B1199,B1199),"00")</f>
        <v>2024013104</v>
      </c>
      <c r="B1199" s="21">
        <f t="shared" si="18"/>
        <v>45322</v>
      </c>
      <c r="C1199" s="22">
        <v>2024</v>
      </c>
      <c r="D1199" s="23">
        <v>1</v>
      </c>
      <c r="E1199" s="24">
        <v>31</v>
      </c>
      <c r="F1199" s="42" t="s">
        <v>17</v>
      </c>
      <c r="G1199" s="42" t="s">
        <v>7</v>
      </c>
      <c r="H1199" s="42" t="s">
        <v>110</v>
      </c>
      <c r="I1199" s="42" t="s">
        <v>122</v>
      </c>
      <c r="J1199" s="10">
        <v>3300</v>
      </c>
      <c r="K1199" s="7">
        <v>-3300</v>
      </c>
      <c r="L1199" s="1" t="s">
        <v>981</v>
      </c>
    </row>
    <row r="1200" spans="1:13">
      <c r="A1200" s="21" t="str">
        <f>TEXT(TEXT(B1200,"yyyymmdd"),"00000000")&amp;TEXT(COUNTIF($B$2:B1200,B1200),"00")</f>
        <v>2024020101</v>
      </c>
      <c r="B1200" s="21">
        <f t="shared" si="18"/>
        <v>45323</v>
      </c>
      <c r="C1200" s="22">
        <v>2024</v>
      </c>
      <c r="D1200" s="23">
        <v>2</v>
      </c>
      <c r="E1200" s="24">
        <v>1</v>
      </c>
      <c r="F1200" s="42" t="s">
        <v>17</v>
      </c>
      <c r="G1200" s="42" t="s">
        <v>151</v>
      </c>
      <c r="H1200" s="42" t="s">
        <v>151</v>
      </c>
      <c r="I1200" s="42" t="s">
        <v>152</v>
      </c>
      <c r="J1200" s="10">
        <v>-600000</v>
      </c>
      <c r="K1200" s="7">
        <v>600000</v>
      </c>
      <c r="L1200" s="1" t="s">
        <v>252</v>
      </c>
      <c r="M1200" s="2" t="s">
        <v>985</v>
      </c>
    </row>
    <row r="1201" spans="1:13">
      <c r="A1201" s="21" t="str">
        <f>TEXT(TEXT(B1201,"yyyymmdd"),"00000000")&amp;TEXT(COUNTIF($B$2:B1201,B1201),"00")</f>
        <v>2024020102</v>
      </c>
      <c r="B1201" s="21">
        <f t="shared" si="18"/>
        <v>45323</v>
      </c>
      <c r="C1201" s="22">
        <v>2024</v>
      </c>
      <c r="D1201" s="23">
        <v>2</v>
      </c>
      <c r="E1201" s="24">
        <v>1</v>
      </c>
      <c r="F1201" s="42" t="s">
        <v>17</v>
      </c>
      <c r="G1201" s="42" t="s">
        <v>7</v>
      </c>
      <c r="H1201" s="42" t="s">
        <v>116</v>
      </c>
      <c r="I1201" s="42" t="s">
        <v>695</v>
      </c>
      <c r="J1201" s="10">
        <v>8500</v>
      </c>
      <c r="K1201" s="7">
        <v>-8500</v>
      </c>
      <c r="L1201" s="1" t="s">
        <v>824</v>
      </c>
    </row>
    <row r="1202" spans="1:13">
      <c r="A1202" s="21" t="str">
        <f>TEXT(TEXT(B1202,"yyyymmdd"),"00000000")&amp;TEXT(COUNTIF($B$2:B1202,B1202),"00")</f>
        <v>2024020103</v>
      </c>
      <c r="B1202" s="21">
        <f t="shared" si="18"/>
        <v>45323</v>
      </c>
      <c r="C1202" s="22">
        <v>2024</v>
      </c>
      <c r="D1202" s="23">
        <v>2</v>
      </c>
      <c r="E1202" s="24">
        <v>1</v>
      </c>
      <c r="F1202" s="42" t="s">
        <v>17</v>
      </c>
      <c r="G1202" s="42" t="s">
        <v>13</v>
      </c>
      <c r="H1202" s="42" t="s">
        <v>138</v>
      </c>
      <c r="I1202" s="42" t="s">
        <v>139</v>
      </c>
      <c r="J1202" s="10">
        <v>5500</v>
      </c>
      <c r="K1202" s="7">
        <v>-5500</v>
      </c>
      <c r="L1202" s="1" t="s">
        <v>634</v>
      </c>
    </row>
    <row r="1203" spans="1:13">
      <c r="A1203" s="21" t="str">
        <f>TEXT(TEXT(B1203,"yyyymmdd"),"00000000")&amp;TEXT(COUNTIF($B$2:B1203,B1203),"00")</f>
        <v>2024020104</v>
      </c>
      <c r="B1203" s="21">
        <f t="shared" si="18"/>
        <v>45323</v>
      </c>
      <c r="C1203" s="22">
        <v>2024</v>
      </c>
      <c r="D1203" s="23">
        <v>2</v>
      </c>
      <c r="E1203" s="24">
        <v>1</v>
      </c>
      <c r="F1203" s="42" t="s">
        <v>17</v>
      </c>
      <c r="G1203" s="42" t="s">
        <v>7</v>
      </c>
      <c r="H1203" s="42" t="s">
        <v>138</v>
      </c>
      <c r="I1203" s="42" t="s">
        <v>139</v>
      </c>
      <c r="J1203" s="10">
        <v>7180</v>
      </c>
      <c r="K1203" s="7">
        <v>-7180</v>
      </c>
      <c r="L1203" s="1" t="s">
        <v>986</v>
      </c>
    </row>
    <row r="1204" spans="1:13">
      <c r="A1204" s="21" t="str">
        <f>TEXT(TEXT(B1204,"yyyymmdd"),"00000000")&amp;TEXT(COUNTIF($B$2:B1204,B1204),"00")</f>
        <v>2024020201</v>
      </c>
      <c r="B1204" s="21">
        <f t="shared" si="18"/>
        <v>45324</v>
      </c>
      <c r="C1204" s="22">
        <v>2024</v>
      </c>
      <c r="D1204" s="23">
        <v>2</v>
      </c>
      <c r="E1204" s="24">
        <v>2</v>
      </c>
      <c r="F1204" s="42" t="s">
        <v>17</v>
      </c>
      <c r="G1204" s="42" t="s">
        <v>7</v>
      </c>
      <c r="H1204" s="42" t="s">
        <v>167</v>
      </c>
      <c r="I1204" s="42" t="s">
        <v>168</v>
      </c>
      <c r="J1204" s="10">
        <v>6800</v>
      </c>
      <c r="K1204" s="7">
        <v>-6800</v>
      </c>
      <c r="L1204" s="1" t="s">
        <v>532</v>
      </c>
      <c r="M1204" s="2" t="s">
        <v>987</v>
      </c>
    </row>
    <row r="1205" spans="1:13">
      <c r="A1205" s="21" t="str">
        <f>TEXT(TEXT(B1205,"yyyymmdd"),"00000000")&amp;TEXT(COUNTIF($B$2:B1205,B1205),"00")</f>
        <v>2024020301</v>
      </c>
      <c r="B1205" s="21">
        <f t="shared" si="18"/>
        <v>45325</v>
      </c>
      <c r="C1205" s="22">
        <v>2024</v>
      </c>
      <c r="D1205" s="23">
        <v>2</v>
      </c>
      <c r="E1205" s="24">
        <v>3</v>
      </c>
      <c r="F1205" s="42" t="s">
        <v>17</v>
      </c>
      <c r="G1205" s="42" t="s">
        <v>13</v>
      </c>
      <c r="H1205" s="42" t="s">
        <v>138</v>
      </c>
      <c r="I1205" s="42" t="s">
        <v>159</v>
      </c>
      <c r="J1205" s="10">
        <v>4300</v>
      </c>
      <c r="K1205" s="7">
        <v>-4300</v>
      </c>
      <c r="L1205" s="1" t="s">
        <v>300</v>
      </c>
      <c r="M1205" s="2" t="s">
        <v>988</v>
      </c>
    </row>
    <row r="1206" spans="1:13">
      <c r="A1206" s="21" t="str">
        <f>TEXT(TEXT(B1206,"yyyymmdd"),"00000000")&amp;TEXT(COUNTIF($B$2:B1206,B1206),"00")</f>
        <v>2024020501</v>
      </c>
      <c r="B1206" s="21">
        <f t="shared" si="18"/>
        <v>45327</v>
      </c>
      <c r="C1206" s="22">
        <v>2024</v>
      </c>
      <c r="D1206" s="23">
        <v>2</v>
      </c>
      <c r="E1206" s="24">
        <v>5</v>
      </c>
      <c r="F1206" s="42" t="s">
        <v>17</v>
      </c>
      <c r="G1206" s="42" t="s">
        <v>7</v>
      </c>
      <c r="H1206" s="42" t="s">
        <v>173</v>
      </c>
      <c r="I1206" s="42" t="s">
        <v>207</v>
      </c>
      <c r="J1206" s="10">
        <v>22960</v>
      </c>
      <c r="K1206" s="7">
        <v>-22960</v>
      </c>
      <c r="L1206" s="1" t="s">
        <v>208</v>
      </c>
    </row>
    <row r="1207" spans="1:13">
      <c r="A1207" s="21" t="str">
        <f>TEXT(TEXT(B1207,"yyyymmdd"),"00000000")&amp;TEXT(COUNTIF($B$2:B1207,B1207),"00")</f>
        <v>2024020502</v>
      </c>
      <c r="B1207" s="21">
        <f t="shared" si="18"/>
        <v>45327</v>
      </c>
      <c r="C1207" s="22">
        <v>2024</v>
      </c>
      <c r="D1207" s="23">
        <v>2</v>
      </c>
      <c r="E1207" s="24">
        <v>5</v>
      </c>
      <c r="F1207" s="42" t="s">
        <v>17</v>
      </c>
      <c r="G1207" s="42" t="s">
        <v>135</v>
      </c>
      <c r="H1207" s="42" t="s">
        <v>135</v>
      </c>
      <c r="I1207" s="42" t="s">
        <v>152</v>
      </c>
      <c r="J1207" s="10">
        <v>-50000</v>
      </c>
      <c r="K1207" s="7">
        <v>50000</v>
      </c>
      <c r="L1207" s="1" t="s">
        <v>557</v>
      </c>
    </row>
    <row r="1208" spans="1:13">
      <c r="A1208" s="21" t="str">
        <f>TEXT(TEXT(B1208,"yyyymmdd"),"00000000")&amp;TEXT(COUNTIF($B$2:B1208,B1208),"00")</f>
        <v>2024020601</v>
      </c>
      <c r="B1208" s="21">
        <f t="shared" si="18"/>
        <v>45328</v>
      </c>
      <c r="C1208" s="22">
        <v>2024</v>
      </c>
      <c r="D1208" s="23">
        <v>2</v>
      </c>
      <c r="E1208" s="24">
        <v>6</v>
      </c>
      <c r="F1208" s="42" t="s">
        <v>17</v>
      </c>
      <c r="G1208" s="42" t="s">
        <v>13</v>
      </c>
      <c r="H1208" s="42" t="s">
        <v>167</v>
      </c>
      <c r="I1208" s="42" t="s">
        <v>214</v>
      </c>
      <c r="J1208" s="10">
        <v>25570</v>
      </c>
      <c r="K1208" s="7">
        <v>-25570</v>
      </c>
      <c r="L1208" s="1" t="s">
        <v>957</v>
      </c>
    </row>
    <row r="1209" spans="1:13">
      <c r="A1209" s="21" t="str">
        <f>TEXT(TEXT(B1209,"yyyymmdd"),"00000000")&amp;TEXT(COUNTIF($B$2:B1209,B1209),"00")</f>
        <v>2024020701</v>
      </c>
      <c r="B1209" s="21">
        <f t="shared" si="18"/>
        <v>45329</v>
      </c>
      <c r="C1209" s="22">
        <v>2024</v>
      </c>
      <c r="D1209" s="23">
        <v>2</v>
      </c>
      <c r="E1209" s="24">
        <v>7</v>
      </c>
      <c r="F1209" s="42" t="s">
        <v>17</v>
      </c>
      <c r="G1209" s="42" t="s">
        <v>7</v>
      </c>
      <c r="H1209" s="42" t="s">
        <v>119</v>
      </c>
      <c r="I1209" s="42" t="s">
        <v>180</v>
      </c>
      <c r="J1209" s="10">
        <v>22500</v>
      </c>
      <c r="K1209" s="7">
        <v>-22500</v>
      </c>
      <c r="L1209" s="1" t="s">
        <v>181</v>
      </c>
    </row>
    <row r="1210" spans="1:13">
      <c r="A1210" s="21" t="str">
        <f>TEXT(TEXT(B1210,"yyyymmdd"),"00000000")&amp;TEXT(COUNTIF($B$2:B1210,B1210),"00")</f>
        <v>2024020801</v>
      </c>
      <c r="B1210" s="21">
        <f t="shared" si="18"/>
        <v>45330</v>
      </c>
      <c r="C1210" s="22">
        <v>2024</v>
      </c>
      <c r="D1210" s="23">
        <v>2</v>
      </c>
      <c r="E1210" s="24">
        <v>8</v>
      </c>
      <c r="F1210" s="42" t="s">
        <v>17</v>
      </c>
      <c r="G1210" s="42" t="s">
        <v>135</v>
      </c>
      <c r="H1210" s="42" t="s">
        <v>135</v>
      </c>
      <c r="I1210" s="42" t="s">
        <v>190</v>
      </c>
      <c r="J1210" s="10">
        <v>-67</v>
      </c>
      <c r="K1210" s="7">
        <v>67</v>
      </c>
      <c r="L1210" s="1" t="s">
        <v>210</v>
      </c>
    </row>
    <row r="1211" spans="1:13">
      <c r="A1211" s="21" t="str">
        <f>TEXT(TEXT(B1211,"yyyymmdd"),"00000000")&amp;TEXT(COUNTIF($B$2:B1211,B1211),"00")</f>
        <v>2024020802</v>
      </c>
      <c r="B1211" s="21">
        <f t="shared" si="18"/>
        <v>45330</v>
      </c>
      <c r="C1211" s="22">
        <v>2024</v>
      </c>
      <c r="D1211" s="23">
        <v>2</v>
      </c>
      <c r="E1211" s="24">
        <v>8</v>
      </c>
      <c r="F1211" s="42" t="s">
        <v>17</v>
      </c>
      <c r="G1211" s="42" t="s">
        <v>7</v>
      </c>
      <c r="H1211" s="42" t="s">
        <v>32</v>
      </c>
      <c r="I1211" s="42" t="s">
        <v>141</v>
      </c>
      <c r="J1211" s="10">
        <v>1000</v>
      </c>
      <c r="K1211" s="7">
        <v>-1000</v>
      </c>
      <c r="L1211" s="1" t="s">
        <v>989</v>
      </c>
    </row>
    <row r="1212" spans="1:13">
      <c r="A1212" s="21" t="str">
        <f>TEXT(TEXT(B1212,"yyyymmdd"),"00000000")&amp;TEXT(COUNTIF($B$2:B1212,B1212),"00")</f>
        <v>2024020803</v>
      </c>
      <c r="B1212" s="21">
        <f t="shared" si="18"/>
        <v>45330</v>
      </c>
      <c r="C1212" s="22">
        <v>2024</v>
      </c>
      <c r="D1212" s="23">
        <v>2</v>
      </c>
      <c r="E1212" s="24">
        <v>8</v>
      </c>
      <c r="F1212" s="42" t="s">
        <v>17</v>
      </c>
      <c r="G1212" s="42" t="s">
        <v>13</v>
      </c>
      <c r="H1212" s="42" t="s">
        <v>113</v>
      </c>
      <c r="I1212" s="42" t="s">
        <v>171</v>
      </c>
      <c r="J1212" s="10">
        <v>15000</v>
      </c>
      <c r="K1212" s="7">
        <v>-15000</v>
      </c>
      <c r="L1212" s="1" t="s">
        <v>502</v>
      </c>
    </row>
    <row r="1213" spans="1:13">
      <c r="A1213" s="21" t="str">
        <f>TEXT(TEXT(B1213,"yyyymmdd"),"00000000")&amp;TEXT(COUNTIF($B$2:B1213,B1213),"00")</f>
        <v>2024021001</v>
      </c>
      <c r="B1213" s="21">
        <f t="shared" si="18"/>
        <v>45332</v>
      </c>
      <c r="C1213" s="22">
        <v>2024</v>
      </c>
      <c r="D1213" s="23">
        <v>2</v>
      </c>
      <c r="E1213" s="24">
        <v>10</v>
      </c>
      <c r="F1213" s="42" t="s">
        <v>17</v>
      </c>
      <c r="G1213" s="42" t="s">
        <v>7</v>
      </c>
      <c r="H1213" s="42" t="s">
        <v>138</v>
      </c>
      <c r="I1213" s="42" t="s">
        <v>159</v>
      </c>
      <c r="J1213" s="10">
        <v>17100</v>
      </c>
      <c r="K1213" s="7">
        <v>-17100</v>
      </c>
      <c r="L1213" s="1" t="s">
        <v>300</v>
      </c>
    </row>
    <row r="1214" spans="1:13">
      <c r="A1214" s="21" t="str">
        <f>TEXT(TEXT(B1214,"yyyymmdd"),"00000000")&amp;TEXT(COUNTIF($B$2:B1214,B1214),"00")</f>
        <v>2024021002</v>
      </c>
      <c r="B1214" s="21">
        <f t="shared" si="18"/>
        <v>45332</v>
      </c>
      <c r="C1214" s="22">
        <v>2024</v>
      </c>
      <c r="D1214" s="23">
        <v>2</v>
      </c>
      <c r="E1214" s="24">
        <v>10</v>
      </c>
      <c r="F1214" s="42" t="s">
        <v>17</v>
      </c>
      <c r="G1214" s="42" t="s">
        <v>135</v>
      </c>
      <c r="H1214" s="42" t="s">
        <v>135</v>
      </c>
      <c r="I1214" s="42" t="s">
        <v>143</v>
      </c>
      <c r="J1214" s="10">
        <v>-1</v>
      </c>
      <c r="K1214" s="7">
        <v>1</v>
      </c>
      <c r="L1214" s="1" t="s">
        <v>551</v>
      </c>
    </row>
    <row r="1215" spans="1:13">
      <c r="A1215" s="21" t="str">
        <f>TEXT(TEXT(B1215,"yyyymmdd"),"00000000")&amp;TEXT(COUNTIF($B$2:B1215,B1215),"00")</f>
        <v>2024021003</v>
      </c>
      <c r="B1215" s="21">
        <f t="shared" si="18"/>
        <v>45332</v>
      </c>
      <c r="C1215" s="22">
        <v>2024</v>
      </c>
      <c r="D1215" s="23">
        <v>2</v>
      </c>
      <c r="E1215" s="24">
        <v>10</v>
      </c>
      <c r="F1215" s="42" t="s">
        <v>17</v>
      </c>
      <c r="G1215" s="42" t="s">
        <v>135</v>
      </c>
      <c r="H1215" s="42" t="s">
        <v>135</v>
      </c>
      <c r="I1215" s="42" t="s">
        <v>152</v>
      </c>
      <c r="J1215" s="10">
        <v>-350000</v>
      </c>
      <c r="K1215" s="7">
        <v>350000</v>
      </c>
      <c r="L1215" s="1" t="s">
        <v>990</v>
      </c>
    </row>
    <row r="1216" spans="1:13">
      <c r="A1216" s="21" t="str">
        <f>TEXT(TEXT(B1216,"yyyymmdd"),"00000000")&amp;TEXT(COUNTIF($B$2:B1216,B1216),"00")</f>
        <v>2024021101</v>
      </c>
      <c r="B1216" s="21">
        <f t="shared" si="18"/>
        <v>45333</v>
      </c>
      <c r="C1216" s="22">
        <v>2024</v>
      </c>
      <c r="D1216" s="23">
        <v>2</v>
      </c>
      <c r="E1216" s="24">
        <v>11</v>
      </c>
      <c r="F1216" s="42" t="s">
        <v>17</v>
      </c>
      <c r="G1216" s="42" t="s">
        <v>7</v>
      </c>
      <c r="H1216" s="42" t="s">
        <v>155</v>
      </c>
      <c r="I1216" s="42" t="s">
        <v>617</v>
      </c>
      <c r="J1216" s="10">
        <v>113</v>
      </c>
      <c r="K1216" s="7">
        <v>-113</v>
      </c>
      <c r="L1216" s="1" t="s">
        <v>991</v>
      </c>
    </row>
    <row r="1217" spans="1:13">
      <c r="A1217" s="21" t="str">
        <f>TEXT(TEXT(B1217,"yyyymmdd"),"00000000")&amp;TEXT(COUNTIF($B$2:B1217,B1217),"00")</f>
        <v>2024021201</v>
      </c>
      <c r="B1217" s="21">
        <f t="shared" si="18"/>
        <v>45334</v>
      </c>
      <c r="C1217" s="22">
        <v>2024</v>
      </c>
      <c r="D1217" s="23">
        <v>2</v>
      </c>
      <c r="E1217" s="24">
        <v>12</v>
      </c>
      <c r="F1217" s="42" t="s">
        <v>17</v>
      </c>
      <c r="G1217" s="42" t="s">
        <v>7</v>
      </c>
      <c r="H1217" s="42" t="s">
        <v>116</v>
      </c>
      <c r="I1217" s="42" t="s">
        <v>217</v>
      </c>
      <c r="J1217" s="10">
        <v>75087</v>
      </c>
      <c r="K1217" s="7">
        <v>-75087</v>
      </c>
      <c r="L1217" s="1" t="s">
        <v>992</v>
      </c>
    </row>
    <row r="1218" spans="1:13">
      <c r="A1218" s="21" t="str">
        <f>TEXT(TEXT(B1218,"yyyymmdd"),"00000000")&amp;TEXT(COUNTIF($B$2:B1218,B1218),"00")</f>
        <v>2024021202</v>
      </c>
      <c r="B1218" s="21">
        <f t="shared" ref="B1218:B1281" si="19">DATE(C1218,D1218,E1218)</f>
        <v>45334</v>
      </c>
      <c r="C1218" s="22">
        <v>2024</v>
      </c>
      <c r="D1218" s="23">
        <v>2</v>
      </c>
      <c r="E1218" s="24">
        <v>12</v>
      </c>
      <c r="F1218" s="42" t="s">
        <v>17</v>
      </c>
      <c r="G1218" s="42" t="s">
        <v>170</v>
      </c>
      <c r="H1218" s="42" t="s">
        <v>114</v>
      </c>
      <c r="I1218" s="42" t="s">
        <v>1007</v>
      </c>
      <c r="J1218" s="10">
        <v>47990</v>
      </c>
      <c r="K1218" s="7">
        <v>-47990</v>
      </c>
      <c r="L1218" s="1" t="s">
        <v>1024</v>
      </c>
    </row>
    <row r="1219" spans="1:13">
      <c r="A1219" s="21" t="str">
        <f>TEXT(TEXT(B1219,"yyyymmdd"),"00000000")&amp;TEXT(COUNTIF($B$2:B1219,B1219),"00")</f>
        <v>2024021301</v>
      </c>
      <c r="B1219" s="21">
        <f t="shared" si="19"/>
        <v>45335</v>
      </c>
      <c r="C1219" s="22">
        <v>2024</v>
      </c>
      <c r="D1219" s="23">
        <v>2</v>
      </c>
      <c r="E1219" s="24">
        <v>13</v>
      </c>
      <c r="F1219" s="42" t="s">
        <v>17</v>
      </c>
      <c r="G1219" s="42" t="s">
        <v>7</v>
      </c>
      <c r="H1219" s="42" t="s">
        <v>167</v>
      </c>
      <c r="I1219" s="42" t="s">
        <v>168</v>
      </c>
      <c r="J1219" s="10">
        <v>12000</v>
      </c>
      <c r="K1219" s="7">
        <v>-12000</v>
      </c>
      <c r="L1219" s="1" t="s">
        <v>532</v>
      </c>
      <c r="M1219" s="2" t="s">
        <v>995</v>
      </c>
    </row>
    <row r="1220" spans="1:13">
      <c r="A1220" s="21" t="str">
        <f>TEXT(TEXT(B1220,"yyyymmdd"),"00000000")&amp;TEXT(COUNTIF($B$2:B1220,B1220),"00")</f>
        <v>2024021302</v>
      </c>
      <c r="B1220" s="21">
        <f t="shared" si="19"/>
        <v>45335</v>
      </c>
      <c r="C1220" s="22">
        <v>2024</v>
      </c>
      <c r="D1220" s="23">
        <v>2</v>
      </c>
      <c r="E1220" s="24">
        <v>13</v>
      </c>
      <c r="F1220" s="42" t="s">
        <v>17</v>
      </c>
      <c r="G1220" s="42" t="s">
        <v>13</v>
      </c>
      <c r="H1220" s="42" t="s">
        <v>138</v>
      </c>
      <c r="I1220" s="42" t="s">
        <v>139</v>
      </c>
      <c r="J1220" s="10">
        <v>8500</v>
      </c>
      <c r="K1220" s="7">
        <v>-8500</v>
      </c>
      <c r="L1220" s="1" t="s">
        <v>993</v>
      </c>
    </row>
    <row r="1221" spans="1:13">
      <c r="A1221" s="21" t="str">
        <f>TEXT(TEXT(B1221,"yyyymmdd"),"00000000")&amp;TEXT(COUNTIF($B$2:B1221,B1221),"00")</f>
        <v>2024021303</v>
      </c>
      <c r="B1221" s="21">
        <f t="shared" si="19"/>
        <v>45335</v>
      </c>
      <c r="C1221" s="22">
        <v>2024</v>
      </c>
      <c r="D1221" s="23">
        <v>2</v>
      </c>
      <c r="E1221" s="24">
        <v>13</v>
      </c>
      <c r="F1221" s="42" t="s">
        <v>17</v>
      </c>
      <c r="G1221" s="42" t="s">
        <v>7</v>
      </c>
      <c r="H1221" s="42" t="s">
        <v>155</v>
      </c>
      <c r="I1221" s="42" t="s">
        <v>156</v>
      </c>
      <c r="J1221" s="10">
        <v>14850</v>
      </c>
      <c r="K1221" s="7">
        <v>-14850</v>
      </c>
      <c r="L1221" s="1" t="s">
        <v>157</v>
      </c>
      <c r="M1221" s="2" t="s">
        <v>994</v>
      </c>
    </row>
    <row r="1222" spans="1:13">
      <c r="A1222" s="21" t="str">
        <f>TEXT(TEXT(B1222,"yyyymmdd"),"00000000")&amp;TEXT(COUNTIF($B$2:B1222,B1222),"00")</f>
        <v>2024021304</v>
      </c>
      <c r="B1222" s="21">
        <f t="shared" si="19"/>
        <v>45335</v>
      </c>
      <c r="C1222" s="22">
        <v>2024</v>
      </c>
      <c r="D1222" s="23">
        <v>2</v>
      </c>
      <c r="E1222" s="24">
        <v>13</v>
      </c>
      <c r="F1222" s="42" t="s">
        <v>17</v>
      </c>
      <c r="G1222" s="42" t="s">
        <v>7</v>
      </c>
      <c r="H1222" s="42" t="s">
        <v>110</v>
      </c>
      <c r="I1222" s="42" t="s">
        <v>120</v>
      </c>
      <c r="J1222" s="10">
        <v>1600</v>
      </c>
      <c r="K1222" s="7">
        <v>-1600</v>
      </c>
      <c r="L1222" s="1" t="s">
        <v>480</v>
      </c>
    </row>
    <row r="1223" spans="1:13">
      <c r="A1223" s="21" t="str">
        <f>TEXT(TEXT(B1223,"yyyymmdd"),"00000000")&amp;TEXT(COUNTIF($B$2:B1223,B1223),"00")</f>
        <v>2024021401</v>
      </c>
      <c r="B1223" s="21">
        <f t="shared" si="19"/>
        <v>45336</v>
      </c>
      <c r="C1223" s="22">
        <v>2024</v>
      </c>
      <c r="D1223" s="23">
        <v>2</v>
      </c>
      <c r="E1223" s="24">
        <v>14</v>
      </c>
      <c r="F1223" s="42" t="s">
        <v>17</v>
      </c>
      <c r="G1223" s="42" t="s">
        <v>7</v>
      </c>
      <c r="H1223" s="42" t="s">
        <v>119</v>
      </c>
      <c r="I1223" s="42" t="s">
        <v>180</v>
      </c>
      <c r="J1223" s="10">
        <v>2800</v>
      </c>
      <c r="K1223" s="7">
        <v>-2800</v>
      </c>
      <c r="L1223" s="1" t="s">
        <v>934</v>
      </c>
    </row>
    <row r="1224" spans="1:13">
      <c r="A1224" s="21" t="str">
        <f>TEXT(TEXT(B1224,"yyyymmdd"),"00000000")&amp;TEXT(COUNTIF($B$2:B1224,B1224),"00")</f>
        <v>2024021402</v>
      </c>
      <c r="B1224" s="21">
        <f t="shared" si="19"/>
        <v>45336</v>
      </c>
      <c r="C1224" s="22">
        <v>2024</v>
      </c>
      <c r="D1224" s="23">
        <v>2</v>
      </c>
      <c r="E1224" s="24">
        <v>14</v>
      </c>
      <c r="F1224" s="42" t="s">
        <v>17</v>
      </c>
      <c r="G1224" s="42" t="s">
        <v>7</v>
      </c>
      <c r="H1224" s="42" t="s">
        <v>167</v>
      </c>
      <c r="I1224" s="42" t="s">
        <v>214</v>
      </c>
      <c r="J1224" s="10">
        <v>1000</v>
      </c>
      <c r="K1224" s="7">
        <v>-1000</v>
      </c>
      <c r="L1224" s="1" t="s">
        <v>603</v>
      </c>
      <c r="M1224" s="2" t="s">
        <v>998</v>
      </c>
    </row>
    <row r="1225" spans="1:13">
      <c r="A1225" s="21" t="str">
        <f>TEXT(TEXT(B1225,"yyyymmdd"),"00000000")&amp;TEXT(COUNTIF($B$2:B1225,B1225),"00")</f>
        <v>2024021403</v>
      </c>
      <c r="B1225" s="21">
        <f t="shared" si="19"/>
        <v>45336</v>
      </c>
      <c r="C1225" s="22">
        <v>2024</v>
      </c>
      <c r="D1225" s="23">
        <v>2</v>
      </c>
      <c r="E1225" s="24">
        <v>14</v>
      </c>
      <c r="F1225" s="42" t="s">
        <v>17</v>
      </c>
      <c r="G1225" s="42" t="s">
        <v>7</v>
      </c>
      <c r="H1225" s="42" t="s">
        <v>155</v>
      </c>
      <c r="I1225" s="42" t="s">
        <v>221</v>
      </c>
      <c r="J1225" s="10">
        <v>16500</v>
      </c>
      <c r="K1225" s="7">
        <v>-16500</v>
      </c>
      <c r="L1225" s="1" t="s">
        <v>999</v>
      </c>
    </row>
    <row r="1226" spans="1:13">
      <c r="A1226" s="21" t="str">
        <f>TEXT(TEXT(B1226,"yyyymmdd"),"00000000")&amp;TEXT(COUNTIF($B$2:B1226,B1226),"00")</f>
        <v>2024021404</v>
      </c>
      <c r="B1226" s="21">
        <f t="shared" si="19"/>
        <v>45336</v>
      </c>
      <c r="C1226" s="22">
        <v>2024</v>
      </c>
      <c r="D1226" s="23">
        <v>2</v>
      </c>
      <c r="E1226" s="24">
        <v>14</v>
      </c>
      <c r="F1226" s="42" t="s">
        <v>17</v>
      </c>
      <c r="G1226" s="42" t="s">
        <v>7</v>
      </c>
      <c r="H1226" s="42" t="s">
        <v>110</v>
      </c>
      <c r="I1226" s="42" t="s">
        <v>124</v>
      </c>
      <c r="J1226" s="10">
        <v>7950</v>
      </c>
      <c r="K1226" s="7">
        <v>-7950</v>
      </c>
      <c r="L1226" s="1" t="s">
        <v>770</v>
      </c>
    </row>
    <row r="1227" spans="1:13">
      <c r="A1227" s="21" t="str">
        <f>TEXT(TEXT(B1227,"yyyymmdd"),"00000000")&amp;TEXT(COUNTIF($B$2:B1227,B1227),"00")</f>
        <v>2024021405</v>
      </c>
      <c r="B1227" s="21">
        <f t="shared" si="19"/>
        <v>45336</v>
      </c>
      <c r="C1227" s="22">
        <v>2024</v>
      </c>
      <c r="D1227" s="23">
        <v>2</v>
      </c>
      <c r="E1227" s="24">
        <v>14</v>
      </c>
      <c r="F1227" s="42" t="s">
        <v>17</v>
      </c>
      <c r="G1227" s="42" t="s">
        <v>13</v>
      </c>
      <c r="H1227" s="42" t="s">
        <v>138</v>
      </c>
      <c r="I1227" s="42" t="s">
        <v>139</v>
      </c>
      <c r="J1227" s="10">
        <v>6100</v>
      </c>
      <c r="K1227" s="7">
        <v>-6100</v>
      </c>
      <c r="L1227" s="1" t="s">
        <v>996</v>
      </c>
    </row>
    <row r="1228" spans="1:13">
      <c r="A1228" s="21" t="str">
        <f>TEXT(TEXT(B1228,"yyyymmdd"),"00000000")&amp;TEXT(COUNTIF($B$2:B1228,B1228),"00")</f>
        <v>2024021406</v>
      </c>
      <c r="B1228" s="21">
        <f t="shared" si="19"/>
        <v>45336</v>
      </c>
      <c r="C1228" s="22">
        <v>2024</v>
      </c>
      <c r="D1228" s="23">
        <v>2</v>
      </c>
      <c r="E1228" s="24">
        <v>14</v>
      </c>
      <c r="F1228" s="42" t="s">
        <v>17</v>
      </c>
      <c r="G1228" s="42" t="s">
        <v>7</v>
      </c>
      <c r="H1228" s="42" t="s">
        <v>138</v>
      </c>
      <c r="I1228" s="42" t="s">
        <v>139</v>
      </c>
      <c r="J1228" s="10">
        <v>19250</v>
      </c>
      <c r="K1228" s="7">
        <v>-19250</v>
      </c>
      <c r="L1228" s="1" t="s">
        <v>997</v>
      </c>
    </row>
    <row r="1229" spans="1:13">
      <c r="A1229" s="21" t="str">
        <f>TEXT(TEXT(B1229,"yyyymmdd"),"00000000")&amp;TEXT(COUNTIF($B$2:B1229,B1229),"00")</f>
        <v>2024021501</v>
      </c>
      <c r="B1229" s="21">
        <f t="shared" si="19"/>
        <v>45337</v>
      </c>
      <c r="C1229" s="22">
        <v>2024</v>
      </c>
      <c r="D1229" s="23">
        <v>2</v>
      </c>
      <c r="E1229" s="24">
        <v>15</v>
      </c>
      <c r="F1229" s="42" t="s">
        <v>17</v>
      </c>
      <c r="G1229" s="42" t="s">
        <v>7</v>
      </c>
      <c r="H1229" s="42" t="s">
        <v>167</v>
      </c>
      <c r="I1229" s="42" t="s">
        <v>168</v>
      </c>
      <c r="J1229" s="10">
        <v>8100</v>
      </c>
      <c r="K1229" s="7">
        <v>-8100</v>
      </c>
      <c r="L1229" s="1" t="s">
        <v>532</v>
      </c>
    </row>
    <row r="1230" spans="1:13">
      <c r="A1230" s="21" t="str">
        <f>TEXT(TEXT(B1230,"yyyymmdd"),"00000000")&amp;TEXT(COUNTIF($B$2:B1230,B1230),"00")</f>
        <v>2024021502</v>
      </c>
      <c r="B1230" s="21">
        <f t="shared" si="19"/>
        <v>45337</v>
      </c>
      <c r="C1230" s="22">
        <v>2024</v>
      </c>
      <c r="D1230" s="23">
        <v>2</v>
      </c>
      <c r="E1230" s="24">
        <v>15</v>
      </c>
      <c r="F1230" s="42" t="s">
        <v>17</v>
      </c>
      <c r="G1230" s="42" t="s">
        <v>7</v>
      </c>
      <c r="H1230" s="42" t="s">
        <v>116</v>
      </c>
      <c r="I1230" s="42" t="s">
        <v>217</v>
      </c>
      <c r="J1230" s="10">
        <v>64800</v>
      </c>
      <c r="K1230" s="7">
        <v>-64800</v>
      </c>
      <c r="L1230" s="1" t="s">
        <v>713</v>
      </c>
    </row>
    <row r="1231" spans="1:13">
      <c r="A1231" s="21" t="str">
        <f>TEXT(TEXT(B1231,"yyyymmdd"),"00000000")&amp;TEXT(COUNTIF($B$2:B1231,B1231),"00")</f>
        <v>2024021503</v>
      </c>
      <c r="B1231" s="21">
        <f t="shared" si="19"/>
        <v>45337</v>
      </c>
      <c r="C1231" s="22">
        <v>2024</v>
      </c>
      <c r="D1231" s="23">
        <v>2</v>
      </c>
      <c r="E1231" s="24">
        <v>15</v>
      </c>
      <c r="F1231" s="42" t="s">
        <v>17</v>
      </c>
      <c r="G1231" s="42" t="s">
        <v>7</v>
      </c>
      <c r="H1231" s="42" t="s">
        <v>138</v>
      </c>
      <c r="I1231" s="42" t="s">
        <v>197</v>
      </c>
      <c r="J1231" s="10">
        <v>49100</v>
      </c>
      <c r="K1231" s="7">
        <v>-49100</v>
      </c>
      <c r="L1231" s="1" t="s">
        <v>1000</v>
      </c>
    </row>
    <row r="1232" spans="1:13">
      <c r="A1232" s="21" t="str">
        <f>TEXT(TEXT(B1232,"yyyymmdd"),"00000000")&amp;TEXT(COUNTIF($B$2:B1232,B1232),"00")</f>
        <v>2024021601</v>
      </c>
      <c r="B1232" s="21">
        <f t="shared" si="19"/>
        <v>45338</v>
      </c>
      <c r="C1232" s="22">
        <v>2024</v>
      </c>
      <c r="D1232" s="23">
        <v>2</v>
      </c>
      <c r="E1232" s="24">
        <v>16</v>
      </c>
      <c r="F1232" s="42" t="s">
        <v>17</v>
      </c>
      <c r="G1232" s="42" t="s">
        <v>13</v>
      </c>
      <c r="H1232" s="42" t="s">
        <v>167</v>
      </c>
      <c r="I1232" s="42" t="s">
        <v>214</v>
      </c>
      <c r="J1232" s="10">
        <v>12380</v>
      </c>
      <c r="K1232" s="7">
        <v>-12380</v>
      </c>
      <c r="L1232" s="1" t="s">
        <v>957</v>
      </c>
    </row>
    <row r="1233" spans="1:13">
      <c r="A1233" s="21" t="str">
        <f>TEXT(TEXT(B1233,"yyyymmdd"),"00000000")&amp;TEXT(COUNTIF($B$2:B1233,B1233),"00")</f>
        <v>2024021602</v>
      </c>
      <c r="B1233" s="21">
        <f t="shared" si="19"/>
        <v>45338</v>
      </c>
      <c r="C1233" s="22">
        <v>2024</v>
      </c>
      <c r="D1233" s="23">
        <v>2</v>
      </c>
      <c r="E1233" s="24">
        <v>16</v>
      </c>
      <c r="F1233" s="42" t="s">
        <v>17</v>
      </c>
      <c r="G1233" s="42" t="s">
        <v>7</v>
      </c>
      <c r="H1233" s="42" t="s">
        <v>167</v>
      </c>
      <c r="I1233" s="42" t="s">
        <v>214</v>
      </c>
      <c r="J1233" s="10">
        <v>9950</v>
      </c>
      <c r="K1233" s="7">
        <v>-9950</v>
      </c>
      <c r="L1233" s="1" t="s">
        <v>1001</v>
      </c>
    </row>
    <row r="1234" spans="1:13">
      <c r="A1234" s="21" t="str">
        <f>TEXT(TEXT(B1234,"yyyymmdd"),"00000000")&amp;TEXT(COUNTIF($B$2:B1234,B1234),"00")</f>
        <v>2024022001</v>
      </c>
      <c r="B1234" s="21">
        <f t="shared" si="19"/>
        <v>45342</v>
      </c>
      <c r="C1234" s="22">
        <v>2024</v>
      </c>
      <c r="D1234" s="23">
        <v>2</v>
      </c>
      <c r="E1234" s="24">
        <v>20</v>
      </c>
      <c r="F1234" s="42" t="s">
        <v>17</v>
      </c>
      <c r="G1234" s="42" t="s">
        <v>7</v>
      </c>
      <c r="H1234" s="42" t="s">
        <v>117</v>
      </c>
      <c r="I1234" s="42" t="s">
        <v>468</v>
      </c>
      <c r="J1234" s="10">
        <v>3000</v>
      </c>
      <c r="K1234" s="7">
        <v>-3000</v>
      </c>
      <c r="L1234" s="1" t="s">
        <v>1002</v>
      </c>
    </row>
    <row r="1235" spans="1:13">
      <c r="A1235" s="21" t="str">
        <f>TEXT(TEXT(B1235,"yyyymmdd"),"00000000")&amp;TEXT(COUNTIF($B$2:B1235,B1235),"00")</f>
        <v>2024022101</v>
      </c>
      <c r="B1235" s="21">
        <f t="shared" si="19"/>
        <v>45343</v>
      </c>
      <c r="C1235" s="22">
        <v>2024</v>
      </c>
      <c r="D1235" s="23">
        <v>2</v>
      </c>
      <c r="E1235" s="24">
        <v>21</v>
      </c>
      <c r="F1235" s="42" t="s">
        <v>17</v>
      </c>
      <c r="G1235" s="42" t="s">
        <v>7</v>
      </c>
      <c r="H1235" s="42" t="s">
        <v>117</v>
      </c>
      <c r="I1235" s="42" t="s">
        <v>471</v>
      </c>
      <c r="J1235" s="10">
        <v>50000</v>
      </c>
      <c r="K1235" s="7">
        <v>-50000</v>
      </c>
      <c r="L1235" s="1" t="s">
        <v>1003</v>
      </c>
    </row>
    <row r="1236" spans="1:13">
      <c r="A1236" s="21" t="str">
        <f>TEXT(TEXT(B1236,"yyyymmdd"),"00000000")&amp;TEXT(COUNTIF($B$2:B1236,B1236),"00")</f>
        <v>2024022102</v>
      </c>
      <c r="B1236" s="21">
        <f t="shared" si="19"/>
        <v>45343</v>
      </c>
      <c r="C1236" s="22">
        <v>2024</v>
      </c>
      <c r="D1236" s="23">
        <v>2</v>
      </c>
      <c r="E1236" s="24">
        <v>21</v>
      </c>
      <c r="F1236" s="42" t="s">
        <v>17</v>
      </c>
      <c r="G1236" s="42" t="s">
        <v>13</v>
      </c>
      <c r="H1236" s="42" t="s">
        <v>167</v>
      </c>
      <c r="I1236" s="42" t="s">
        <v>214</v>
      </c>
      <c r="J1236" s="10">
        <v>10590</v>
      </c>
      <c r="K1236" s="7">
        <v>-10590</v>
      </c>
      <c r="L1236" s="1" t="s">
        <v>957</v>
      </c>
    </row>
    <row r="1237" spans="1:13">
      <c r="A1237" s="21" t="str">
        <f>TEXT(TEXT(B1237,"yyyymmdd"),"00000000")&amp;TEXT(COUNTIF($B$2:B1237,B1237),"00")</f>
        <v>2024022103</v>
      </c>
      <c r="B1237" s="21">
        <f t="shared" si="19"/>
        <v>45343</v>
      </c>
      <c r="C1237" s="22">
        <v>2024</v>
      </c>
      <c r="D1237" s="23">
        <v>2</v>
      </c>
      <c r="E1237" s="24">
        <v>21</v>
      </c>
      <c r="F1237" s="42" t="s">
        <v>17</v>
      </c>
      <c r="G1237" s="42" t="s">
        <v>7</v>
      </c>
      <c r="H1237" s="42" t="s">
        <v>117</v>
      </c>
      <c r="I1237" s="42" t="s">
        <v>450</v>
      </c>
      <c r="J1237" s="10">
        <v>67000</v>
      </c>
      <c r="K1237" s="7">
        <v>-67000</v>
      </c>
      <c r="L1237" s="1" t="s">
        <v>1004</v>
      </c>
    </row>
    <row r="1238" spans="1:13">
      <c r="A1238" s="21" t="str">
        <f>TEXT(TEXT(B1238,"yyyymmdd"),"00000000")&amp;TEXT(COUNTIF($B$2:B1238,B1238),"00")</f>
        <v>2024022201</v>
      </c>
      <c r="B1238" s="21">
        <f t="shared" si="19"/>
        <v>45344</v>
      </c>
      <c r="C1238" s="22">
        <v>2024</v>
      </c>
      <c r="D1238" s="23">
        <v>2</v>
      </c>
      <c r="E1238" s="24">
        <v>22</v>
      </c>
      <c r="F1238" s="42" t="s">
        <v>17</v>
      </c>
      <c r="G1238" s="42" t="s">
        <v>13</v>
      </c>
      <c r="H1238" s="42" t="s">
        <v>138</v>
      </c>
      <c r="I1238" s="42" t="s">
        <v>139</v>
      </c>
      <c r="J1238" s="10">
        <v>10950</v>
      </c>
      <c r="K1238" s="7">
        <v>-10950</v>
      </c>
      <c r="L1238" s="1" t="s">
        <v>738</v>
      </c>
    </row>
    <row r="1239" spans="1:13">
      <c r="A1239" s="21" t="str">
        <f>TEXT(TEXT(B1239,"yyyymmdd"),"00000000")&amp;TEXT(COUNTIF($B$2:B1239,B1239),"00")</f>
        <v>2024022202</v>
      </c>
      <c r="B1239" s="21">
        <f t="shared" si="19"/>
        <v>45344</v>
      </c>
      <c r="C1239" s="22">
        <v>2024</v>
      </c>
      <c r="D1239" s="23">
        <v>2</v>
      </c>
      <c r="E1239" s="24">
        <v>22</v>
      </c>
      <c r="F1239" s="42" t="s">
        <v>17</v>
      </c>
      <c r="G1239" s="42" t="s">
        <v>170</v>
      </c>
      <c r="H1239" s="42" t="s">
        <v>114</v>
      </c>
      <c r="I1239" s="42" t="s">
        <v>1005</v>
      </c>
      <c r="J1239" s="10">
        <v>17300</v>
      </c>
      <c r="K1239" s="7">
        <v>-17300</v>
      </c>
      <c r="L1239" s="1" t="s">
        <v>1006</v>
      </c>
    </row>
    <row r="1240" spans="1:13">
      <c r="A1240" s="21" t="str">
        <f>TEXT(TEXT(B1240,"yyyymmdd"),"00000000")&amp;TEXT(COUNTIF($B$2:B1240,B1240),"00")</f>
        <v>2024022701</v>
      </c>
      <c r="B1240" s="21">
        <f t="shared" si="19"/>
        <v>45349</v>
      </c>
      <c r="C1240" s="22">
        <v>2024</v>
      </c>
      <c r="D1240" s="23">
        <v>2</v>
      </c>
      <c r="E1240" s="24">
        <v>27</v>
      </c>
      <c r="F1240" s="42" t="s">
        <v>17</v>
      </c>
      <c r="G1240" s="42" t="s">
        <v>13</v>
      </c>
      <c r="H1240" s="42" t="s">
        <v>138</v>
      </c>
      <c r="I1240" s="42" t="s">
        <v>139</v>
      </c>
      <c r="J1240" s="10">
        <v>7000</v>
      </c>
      <c r="K1240" s="7">
        <v>-7000</v>
      </c>
      <c r="L1240" s="1" t="s">
        <v>693</v>
      </c>
    </row>
    <row r="1241" spans="1:13">
      <c r="A1241" s="21" t="str">
        <f>TEXT(TEXT(B1241,"yyyymmdd"),"00000000")&amp;TEXT(COUNTIF($B$2:B1241,B1241),"00")</f>
        <v>2024022801</v>
      </c>
      <c r="B1241" s="21">
        <f t="shared" si="19"/>
        <v>45350</v>
      </c>
      <c r="C1241" s="22">
        <v>2024</v>
      </c>
      <c r="D1241" s="23">
        <v>2</v>
      </c>
      <c r="E1241" s="24">
        <v>28</v>
      </c>
      <c r="F1241" s="42" t="s">
        <v>17</v>
      </c>
      <c r="G1241" s="42" t="s">
        <v>7</v>
      </c>
      <c r="H1241" s="42" t="s">
        <v>110</v>
      </c>
      <c r="I1241" s="42" t="s">
        <v>124</v>
      </c>
      <c r="J1241" s="10">
        <v>6600</v>
      </c>
      <c r="K1241" s="7">
        <v>-6600</v>
      </c>
      <c r="L1241" s="1" t="s">
        <v>865</v>
      </c>
    </row>
    <row r="1242" spans="1:13">
      <c r="A1242" s="21" t="str">
        <f>TEXT(TEXT(B1242,"yyyymmdd"),"00000000")&amp;TEXT(COUNTIF($B$2:B1242,B1242),"00")</f>
        <v>2024022802</v>
      </c>
      <c r="B1242" s="21">
        <f t="shared" si="19"/>
        <v>45350</v>
      </c>
      <c r="C1242" s="22">
        <v>2024</v>
      </c>
      <c r="D1242" s="23">
        <v>2</v>
      </c>
      <c r="E1242" s="24">
        <v>28</v>
      </c>
      <c r="F1242" s="42" t="s">
        <v>17</v>
      </c>
      <c r="G1242" s="42" t="s">
        <v>7</v>
      </c>
      <c r="H1242" s="42" t="s">
        <v>110</v>
      </c>
      <c r="I1242" s="42" t="s">
        <v>374</v>
      </c>
      <c r="J1242" s="10">
        <v>4500</v>
      </c>
      <c r="K1242" s="7">
        <v>-4500</v>
      </c>
      <c r="L1242" s="1" t="s">
        <v>1008</v>
      </c>
    </row>
    <row r="1243" spans="1:13">
      <c r="A1243" s="21" t="str">
        <f>TEXT(TEXT(B1243,"yyyymmdd"),"00000000")&amp;TEXT(COUNTIF($B$2:B1243,B1243),"00")</f>
        <v>2024022803</v>
      </c>
      <c r="B1243" s="21">
        <f t="shared" si="19"/>
        <v>45350</v>
      </c>
      <c r="C1243" s="22">
        <v>2024</v>
      </c>
      <c r="D1243" s="23">
        <v>2</v>
      </c>
      <c r="E1243" s="24">
        <v>28</v>
      </c>
      <c r="F1243" s="42" t="s">
        <v>17</v>
      </c>
      <c r="G1243" s="42" t="s">
        <v>13</v>
      </c>
      <c r="H1243" s="42" t="s">
        <v>167</v>
      </c>
      <c r="I1243" s="42" t="s">
        <v>214</v>
      </c>
      <c r="J1243" s="10">
        <v>16530</v>
      </c>
      <c r="K1243" s="7">
        <v>-16530</v>
      </c>
      <c r="L1243" s="1" t="s">
        <v>957</v>
      </c>
    </row>
    <row r="1244" spans="1:13">
      <c r="A1244" s="21" t="str">
        <f>TEXT(TEXT(B1244,"yyyymmdd"),"00000000")&amp;TEXT(COUNTIF($B$2:B1244,B1244),"00")</f>
        <v>2024022901</v>
      </c>
      <c r="B1244" s="21">
        <f t="shared" si="19"/>
        <v>45351</v>
      </c>
      <c r="C1244" s="22">
        <v>2024</v>
      </c>
      <c r="D1244" s="23">
        <v>2</v>
      </c>
      <c r="E1244" s="24">
        <v>29</v>
      </c>
      <c r="F1244" s="42" t="s">
        <v>17</v>
      </c>
      <c r="G1244" s="42" t="s">
        <v>170</v>
      </c>
      <c r="H1244" s="42" t="s">
        <v>155</v>
      </c>
      <c r="I1244" s="42" t="s">
        <v>156</v>
      </c>
      <c r="J1244" s="10">
        <v>1400</v>
      </c>
      <c r="K1244" s="7">
        <v>-1400</v>
      </c>
      <c r="L1244" s="1" t="s">
        <v>303</v>
      </c>
    </row>
    <row r="1245" spans="1:13">
      <c r="A1245" s="21" t="str">
        <f>TEXT(TEXT(B1245,"yyyymmdd"),"00000000")&amp;TEXT(COUNTIF($B$2:B1245,B1245),"00")</f>
        <v>2024030101</v>
      </c>
      <c r="B1245" s="21">
        <f t="shared" si="19"/>
        <v>45352</v>
      </c>
      <c r="C1245" s="22">
        <v>2024</v>
      </c>
      <c r="D1245" s="23">
        <v>3</v>
      </c>
      <c r="E1245" s="24">
        <v>1</v>
      </c>
      <c r="F1245" s="42" t="s">
        <v>17</v>
      </c>
      <c r="G1245" s="42" t="s">
        <v>151</v>
      </c>
      <c r="H1245" s="42" t="s">
        <v>151</v>
      </c>
      <c r="I1245" s="42" t="s">
        <v>152</v>
      </c>
      <c r="J1245" s="10">
        <v>-600000</v>
      </c>
      <c r="K1245" s="7">
        <v>600000</v>
      </c>
      <c r="L1245" s="1" t="s">
        <v>252</v>
      </c>
      <c r="M1245" s="2" t="s">
        <v>1009</v>
      </c>
    </row>
    <row r="1246" spans="1:13">
      <c r="A1246" s="21" t="str">
        <f>TEXT(TEXT(B1246,"yyyymmdd"),"00000000")&amp;TEXT(COUNTIF($B$2:B1246,B1246),"00")</f>
        <v>2024030102</v>
      </c>
      <c r="B1246" s="21">
        <f t="shared" si="19"/>
        <v>45352</v>
      </c>
      <c r="C1246" s="22">
        <v>2024</v>
      </c>
      <c r="D1246" s="23">
        <v>3</v>
      </c>
      <c r="E1246" s="24">
        <v>1</v>
      </c>
      <c r="F1246" s="42" t="s">
        <v>17</v>
      </c>
      <c r="G1246" s="42" t="s">
        <v>7</v>
      </c>
      <c r="H1246" s="42" t="s">
        <v>167</v>
      </c>
      <c r="I1246" s="42" t="s">
        <v>214</v>
      </c>
      <c r="J1246" s="10">
        <v>3000</v>
      </c>
      <c r="K1246" s="7">
        <v>-3000</v>
      </c>
      <c r="L1246" s="1" t="s">
        <v>603</v>
      </c>
    </row>
    <row r="1247" spans="1:13">
      <c r="A1247" s="21" t="str">
        <f>TEXT(TEXT(B1247,"yyyymmdd"),"00000000")&amp;TEXT(COUNTIF($B$2:B1247,B1247),"00")</f>
        <v>2024030103</v>
      </c>
      <c r="B1247" s="21">
        <f t="shared" si="19"/>
        <v>45352</v>
      </c>
      <c r="C1247" s="22">
        <v>2024</v>
      </c>
      <c r="D1247" s="23">
        <v>3</v>
      </c>
      <c r="E1247" s="24">
        <v>1</v>
      </c>
      <c r="F1247" s="42" t="s">
        <v>17</v>
      </c>
      <c r="G1247" s="42" t="s">
        <v>7</v>
      </c>
      <c r="H1247" s="42" t="s">
        <v>110</v>
      </c>
      <c r="I1247" s="42" t="s">
        <v>120</v>
      </c>
      <c r="J1247" s="10">
        <v>13000</v>
      </c>
      <c r="K1247" s="7">
        <v>-13000</v>
      </c>
      <c r="L1247" s="1" t="s">
        <v>1010</v>
      </c>
      <c r="M1247" s="2" t="s">
        <v>600</v>
      </c>
    </row>
    <row r="1248" spans="1:13">
      <c r="A1248" s="21" t="str">
        <f>TEXT(TEXT(B1248,"yyyymmdd"),"00000000")&amp;TEXT(COUNTIF($B$2:B1248,B1248),"00")</f>
        <v>2024030201</v>
      </c>
      <c r="B1248" s="21">
        <f t="shared" si="19"/>
        <v>45353</v>
      </c>
      <c r="C1248" s="22">
        <v>2024</v>
      </c>
      <c r="D1248" s="23">
        <v>3</v>
      </c>
      <c r="E1248" s="24">
        <v>2</v>
      </c>
      <c r="F1248" s="42" t="s">
        <v>17</v>
      </c>
      <c r="G1248" s="42" t="s">
        <v>7</v>
      </c>
      <c r="H1248" s="42" t="s">
        <v>138</v>
      </c>
      <c r="I1248" s="42" t="s">
        <v>197</v>
      </c>
      <c r="J1248" s="10">
        <v>21800</v>
      </c>
      <c r="K1248" s="7">
        <v>-21800</v>
      </c>
      <c r="L1248" s="1" t="s">
        <v>285</v>
      </c>
    </row>
    <row r="1249" spans="1:13">
      <c r="A1249" s="21" t="str">
        <f>TEXT(TEXT(B1249,"yyyymmdd"),"00000000")&amp;TEXT(COUNTIF($B$2:B1249,B1249),"00")</f>
        <v>2024030301</v>
      </c>
      <c r="B1249" s="21">
        <f t="shared" si="19"/>
        <v>45354</v>
      </c>
      <c r="C1249" s="22">
        <v>2024</v>
      </c>
      <c r="D1249" s="23">
        <v>3</v>
      </c>
      <c r="E1249" s="24">
        <v>3</v>
      </c>
      <c r="F1249" s="42" t="s">
        <v>17</v>
      </c>
      <c r="G1249" s="42" t="s">
        <v>7</v>
      </c>
      <c r="H1249" s="42" t="s">
        <v>167</v>
      </c>
      <c r="I1249" s="42" t="s">
        <v>168</v>
      </c>
      <c r="J1249" s="10">
        <v>13350</v>
      </c>
      <c r="K1249" s="7">
        <v>-13350</v>
      </c>
      <c r="L1249" s="1" t="s">
        <v>532</v>
      </c>
    </row>
    <row r="1250" spans="1:13">
      <c r="A1250" s="21" t="str">
        <f>TEXT(TEXT(B1250,"yyyymmdd"),"00000000")&amp;TEXT(COUNTIF($B$2:B1250,B1250),"00")</f>
        <v>2024030302</v>
      </c>
      <c r="B1250" s="21">
        <f t="shared" si="19"/>
        <v>45354</v>
      </c>
      <c r="C1250" s="22">
        <v>2024</v>
      </c>
      <c r="D1250" s="23">
        <v>3</v>
      </c>
      <c r="E1250" s="24">
        <v>3</v>
      </c>
      <c r="F1250" s="42" t="s">
        <v>17</v>
      </c>
      <c r="G1250" s="42" t="s">
        <v>7</v>
      </c>
      <c r="H1250" s="42" t="s">
        <v>138</v>
      </c>
      <c r="I1250" s="42" t="s">
        <v>139</v>
      </c>
      <c r="J1250" s="10">
        <v>16000</v>
      </c>
      <c r="K1250" s="7">
        <v>-16000</v>
      </c>
      <c r="L1250" s="1" t="s">
        <v>1014</v>
      </c>
    </row>
    <row r="1251" spans="1:13">
      <c r="A1251" s="21" t="str">
        <f>TEXT(TEXT(B1251,"yyyymmdd"),"00000000")&amp;TEXT(COUNTIF($B$2:B1251,B1251),"00")</f>
        <v>2024030303</v>
      </c>
      <c r="B1251" s="21">
        <f t="shared" si="19"/>
        <v>45354</v>
      </c>
      <c r="C1251" s="22">
        <v>2024</v>
      </c>
      <c r="D1251" s="23">
        <v>3</v>
      </c>
      <c r="E1251" s="24">
        <v>3</v>
      </c>
      <c r="F1251" s="42" t="s">
        <v>17</v>
      </c>
      <c r="G1251" s="42" t="s">
        <v>13</v>
      </c>
      <c r="H1251" s="42" t="s">
        <v>138</v>
      </c>
      <c r="I1251" s="42" t="s">
        <v>139</v>
      </c>
      <c r="J1251" s="10">
        <v>8500</v>
      </c>
      <c r="K1251" s="7">
        <v>-8500</v>
      </c>
      <c r="L1251" s="1" t="s">
        <v>680</v>
      </c>
    </row>
    <row r="1252" spans="1:13">
      <c r="A1252" s="21" t="str">
        <f>TEXT(TEXT(B1252,"yyyymmdd"),"00000000")&amp;TEXT(COUNTIF($B$2:B1252,B1252),"00")</f>
        <v>2024030304</v>
      </c>
      <c r="B1252" s="21">
        <f t="shared" si="19"/>
        <v>45354</v>
      </c>
      <c r="C1252" s="22">
        <v>2024</v>
      </c>
      <c r="D1252" s="23">
        <v>3</v>
      </c>
      <c r="E1252" s="24">
        <v>3</v>
      </c>
      <c r="F1252" s="42" t="s">
        <v>17</v>
      </c>
      <c r="G1252" s="42" t="s">
        <v>7</v>
      </c>
      <c r="H1252" s="42" t="s">
        <v>167</v>
      </c>
      <c r="I1252" s="42" t="s">
        <v>168</v>
      </c>
      <c r="J1252" s="10">
        <v>1000</v>
      </c>
      <c r="K1252" s="7">
        <v>-1000</v>
      </c>
      <c r="L1252" s="1" t="s">
        <v>1013</v>
      </c>
    </row>
    <row r="1253" spans="1:13">
      <c r="A1253" s="21" t="str">
        <f>TEXT(TEXT(B1253,"yyyymmdd"),"00000000")&amp;TEXT(COUNTIF($B$2:B1253,B1253),"00")</f>
        <v>2024030305</v>
      </c>
      <c r="B1253" s="21">
        <f t="shared" si="19"/>
        <v>45354</v>
      </c>
      <c r="C1253" s="22">
        <v>2024</v>
      </c>
      <c r="D1253" s="23">
        <v>3</v>
      </c>
      <c r="E1253" s="24">
        <v>3</v>
      </c>
      <c r="F1253" s="42" t="s">
        <v>17</v>
      </c>
      <c r="G1253" s="42" t="s">
        <v>7</v>
      </c>
      <c r="H1253" s="42" t="s">
        <v>167</v>
      </c>
      <c r="I1253" s="42" t="s">
        <v>168</v>
      </c>
      <c r="J1253" s="10">
        <v>2500</v>
      </c>
      <c r="K1253" s="7">
        <v>-2500</v>
      </c>
      <c r="L1253" s="1" t="s">
        <v>748</v>
      </c>
    </row>
    <row r="1254" spans="1:13">
      <c r="A1254" s="21" t="str">
        <f>TEXT(TEXT(B1254,"yyyymmdd"),"00000000")&amp;TEXT(COUNTIF($B$2:B1254,B1254),"00")</f>
        <v>2024030306</v>
      </c>
      <c r="B1254" s="21">
        <f t="shared" si="19"/>
        <v>45354</v>
      </c>
      <c r="C1254" s="22">
        <v>2024</v>
      </c>
      <c r="D1254" s="23">
        <v>3</v>
      </c>
      <c r="E1254" s="24">
        <v>3</v>
      </c>
      <c r="F1254" s="42" t="s">
        <v>17</v>
      </c>
      <c r="G1254" s="42" t="s">
        <v>7</v>
      </c>
      <c r="H1254" s="42" t="s">
        <v>117</v>
      </c>
      <c r="I1254" s="42" t="s">
        <v>450</v>
      </c>
      <c r="J1254" s="10">
        <v>12000</v>
      </c>
      <c r="K1254" s="7">
        <v>-12000</v>
      </c>
      <c r="L1254" s="1" t="s">
        <v>1011</v>
      </c>
      <c r="M1254" s="2" t="s">
        <v>1012</v>
      </c>
    </row>
    <row r="1255" spans="1:13">
      <c r="A1255" s="21" t="str">
        <f>TEXT(TEXT(B1255,"yyyymmdd"),"00000000")&amp;TEXT(COUNTIF($B$2:B1255,B1255),"00")</f>
        <v>2024030401</v>
      </c>
      <c r="B1255" s="21">
        <f t="shared" si="19"/>
        <v>45355</v>
      </c>
      <c r="C1255" s="22">
        <v>2024</v>
      </c>
      <c r="D1255" s="23">
        <v>3</v>
      </c>
      <c r="E1255" s="24">
        <v>4</v>
      </c>
      <c r="F1255" s="42" t="s">
        <v>17</v>
      </c>
      <c r="G1255" s="42" t="s">
        <v>7</v>
      </c>
      <c r="H1255" s="42" t="s">
        <v>167</v>
      </c>
      <c r="I1255" s="42" t="s">
        <v>168</v>
      </c>
      <c r="J1255" s="10">
        <v>2500</v>
      </c>
      <c r="K1255" s="7">
        <v>-2500</v>
      </c>
      <c r="L1255" s="1" t="s">
        <v>532</v>
      </c>
      <c r="M1255" s="2" t="s">
        <v>1016</v>
      </c>
    </row>
    <row r="1256" spans="1:13">
      <c r="A1256" s="21" t="str">
        <f>TEXT(TEXT(B1256,"yyyymmdd"),"00000000")&amp;TEXT(COUNTIF($B$2:B1256,B1256),"00")</f>
        <v>2024030402</v>
      </c>
      <c r="B1256" s="21">
        <f t="shared" si="19"/>
        <v>45355</v>
      </c>
      <c r="C1256" s="22">
        <v>2024</v>
      </c>
      <c r="D1256" s="23">
        <v>3</v>
      </c>
      <c r="E1256" s="24">
        <v>4</v>
      </c>
      <c r="F1256" s="42" t="s">
        <v>17</v>
      </c>
      <c r="G1256" s="42" t="s">
        <v>13</v>
      </c>
      <c r="H1256" s="42" t="s">
        <v>138</v>
      </c>
      <c r="I1256" s="42" t="s">
        <v>159</v>
      </c>
      <c r="J1256" s="10">
        <v>15900</v>
      </c>
      <c r="K1256" s="7">
        <v>-15900</v>
      </c>
      <c r="L1256" s="1" t="s">
        <v>1015</v>
      </c>
    </row>
    <row r="1257" spans="1:13">
      <c r="A1257" s="21" t="str">
        <f>TEXT(TEXT(B1257,"yyyymmdd"),"00000000")&amp;TEXT(COUNTIF($B$2:B1257,B1257),"00")</f>
        <v>2024030501</v>
      </c>
      <c r="B1257" s="21">
        <f t="shared" si="19"/>
        <v>45356</v>
      </c>
      <c r="C1257" s="22">
        <v>2024</v>
      </c>
      <c r="D1257" s="23">
        <v>3</v>
      </c>
      <c r="E1257" s="24">
        <v>5</v>
      </c>
      <c r="F1257" s="42" t="s">
        <v>17</v>
      </c>
      <c r="G1257" s="42" t="s">
        <v>135</v>
      </c>
      <c r="H1257" s="42" t="s">
        <v>135</v>
      </c>
      <c r="I1257" s="42" t="s">
        <v>143</v>
      </c>
      <c r="J1257" s="10">
        <v>-236</v>
      </c>
      <c r="K1257" s="7">
        <v>236</v>
      </c>
      <c r="L1257" s="1" t="s">
        <v>551</v>
      </c>
      <c r="M1257" s="2" t="s">
        <v>1017</v>
      </c>
    </row>
    <row r="1258" spans="1:13">
      <c r="A1258" s="21" t="str">
        <f>TEXT(TEXT(B1258,"yyyymmdd"),"00000000")&amp;TEXT(COUNTIF($B$2:B1258,B1258),"00")</f>
        <v>2024030502</v>
      </c>
      <c r="B1258" s="21">
        <f t="shared" si="19"/>
        <v>45356</v>
      </c>
      <c r="C1258" s="22">
        <v>2024</v>
      </c>
      <c r="D1258" s="23">
        <v>3</v>
      </c>
      <c r="E1258" s="24">
        <v>5</v>
      </c>
      <c r="F1258" s="42" t="s">
        <v>17</v>
      </c>
      <c r="G1258" s="42" t="s">
        <v>13</v>
      </c>
      <c r="H1258" s="42" t="s">
        <v>138</v>
      </c>
      <c r="I1258" s="42" t="s">
        <v>139</v>
      </c>
      <c r="J1258" s="10">
        <v>5000</v>
      </c>
      <c r="K1258" s="7">
        <v>-5000</v>
      </c>
      <c r="L1258" s="1" t="s">
        <v>619</v>
      </c>
    </row>
    <row r="1259" spans="1:13">
      <c r="A1259" s="21" t="str">
        <f>TEXT(TEXT(B1259,"yyyymmdd"),"00000000")&amp;TEXT(COUNTIF($B$2:B1259,B1259),"00")</f>
        <v>2024030503</v>
      </c>
      <c r="B1259" s="21">
        <f t="shared" si="19"/>
        <v>45356</v>
      </c>
      <c r="C1259" s="22">
        <v>2024</v>
      </c>
      <c r="D1259" s="23">
        <v>3</v>
      </c>
      <c r="E1259" s="24">
        <v>5</v>
      </c>
      <c r="F1259" s="42" t="s">
        <v>17</v>
      </c>
      <c r="G1259" s="42" t="s">
        <v>13</v>
      </c>
      <c r="H1259" s="42" t="s">
        <v>167</v>
      </c>
      <c r="I1259" s="42" t="s">
        <v>214</v>
      </c>
      <c r="J1259" s="10">
        <v>7730</v>
      </c>
      <c r="K1259" s="7">
        <v>-7730</v>
      </c>
      <c r="L1259" s="1" t="s">
        <v>957</v>
      </c>
    </row>
    <row r="1260" spans="1:13">
      <c r="A1260" s="21" t="str">
        <f>TEXT(TEXT(B1260,"yyyymmdd"),"00000000")&amp;TEXT(COUNTIF($B$2:B1260,B1260),"00")</f>
        <v>2024030504</v>
      </c>
      <c r="B1260" s="21">
        <f t="shared" si="19"/>
        <v>45356</v>
      </c>
      <c r="C1260" s="22">
        <v>2024</v>
      </c>
      <c r="D1260" s="23">
        <v>3</v>
      </c>
      <c r="E1260" s="24">
        <v>5</v>
      </c>
      <c r="F1260" s="42" t="s">
        <v>17</v>
      </c>
      <c r="G1260" s="42" t="s">
        <v>7</v>
      </c>
      <c r="H1260" s="42" t="s">
        <v>167</v>
      </c>
      <c r="I1260" s="42" t="s">
        <v>214</v>
      </c>
      <c r="J1260" s="10">
        <v>11050</v>
      </c>
      <c r="K1260" s="7">
        <v>-11050</v>
      </c>
      <c r="L1260" s="1" t="s">
        <v>1001</v>
      </c>
    </row>
    <row r="1261" spans="1:13">
      <c r="A1261" s="21" t="str">
        <f>TEXT(TEXT(B1261,"yyyymmdd"),"00000000")&amp;TEXT(COUNTIF($B$2:B1261,B1261),"00")</f>
        <v>2024030601</v>
      </c>
      <c r="B1261" s="21">
        <f t="shared" si="19"/>
        <v>45357</v>
      </c>
      <c r="C1261" s="22">
        <v>2024</v>
      </c>
      <c r="D1261" s="23">
        <v>3</v>
      </c>
      <c r="E1261" s="24">
        <v>6</v>
      </c>
      <c r="F1261" s="42" t="s">
        <v>17</v>
      </c>
      <c r="G1261" s="42" t="s">
        <v>7</v>
      </c>
      <c r="H1261" s="42" t="s">
        <v>173</v>
      </c>
      <c r="I1261" s="42" t="s">
        <v>207</v>
      </c>
      <c r="J1261" s="10">
        <v>15120</v>
      </c>
      <c r="K1261" s="7">
        <v>-15120</v>
      </c>
      <c r="L1261" s="1" t="s">
        <v>208</v>
      </c>
    </row>
    <row r="1262" spans="1:13">
      <c r="A1262" s="21" t="str">
        <f>TEXT(TEXT(B1262,"yyyymmdd"),"00000000")&amp;TEXT(COUNTIF($B$2:B1262,B1262),"00")</f>
        <v>2024030602</v>
      </c>
      <c r="B1262" s="21">
        <f t="shared" si="19"/>
        <v>45357</v>
      </c>
      <c r="C1262" s="22">
        <v>2024</v>
      </c>
      <c r="D1262" s="23">
        <v>3</v>
      </c>
      <c r="E1262" s="24">
        <v>6</v>
      </c>
      <c r="F1262" s="42" t="s">
        <v>17</v>
      </c>
      <c r="G1262" s="42" t="s">
        <v>135</v>
      </c>
      <c r="H1262" s="42" t="s">
        <v>135</v>
      </c>
      <c r="I1262" s="42" t="s">
        <v>1019</v>
      </c>
      <c r="J1262" s="10">
        <v>-1025</v>
      </c>
      <c r="K1262" s="7">
        <v>1025</v>
      </c>
      <c r="L1262" s="1" t="s">
        <v>1017</v>
      </c>
      <c r="M1262" s="2" t="s">
        <v>1018</v>
      </c>
    </row>
    <row r="1263" spans="1:13">
      <c r="A1263" s="21" t="str">
        <f>TEXT(TEXT(B1263,"yyyymmdd"),"00000000")&amp;TEXT(COUNTIF($B$2:B1263,B1263),"00")</f>
        <v>2024030603</v>
      </c>
      <c r="B1263" s="21">
        <f t="shared" si="19"/>
        <v>45357</v>
      </c>
      <c r="C1263" s="22">
        <v>2024</v>
      </c>
      <c r="D1263" s="23">
        <v>3</v>
      </c>
      <c r="E1263" s="24">
        <v>6</v>
      </c>
      <c r="F1263" s="42" t="s">
        <v>17</v>
      </c>
      <c r="G1263" s="42" t="s">
        <v>7</v>
      </c>
      <c r="H1263" s="42" t="s">
        <v>116</v>
      </c>
      <c r="I1263" s="42" t="s">
        <v>212</v>
      </c>
      <c r="J1263" s="10">
        <v>25000</v>
      </c>
      <c r="K1263" s="7">
        <v>-25000</v>
      </c>
      <c r="L1263" s="1" t="s">
        <v>1020</v>
      </c>
      <c r="M1263" s="2" t="s">
        <v>1021</v>
      </c>
    </row>
    <row r="1264" spans="1:13">
      <c r="A1264" s="21" t="str">
        <f>TEXT(TEXT(B1264,"yyyymmdd"),"00000000")&amp;TEXT(COUNTIF($B$2:B1264,B1264),"00")</f>
        <v>2024030604</v>
      </c>
      <c r="B1264" s="21">
        <f t="shared" si="19"/>
        <v>45357</v>
      </c>
      <c r="C1264" s="22">
        <v>2024</v>
      </c>
      <c r="D1264" s="23">
        <v>3</v>
      </c>
      <c r="E1264" s="24">
        <v>6</v>
      </c>
      <c r="F1264" s="42" t="s">
        <v>17</v>
      </c>
      <c r="G1264" s="42" t="s">
        <v>13</v>
      </c>
      <c r="H1264" s="42" t="s">
        <v>138</v>
      </c>
      <c r="I1264" s="42" t="s">
        <v>139</v>
      </c>
      <c r="J1264" s="10">
        <v>5000</v>
      </c>
      <c r="K1264" s="7">
        <v>-5000</v>
      </c>
      <c r="L1264" s="1" t="s">
        <v>619</v>
      </c>
    </row>
    <row r="1265" spans="1:13">
      <c r="A1265" s="21" t="str">
        <f>TEXT(TEXT(B1265,"yyyymmdd"),"00000000")&amp;TEXT(COUNTIF($B$2:B1265,B1265),"00")</f>
        <v>2024030701</v>
      </c>
      <c r="B1265" s="21">
        <f t="shared" si="19"/>
        <v>45358</v>
      </c>
      <c r="C1265" s="22">
        <v>2024</v>
      </c>
      <c r="D1265" s="23">
        <v>3</v>
      </c>
      <c r="E1265" s="24">
        <v>7</v>
      </c>
      <c r="F1265" s="42" t="s">
        <v>17</v>
      </c>
      <c r="G1265" s="42" t="s">
        <v>13</v>
      </c>
      <c r="H1265" s="42" t="s">
        <v>138</v>
      </c>
      <c r="I1265" s="42" t="s">
        <v>139</v>
      </c>
      <c r="J1265" s="10">
        <v>7500</v>
      </c>
      <c r="K1265" s="7">
        <v>-7500</v>
      </c>
      <c r="L1265" s="1" t="s">
        <v>693</v>
      </c>
    </row>
    <row r="1266" spans="1:13">
      <c r="A1266" s="21" t="str">
        <f>TEXT(TEXT(B1266,"yyyymmdd"),"00000000")&amp;TEXT(COUNTIF($B$2:B1266,B1266),"00")</f>
        <v>2024030702</v>
      </c>
      <c r="B1266" s="21">
        <f t="shared" si="19"/>
        <v>45358</v>
      </c>
      <c r="C1266" s="22">
        <v>2024</v>
      </c>
      <c r="D1266" s="23">
        <v>3</v>
      </c>
      <c r="E1266" s="24">
        <v>7</v>
      </c>
      <c r="F1266" s="42" t="s">
        <v>17</v>
      </c>
      <c r="G1266" s="42" t="s">
        <v>7</v>
      </c>
      <c r="H1266" s="42" t="s">
        <v>110</v>
      </c>
      <c r="I1266" s="42" t="s">
        <v>120</v>
      </c>
      <c r="J1266" s="10">
        <v>2600</v>
      </c>
      <c r="K1266" s="7">
        <v>-2600</v>
      </c>
      <c r="L1266" s="1" t="s">
        <v>820</v>
      </c>
    </row>
    <row r="1267" spans="1:13">
      <c r="A1267" s="21" t="str">
        <f>TEXT(TEXT(B1267,"yyyymmdd"),"00000000")&amp;TEXT(COUNTIF($B$2:B1267,B1267),"00")</f>
        <v>2024030801</v>
      </c>
      <c r="B1267" s="21">
        <f t="shared" si="19"/>
        <v>45359</v>
      </c>
      <c r="C1267" s="22">
        <v>2024</v>
      </c>
      <c r="D1267" s="23">
        <v>3</v>
      </c>
      <c r="E1267" s="24">
        <v>8</v>
      </c>
      <c r="F1267" s="42" t="s">
        <v>17</v>
      </c>
      <c r="G1267" s="42" t="s">
        <v>13</v>
      </c>
      <c r="H1267" s="42" t="s">
        <v>138</v>
      </c>
      <c r="I1267" s="42" t="s">
        <v>139</v>
      </c>
      <c r="J1267" s="10">
        <v>5000</v>
      </c>
      <c r="K1267" s="7">
        <v>-5000</v>
      </c>
      <c r="L1267" s="1" t="s">
        <v>619</v>
      </c>
    </row>
    <row r="1268" spans="1:13">
      <c r="A1268" s="21" t="str">
        <f>TEXT(TEXT(B1268,"yyyymmdd"),"00000000")&amp;TEXT(COUNTIF($B$2:B1268,B1268),"00")</f>
        <v>2024030901</v>
      </c>
      <c r="B1268" s="21">
        <f t="shared" si="19"/>
        <v>45360</v>
      </c>
      <c r="C1268" s="22">
        <v>2024</v>
      </c>
      <c r="D1268" s="23">
        <v>3</v>
      </c>
      <c r="E1268" s="24">
        <v>9</v>
      </c>
      <c r="F1268" s="42" t="s">
        <v>17</v>
      </c>
      <c r="G1268" s="42" t="s">
        <v>13</v>
      </c>
      <c r="H1268" s="42" t="s">
        <v>113</v>
      </c>
      <c r="I1268" s="42" t="s">
        <v>171</v>
      </c>
      <c r="J1268" s="10">
        <v>15000</v>
      </c>
      <c r="K1268" s="7">
        <v>-15000</v>
      </c>
      <c r="L1268" s="1" t="s">
        <v>502</v>
      </c>
    </row>
    <row r="1269" spans="1:13">
      <c r="A1269" s="21" t="str">
        <f>TEXT(TEXT(B1269,"yyyymmdd"),"00000000")&amp;TEXT(COUNTIF($B$2:B1269,B1269),"00")</f>
        <v>2024031101</v>
      </c>
      <c r="B1269" s="21">
        <f t="shared" si="19"/>
        <v>45362</v>
      </c>
      <c r="C1269" s="22">
        <v>2024</v>
      </c>
      <c r="D1269" s="23">
        <v>3</v>
      </c>
      <c r="E1269" s="24">
        <v>11</v>
      </c>
      <c r="F1269" s="42" t="s">
        <v>17</v>
      </c>
      <c r="G1269" s="42" t="s">
        <v>13</v>
      </c>
      <c r="H1269" s="42" t="s">
        <v>138</v>
      </c>
      <c r="I1269" s="42" t="s">
        <v>139</v>
      </c>
      <c r="J1269" s="10">
        <v>12000</v>
      </c>
      <c r="K1269" s="7">
        <v>-12000</v>
      </c>
      <c r="L1269" s="1" t="s">
        <v>734</v>
      </c>
    </row>
    <row r="1270" spans="1:13">
      <c r="A1270" s="21" t="str">
        <f>TEXT(TEXT(B1270,"yyyymmdd"),"00000000")&amp;TEXT(COUNTIF($B$2:B1270,B1270),"00")</f>
        <v>2024031102</v>
      </c>
      <c r="B1270" s="21">
        <f t="shared" si="19"/>
        <v>45362</v>
      </c>
      <c r="C1270" s="22">
        <v>2024</v>
      </c>
      <c r="D1270" s="23">
        <v>3</v>
      </c>
      <c r="E1270" s="24">
        <v>11</v>
      </c>
      <c r="F1270" s="42" t="s">
        <v>17</v>
      </c>
      <c r="G1270" s="42" t="s">
        <v>7</v>
      </c>
      <c r="H1270" s="42" t="s">
        <v>138</v>
      </c>
      <c r="I1270" s="42" t="s">
        <v>139</v>
      </c>
      <c r="J1270" s="10">
        <v>27500</v>
      </c>
      <c r="K1270" s="7">
        <v>-27500</v>
      </c>
      <c r="L1270" s="1" t="s">
        <v>701</v>
      </c>
    </row>
    <row r="1271" spans="1:13">
      <c r="A1271" s="21" t="str">
        <f>TEXT(TEXT(B1271,"yyyymmdd"),"00000000")&amp;TEXT(COUNTIF($B$2:B1271,B1271),"00")</f>
        <v>2024031201</v>
      </c>
      <c r="B1271" s="21">
        <f t="shared" si="19"/>
        <v>45363</v>
      </c>
      <c r="C1271" s="22">
        <v>2024</v>
      </c>
      <c r="D1271" s="23">
        <v>3</v>
      </c>
      <c r="E1271" s="24">
        <v>12</v>
      </c>
      <c r="F1271" s="42" t="s">
        <v>17</v>
      </c>
      <c r="G1271" s="42" t="s">
        <v>7</v>
      </c>
      <c r="H1271" s="42" t="s">
        <v>167</v>
      </c>
      <c r="I1271" s="42" t="s">
        <v>168</v>
      </c>
      <c r="J1271" s="10">
        <v>12920</v>
      </c>
      <c r="K1271" s="7">
        <v>-12920</v>
      </c>
      <c r="L1271" s="1" t="s">
        <v>532</v>
      </c>
    </row>
    <row r="1272" spans="1:13">
      <c r="A1272" s="21" t="str">
        <f>TEXT(TEXT(B1272,"yyyymmdd"),"00000000")&amp;TEXT(COUNTIF($B$2:B1272,B1272),"00")</f>
        <v>2024031202</v>
      </c>
      <c r="B1272" s="21">
        <f t="shared" si="19"/>
        <v>45363</v>
      </c>
      <c r="C1272" s="22">
        <v>2024</v>
      </c>
      <c r="D1272" s="23">
        <v>3</v>
      </c>
      <c r="E1272" s="24">
        <v>12</v>
      </c>
      <c r="F1272" s="42" t="s">
        <v>17</v>
      </c>
      <c r="G1272" s="42" t="s">
        <v>135</v>
      </c>
      <c r="H1272" s="42" t="s">
        <v>135</v>
      </c>
      <c r="I1272" s="42" t="s">
        <v>152</v>
      </c>
      <c r="J1272" s="10">
        <v>-200000</v>
      </c>
      <c r="K1272" s="7">
        <v>200000</v>
      </c>
      <c r="L1272" s="1" t="s">
        <v>252</v>
      </c>
      <c r="M1272" s="2" t="s">
        <v>1022</v>
      </c>
    </row>
    <row r="1273" spans="1:13">
      <c r="A1273" s="21" t="str">
        <f>TEXT(TEXT(B1273,"yyyymmdd"),"00000000")&amp;TEXT(COUNTIF($B$2:B1273,B1273),"00")</f>
        <v>2024031203</v>
      </c>
      <c r="B1273" s="21">
        <f t="shared" si="19"/>
        <v>45363</v>
      </c>
      <c r="C1273" s="22">
        <v>2024</v>
      </c>
      <c r="D1273" s="23">
        <v>3</v>
      </c>
      <c r="E1273" s="24">
        <v>12</v>
      </c>
      <c r="F1273" s="42" t="s">
        <v>17</v>
      </c>
      <c r="G1273" s="42" t="s">
        <v>13</v>
      </c>
      <c r="H1273" s="42" t="s">
        <v>138</v>
      </c>
      <c r="I1273" s="42" t="s">
        <v>139</v>
      </c>
      <c r="J1273" s="10">
        <v>13000</v>
      </c>
      <c r="K1273" s="7">
        <v>-13000</v>
      </c>
      <c r="L1273" s="1" t="s">
        <v>670</v>
      </c>
    </row>
    <row r="1274" spans="1:13">
      <c r="A1274" s="21" t="str">
        <f>TEXT(TEXT(B1274,"yyyymmdd"),"00000000")&amp;TEXT(COUNTIF($B$2:B1274,B1274),"00")</f>
        <v>2024031301</v>
      </c>
      <c r="B1274" s="21">
        <f t="shared" si="19"/>
        <v>45364</v>
      </c>
      <c r="C1274" s="22">
        <v>2024</v>
      </c>
      <c r="D1274" s="23">
        <v>3</v>
      </c>
      <c r="E1274" s="24">
        <v>13</v>
      </c>
      <c r="F1274" s="42" t="s">
        <v>17</v>
      </c>
      <c r="G1274" s="42" t="s">
        <v>7</v>
      </c>
      <c r="H1274" s="42" t="s">
        <v>167</v>
      </c>
      <c r="I1274" s="42" t="s">
        <v>168</v>
      </c>
      <c r="J1274" s="10">
        <v>14700</v>
      </c>
      <c r="K1274" s="7">
        <v>-14700</v>
      </c>
      <c r="L1274" s="1" t="s">
        <v>845</v>
      </c>
      <c r="M1274" s="2" t="s">
        <v>1026</v>
      </c>
    </row>
    <row r="1275" spans="1:13">
      <c r="A1275" s="21" t="str">
        <f>TEXT(TEXT(B1275,"yyyymmdd"),"00000000")&amp;TEXT(COUNTIF($B$2:B1275,B1275),"00")</f>
        <v>2024031302</v>
      </c>
      <c r="B1275" s="21">
        <f t="shared" si="19"/>
        <v>45364</v>
      </c>
      <c r="C1275" s="22">
        <v>2024</v>
      </c>
      <c r="D1275" s="23">
        <v>3</v>
      </c>
      <c r="E1275" s="24">
        <v>13</v>
      </c>
      <c r="F1275" s="42" t="s">
        <v>17</v>
      </c>
      <c r="G1275" s="42" t="s">
        <v>170</v>
      </c>
      <c r="H1275" s="42" t="s">
        <v>114</v>
      </c>
      <c r="I1275" s="42" t="s">
        <v>1007</v>
      </c>
      <c r="J1275" s="10">
        <v>54180</v>
      </c>
      <c r="K1275" s="7">
        <v>-54180</v>
      </c>
      <c r="L1275" s="1" t="s">
        <v>1023</v>
      </c>
    </row>
    <row r="1276" spans="1:13">
      <c r="A1276" s="21" t="str">
        <f>TEXT(TEXT(B1276,"yyyymmdd"),"00000000")&amp;TEXT(COUNTIF($B$2:B1276,B1276),"00")</f>
        <v>2024031303</v>
      </c>
      <c r="B1276" s="21">
        <f t="shared" si="19"/>
        <v>45364</v>
      </c>
      <c r="C1276" s="22">
        <v>2024</v>
      </c>
      <c r="D1276" s="23">
        <v>3</v>
      </c>
      <c r="E1276" s="24">
        <v>13</v>
      </c>
      <c r="F1276" s="42" t="s">
        <v>17</v>
      </c>
      <c r="G1276" s="42" t="s">
        <v>13</v>
      </c>
      <c r="H1276" s="42" t="s">
        <v>138</v>
      </c>
      <c r="I1276" s="42" t="s">
        <v>139</v>
      </c>
      <c r="J1276" s="10">
        <v>7500</v>
      </c>
      <c r="K1276" s="7">
        <v>-7500</v>
      </c>
      <c r="L1276" s="1" t="s">
        <v>673</v>
      </c>
    </row>
    <row r="1277" spans="1:13">
      <c r="A1277" s="21" t="str">
        <f>TEXT(TEXT(B1277,"yyyymmdd"),"00000000")&amp;TEXT(COUNTIF($B$2:B1277,B1277),"00")</f>
        <v>2024031401</v>
      </c>
      <c r="B1277" s="21">
        <f t="shared" si="19"/>
        <v>45365</v>
      </c>
      <c r="C1277" s="22">
        <v>2024</v>
      </c>
      <c r="D1277" s="23">
        <v>3</v>
      </c>
      <c r="E1277" s="24">
        <v>14</v>
      </c>
      <c r="F1277" s="42" t="s">
        <v>17</v>
      </c>
      <c r="G1277" s="42" t="s">
        <v>7</v>
      </c>
      <c r="H1277" s="42" t="s">
        <v>167</v>
      </c>
      <c r="I1277" s="42" t="s">
        <v>168</v>
      </c>
      <c r="J1277" s="10">
        <v>1800</v>
      </c>
      <c r="K1277" s="7">
        <v>-1800</v>
      </c>
      <c r="L1277" s="1" t="s">
        <v>845</v>
      </c>
      <c r="M1277" s="2" t="s">
        <v>1025</v>
      </c>
    </row>
    <row r="1278" spans="1:13">
      <c r="A1278" s="21" t="str">
        <f>TEXT(TEXT(B1278,"yyyymmdd"),"00000000")&amp;TEXT(COUNTIF($B$2:B1278,B1278),"00")</f>
        <v>2024031402</v>
      </c>
      <c r="B1278" s="21">
        <f t="shared" si="19"/>
        <v>45365</v>
      </c>
      <c r="C1278" s="22">
        <v>2024</v>
      </c>
      <c r="D1278" s="23">
        <v>3</v>
      </c>
      <c r="E1278" s="24">
        <v>14</v>
      </c>
      <c r="F1278" s="42" t="s">
        <v>17</v>
      </c>
      <c r="G1278" s="42" t="s">
        <v>13</v>
      </c>
      <c r="H1278" s="42" t="s">
        <v>138</v>
      </c>
      <c r="I1278" s="42" t="s">
        <v>139</v>
      </c>
      <c r="J1278" s="10">
        <v>8100</v>
      </c>
      <c r="K1278" s="7">
        <v>-8100</v>
      </c>
      <c r="L1278" s="1" t="s">
        <v>300</v>
      </c>
    </row>
    <row r="1279" spans="1:13">
      <c r="A1279" s="21" t="str">
        <f>TEXT(TEXT(B1279,"yyyymmdd"),"00000000")&amp;TEXT(COUNTIF($B$2:B1279,B1279),"00")</f>
        <v>2024031501</v>
      </c>
      <c r="B1279" s="21">
        <f t="shared" si="19"/>
        <v>45366</v>
      </c>
      <c r="C1279" s="22">
        <v>2024</v>
      </c>
      <c r="D1279" s="23">
        <v>3</v>
      </c>
      <c r="E1279" s="24">
        <v>15</v>
      </c>
      <c r="F1279" s="42" t="s">
        <v>17</v>
      </c>
      <c r="G1279" s="42" t="s">
        <v>13</v>
      </c>
      <c r="H1279" s="42" t="s">
        <v>138</v>
      </c>
      <c r="I1279" s="42" t="s">
        <v>139</v>
      </c>
      <c r="J1279" s="10">
        <v>10000</v>
      </c>
      <c r="K1279" s="7">
        <v>-10000</v>
      </c>
      <c r="L1279" s="1" t="s">
        <v>1027</v>
      </c>
      <c r="M1279" s="2" t="s">
        <v>1028</v>
      </c>
    </row>
    <row r="1280" spans="1:13">
      <c r="A1280" s="21" t="str">
        <f>TEXT(TEXT(B1280,"yyyymmdd"),"00000000")&amp;TEXT(COUNTIF($B$2:B1280,B1280),"00")</f>
        <v>2024031502</v>
      </c>
      <c r="B1280" s="21">
        <f t="shared" si="19"/>
        <v>45366</v>
      </c>
      <c r="C1280" s="22">
        <v>2024</v>
      </c>
      <c r="D1280" s="23">
        <v>3</v>
      </c>
      <c r="E1280" s="24">
        <v>15</v>
      </c>
      <c r="F1280" s="42" t="s">
        <v>17</v>
      </c>
      <c r="G1280" s="42" t="s">
        <v>13</v>
      </c>
      <c r="H1280" s="42" t="s">
        <v>138</v>
      </c>
      <c r="I1280" s="42" t="s">
        <v>139</v>
      </c>
      <c r="J1280" s="10">
        <v>6000</v>
      </c>
      <c r="K1280" s="7">
        <v>-6000</v>
      </c>
      <c r="L1280" s="1" t="s">
        <v>634</v>
      </c>
    </row>
    <row r="1281" spans="1:13">
      <c r="A1281" s="21" t="str">
        <f>TEXT(TEXT(B1281,"yyyymmdd"),"00000000")&amp;TEXT(COUNTIF($B$2:B1281,B1281),"00")</f>
        <v>2024031503</v>
      </c>
      <c r="B1281" s="21">
        <f t="shared" si="19"/>
        <v>45366</v>
      </c>
      <c r="C1281" s="22">
        <v>2024</v>
      </c>
      <c r="D1281" s="23">
        <v>3</v>
      </c>
      <c r="E1281" s="24">
        <v>15</v>
      </c>
      <c r="F1281" s="42" t="s">
        <v>17</v>
      </c>
      <c r="G1281" s="42" t="s">
        <v>13</v>
      </c>
      <c r="H1281" s="42" t="s">
        <v>138</v>
      </c>
      <c r="I1281" s="42" t="s">
        <v>139</v>
      </c>
      <c r="J1281" s="10">
        <v>9000</v>
      </c>
      <c r="K1281" s="7">
        <v>-9000</v>
      </c>
      <c r="L1281" s="1" t="s">
        <v>738</v>
      </c>
    </row>
    <row r="1282" spans="1:13">
      <c r="A1282" s="21" t="str">
        <f>TEXT(TEXT(B1282,"yyyymmdd"),"00000000")&amp;TEXT(COUNTIF($B$2:B1282,B1282),"00")</f>
        <v>2024031601</v>
      </c>
      <c r="B1282" s="21">
        <f t="shared" ref="B1282:B1345" si="20">DATE(C1282,D1282,E1282)</f>
        <v>45367</v>
      </c>
      <c r="C1282" s="22">
        <v>2024</v>
      </c>
      <c r="D1282" s="23">
        <v>3</v>
      </c>
      <c r="E1282" s="24">
        <v>16</v>
      </c>
      <c r="F1282" s="42" t="s">
        <v>17</v>
      </c>
      <c r="G1282" s="42" t="s">
        <v>7</v>
      </c>
      <c r="H1282" s="42" t="s">
        <v>138</v>
      </c>
      <c r="I1282" s="42" t="s">
        <v>139</v>
      </c>
      <c r="J1282" s="10">
        <v>21000</v>
      </c>
      <c r="K1282" s="7">
        <v>-21000</v>
      </c>
      <c r="L1282" s="1" t="s">
        <v>1030</v>
      </c>
      <c r="M1282" s="2" t="s">
        <v>1031</v>
      </c>
    </row>
    <row r="1283" spans="1:13">
      <c r="A1283" s="21" t="str">
        <f>TEXT(TEXT(B1283,"yyyymmdd"),"00000000")&amp;TEXT(COUNTIF($B$2:B1283,B1283),"00")</f>
        <v>2024031602</v>
      </c>
      <c r="B1283" s="21">
        <f t="shared" si="20"/>
        <v>45367</v>
      </c>
      <c r="C1283" s="22">
        <v>2024</v>
      </c>
      <c r="D1283" s="23">
        <v>3</v>
      </c>
      <c r="E1283" s="24">
        <v>16</v>
      </c>
      <c r="F1283" s="42" t="s">
        <v>17</v>
      </c>
      <c r="G1283" s="42" t="s">
        <v>7</v>
      </c>
      <c r="H1283" s="42" t="s">
        <v>119</v>
      </c>
      <c r="I1283" s="42" t="s">
        <v>180</v>
      </c>
      <c r="J1283" s="10">
        <v>20000</v>
      </c>
      <c r="K1283" s="7">
        <v>-20000</v>
      </c>
      <c r="L1283" s="1" t="s">
        <v>181</v>
      </c>
      <c r="M1283" s="2" t="s">
        <v>1029</v>
      </c>
    </row>
    <row r="1284" spans="1:13">
      <c r="A1284" s="21" t="str">
        <f>TEXT(TEXT(B1284,"yyyymmdd"),"00000000")&amp;TEXT(COUNTIF($B$2:B1284,B1284),"00")</f>
        <v>2024031701</v>
      </c>
      <c r="B1284" s="21">
        <f t="shared" si="20"/>
        <v>45368</v>
      </c>
      <c r="C1284" s="22">
        <v>2024</v>
      </c>
      <c r="D1284" s="23">
        <v>3</v>
      </c>
      <c r="E1284" s="24">
        <v>17</v>
      </c>
      <c r="F1284" s="42" t="s">
        <v>17</v>
      </c>
      <c r="G1284" s="42" t="s">
        <v>7</v>
      </c>
      <c r="H1284" s="42" t="s">
        <v>116</v>
      </c>
      <c r="I1284" s="42" t="s">
        <v>217</v>
      </c>
      <c r="J1284" s="10">
        <v>6000</v>
      </c>
      <c r="K1284" s="7">
        <v>-6000</v>
      </c>
      <c r="L1284" s="1" t="s">
        <v>586</v>
      </c>
    </row>
    <row r="1285" spans="1:13">
      <c r="A1285" s="21" t="str">
        <f>TEXT(TEXT(B1285,"yyyymmdd"),"00000000")&amp;TEXT(COUNTIF($B$2:B1285,B1285),"00")</f>
        <v>2024031702</v>
      </c>
      <c r="B1285" s="21">
        <f t="shared" si="20"/>
        <v>45368</v>
      </c>
      <c r="C1285" s="22">
        <v>2024</v>
      </c>
      <c r="D1285" s="23">
        <v>3</v>
      </c>
      <c r="E1285" s="24">
        <v>17</v>
      </c>
      <c r="F1285" s="42" t="s">
        <v>17</v>
      </c>
      <c r="G1285" s="42" t="s">
        <v>7</v>
      </c>
      <c r="H1285" s="42" t="s">
        <v>167</v>
      </c>
      <c r="I1285" s="42" t="s">
        <v>545</v>
      </c>
      <c r="J1285" s="10">
        <v>20000</v>
      </c>
      <c r="K1285" s="7">
        <v>-20000</v>
      </c>
      <c r="L1285" s="1" t="s">
        <v>1032</v>
      </c>
      <c r="M1285" s="2" t="s">
        <v>1033</v>
      </c>
    </row>
    <row r="1286" spans="1:13">
      <c r="A1286" s="21" t="str">
        <f>TEXT(TEXT(B1286,"yyyymmdd"),"00000000")&amp;TEXT(COUNTIF($B$2:B1286,B1286),"00")</f>
        <v>2024031703</v>
      </c>
      <c r="B1286" s="21">
        <f t="shared" si="20"/>
        <v>45368</v>
      </c>
      <c r="C1286" s="22">
        <v>2024</v>
      </c>
      <c r="D1286" s="23">
        <v>3</v>
      </c>
      <c r="E1286" s="24">
        <v>17</v>
      </c>
      <c r="F1286" s="42" t="s">
        <v>17</v>
      </c>
      <c r="G1286" s="42" t="s">
        <v>13</v>
      </c>
      <c r="H1286" s="42" t="s">
        <v>167</v>
      </c>
      <c r="I1286" s="42" t="s">
        <v>214</v>
      </c>
      <c r="J1286" s="10">
        <v>1650</v>
      </c>
      <c r="K1286" s="7">
        <v>-1650</v>
      </c>
      <c r="L1286" s="1" t="s">
        <v>957</v>
      </c>
    </row>
    <row r="1287" spans="1:13">
      <c r="A1287" s="21" t="str">
        <f>TEXT(TEXT(B1287,"yyyymmdd"),"00000000")&amp;TEXT(COUNTIF($B$2:B1287,B1287),"00")</f>
        <v>2024031801</v>
      </c>
      <c r="B1287" s="21">
        <f t="shared" si="20"/>
        <v>45369</v>
      </c>
      <c r="C1287" s="22">
        <v>2024</v>
      </c>
      <c r="D1287" s="23">
        <v>3</v>
      </c>
      <c r="E1287" s="24">
        <v>18</v>
      </c>
      <c r="F1287" s="42" t="s">
        <v>17</v>
      </c>
      <c r="G1287" s="42" t="s">
        <v>7</v>
      </c>
      <c r="H1287" s="42" t="s">
        <v>167</v>
      </c>
      <c r="I1287" s="42" t="s">
        <v>168</v>
      </c>
      <c r="J1287" s="10">
        <v>14100</v>
      </c>
      <c r="K1287" s="7">
        <v>-14100</v>
      </c>
      <c r="L1287" s="1" t="s">
        <v>532</v>
      </c>
      <c r="M1287" s="2" t="s">
        <v>1037</v>
      </c>
    </row>
    <row r="1288" spans="1:13">
      <c r="A1288" s="21" t="str">
        <f>TEXT(TEXT(B1288,"yyyymmdd"),"00000000")&amp;TEXT(COUNTIF($B$2:B1288,B1288),"00")</f>
        <v>2024031802</v>
      </c>
      <c r="B1288" s="21">
        <f t="shared" si="20"/>
        <v>45369</v>
      </c>
      <c r="C1288" s="22">
        <v>2024</v>
      </c>
      <c r="D1288" s="23">
        <v>3</v>
      </c>
      <c r="E1288" s="24">
        <v>18</v>
      </c>
      <c r="F1288" s="42" t="s">
        <v>17</v>
      </c>
      <c r="G1288" s="42" t="s">
        <v>7</v>
      </c>
      <c r="H1288" s="42" t="s">
        <v>155</v>
      </c>
      <c r="I1288" s="42" t="s">
        <v>221</v>
      </c>
      <c r="J1288" s="10">
        <v>29060</v>
      </c>
      <c r="K1288" s="7">
        <v>-29060</v>
      </c>
      <c r="L1288" s="1" t="s">
        <v>1035</v>
      </c>
    </row>
    <row r="1289" spans="1:13">
      <c r="A1289" s="21" t="str">
        <f>TEXT(TEXT(B1289,"yyyymmdd"),"00000000")&amp;TEXT(COUNTIF($B$2:B1289,B1289),"00")</f>
        <v>2024031803</v>
      </c>
      <c r="B1289" s="21">
        <f t="shared" si="20"/>
        <v>45369</v>
      </c>
      <c r="C1289" s="22">
        <v>2024</v>
      </c>
      <c r="D1289" s="23">
        <v>3</v>
      </c>
      <c r="E1289" s="24">
        <v>18</v>
      </c>
      <c r="F1289" s="42" t="s">
        <v>17</v>
      </c>
      <c r="G1289" s="42" t="s">
        <v>13</v>
      </c>
      <c r="H1289" s="42" t="s">
        <v>138</v>
      </c>
      <c r="I1289" s="42" t="s">
        <v>139</v>
      </c>
      <c r="J1289" s="10">
        <v>15000</v>
      </c>
      <c r="K1289" s="7">
        <v>-15000</v>
      </c>
      <c r="L1289" s="1" t="s">
        <v>679</v>
      </c>
      <c r="M1289" s="2" t="s">
        <v>1036</v>
      </c>
    </row>
    <row r="1290" spans="1:13">
      <c r="A1290" s="21" t="str">
        <f>TEXT(TEXT(B1290,"yyyymmdd"),"00000000")&amp;TEXT(COUNTIF($B$2:B1290,B1290),"00")</f>
        <v>2024031901</v>
      </c>
      <c r="B1290" s="21">
        <f t="shared" si="20"/>
        <v>45370</v>
      </c>
      <c r="C1290" s="22">
        <v>2024</v>
      </c>
      <c r="D1290" s="23">
        <v>3</v>
      </c>
      <c r="E1290" s="24">
        <v>19</v>
      </c>
      <c r="F1290" s="42" t="s">
        <v>17</v>
      </c>
      <c r="G1290" s="42" t="s">
        <v>13</v>
      </c>
      <c r="H1290" s="42" t="s">
        <v>138</v>
      </c>
      <c r="I1290" s="42" t="s">
        <v>139</v>
      </c>
      <c r="J1290" s="10">
        <v>10500</v>
      </c>
      <c r="K1290" s="7">
        <v>-10500</v>
      </c>
      <c r="L1290" s="1" t="s">
        <v>993</v>
      </c>
    </row>
    <row r="1291" spans="1:13">
      <c r="A1291" s="21" t="str">
        <f>TEXT(TEXT(B1291,"yyyymmdd"),"00000000")&amp;TEXT(COUNTIF($B$2:B1291,B1291),"00")</f>
        <v>2024031902</v>
      </c>
      <c r="B1291" s="21">
        <f t="shared" si="20"/>
        <v>45370</v>
      </c>
      <c r="C1291" s="22">
        <v>2024</v>
      </c>
      <c r="D1291" s="23">
        <v>3</v>
      </c>
      <c r="E1291" s="24">
        <v>19</v>
      </c>
      <c r="F1291" s="42" t="s">
        <v>17</v>
      </c>
      <c r="G1291" s="42" t="s">
        <v>13</v>
      </c>
      <c r="H1291" s="42" t="s">
        <v>138</v>
      </c>
      <c r="I1291" s="42" t="s">
        <v>139</v>
      </c>
      <c r="J1291" s="10">
        <v>20700</v>
      </c>
      <c r="K1291" s="7">
        <v>-20700</v>
      </c>
      <c r="L1291" s="1" t="s">
        <v>862</v>
      </c>
    </row>
    <row r="1292" spans="1:13">
      <c r="A1292" s="21" t="str">
        <f>TEXT(TEXT(B1292,"yyyymmdd"),"00000000")&amp;TEXT(COUNTIF($B$2:B1292,B1292),"00")</f>
        <v>2024032001</v>
      </c>
      <c r="B1292" s="21">
        <f t="shared" si="20"/>
        <v>45371</v>
      </c>
      <c r="C1292" s="22">
        <v>2024</v>
      </c>
      <c r="D1292" s="23">
        <v>3</v>
      </c>
      <c r="E1292" s="24">
        <v>20</v>
      </c>
      <c r="F1292" s="42" t="s">
        <v>17</v>
      </c>
      <c r="G1292" s="42" t="s">
        <v>7</v>
      </c>
      <c r="H1292" s="42" t="s">
        <v>155</v>
      </c>
      <c r="I1292" s="42" t="s">
        <v>221</v>
      </c>
      <c r="J1292" s="10">
        <v>130000</v>
      </c>
      <c r="K1292" s="7">
        <v>-130000</v>
      </c>
      <c r="L1292" s="1" t="s">
        <v>1038</v>
      </c>
      <c r="M1292" s="2" t="s">
        <v>910</v>
      </c>
    </row>
    <row r="1293" spans="1:13">
      <c r="A1293" s="21" t="str">
        <f>TEXT(TEXT(B1293,"yyyymmdd"),"00000000")&amp;TEXT(COUNTIF($B$2:B1293,B1293),"00")</f>
        <v>2024032002</v>
      </c>
      <c r="B1293" s="21">
        <f t="shared" si="20"/>
        <v>45371</v>
      </c>
      <c r="C1293" s="22">
        <v>2024</v>
      </c>
      <c r="D1293" s="23">
        <v>3</v>
      </c>
      <c r="E1293" s="24">
        <v>20</v>
      </c>
      <c r="F1293" s="42" t="s">
        <v>17</v>
      </c>
      <c r="G1293" s="42" t="s">
        <v>135</v>
      </c>
      <c r="H1293" s="42" t="s">
        <v>135</v>
      </c>
      <c r="I1293" s="42" t="s">
        <v>143</v>
      </c>
      <c r="J1293" s="10">
        <v>-1</v>
      </c>
      <c r="K1293" s="7">
        <v>1</v>
      </c>
      <c r="L1293" s="1" t="s">
        <v>551</v>
      </c>
    </row>
    <row r="1294" spans="1:13">
      <c r="A1294" s="21" t="str">
        <f>TEXT(TEXT(B1294,"yyyymmdd"),"00000000")&amp;TEXT(COUNTIF($B$2:B1294,B1294),"00")</f>
        <v>2024032003</v>
      </c>
      <c r="B1294" s="21">
        <f t="shared" si="20"/>
        <v>45371</v>
      </c>
      <c r="C1294" s="22">
        <v>2024</v>
      </c>
      <c r="D1294" s="23">
        <v>3</v>
      </c>
      <c r="E1294" s="24">
        <v>20</v>
      </c>
      <c r="F1294" s="42" t="s">
        <v>17</v>
      </c>
      <c r="G1294" s="42" t="s">
        <v>13</v>
      </c>
      <c r="H1294" s="42" t="s">
        <v>138</v>
      </c>
      <c r="I1294" s="42" t="s">
        <v>139</v>
      </c>
      <c r="J1294" s="10">
        <v>1000</v>
      </c>
      <c r="K1294" s="7">
        <v>-1000</v>
      </c>
      <c r="L1294" s="1" t="s">
        <v>619</v>
      </c>
    </row>
    <row r="1295" spans="1:13">
      <c r="A1295" s="21" t="str">
        <f>TEXT(TEXT(B1295,"yyyymmdd"),"00000000")&amp;TEXT(COUNTIF($B$2:B1295,B1295),"00")</f>
        <v>2024032004</v>
      </c>
      <c r="B1295" s="21">
        <f t="shared" si="20"/>
        <v>45371</v>
      </c>
      <c r="C1295" s="22">
        <v>2024</v>
      </c>
      <c r="D1295" s="23">
        <v>3</v>
      </c>
      <c r="E1295" s="24">
        <v>20</v>
      </c>
      <c r="F1295" s="42" t="s">
        <v>17</v>
      </c>
      <c r="G1295" s="42" t="s">
        <v>7</v>
      </c>
      <c r="H1295" s="42" t="s">
        <v>110</v>
      </c>
      <c r="I1295" s="42" t="s">
        <v>122</v>
      </c>
      <c r="J1295" s="10">
        <v>3600</v>
      </c>
      <c r="K1295" s="7">
        <v>-3600</v>
      </c>
      <c r="L1295" s="1" t="s">
        <v>1039</v>
      </c>
      <c r="M1295" s="2" t="s">
        <v>1036</v>
      </c>
    </row>
    <row r="1296" spans="1:13">
      <c r="A1296" s="21" t="str">
        <f>TEXT(TEXT(B1296,"yyyymmdd"),"00000000")&amp;TEXT(COUNTIF($B$2:B1296,B1296),"00")</f>
        <v>2024032005</v>
      </c>
      <c r="B1296" s="21">
        <f t="shared" si="20"/>
        <v>45371</v>
      </c>
      <c r="C1296" s="22">
        <v>2024</v>
      </c>
      <c r="D1296" s="23">
        <v>3</v>
      </c>
      <c r="E1296" s="24">
        <v>20</v>
      </c>
      <c r="F1296" s="42" t="s">
        <v>17</v>
      </c>
      <c r="G1296" s="42" t="s">
        <v>13</v>
      </c>
      <c r="H1296" s="42" t="s">
        <v>138</v>
      </c>
      <c r="I1296" s="42" t="s">
        <v>139</v>
      </c>
      <c r="J1296" s="10">
        <v>9650</v>
      </c>
      <c r="K1296" s="7">
        <v>-9650</v>
      </c>
      <c r="L1296" s="1" t="s">
        <v>750</v>
      </c>
    </row>
    <row r="1297" spans="1:13">
      <c r="A1297" s="21" t="str">
        <f>TEXT(TEXT(B1297,"yyyymmdd"),"00000000")&amp;TEXT(COUNTIF($B$2:B1297,B1297),"00")</f>
        <v>2024032006</v>
      </c>
      <c r="B1297" s="21">
        <f t="shared" si="20"/>
        <v>45371</v>
      </c>
      <c r="C1297" s="22">
        <v>2024</v>
      </c>
      <c r="D1297" s="23">
        <v>3</v>
      </c>
      <c r="E1297" s="24">
        <v>20</v>
      </c>
      <c r="F1297" s="42" t="s">
        <v>17</v>
      </c>
      <c r="G1297" s="42" t="s">
        <v>170</v>
      </c>
      <c r="H1297" s="42" t="s">
        <v>114</v>
      </c>
      <c r="I1297" s="42" t="s">
        <v>1005</v>
      </c>
      <c r="J1297" s="10">
        <v>14590</v>
      </c>
      <c r="K1297" s="7">
        <v>-14590</v>
      </c>
      <c r="L1297" s="1" t="s">
        <v>1006</v>
      </c>
    </row>
    <row r="1298" spans="1:13">
      <c r="A1298" s="21" t="str">
        <f>TEXT(TEXT(B1298,"yyyymmdd"),"00000000")&amp;TEXT(COUNTIF($B$2:B1298,B1298),"00")</f>
        <v>2024032101</v>
      </c>
      <c r="B1298" s="21">
        <f t="shared" si="20"/>
        <v>45372</v>
      </c>
      <c r="C1298" s="22">
        <v>2024</v>
      </c>
      <c r="D1298" s="23">
        <v>3</v>
      </c>
      <c r="E1298" s="24">
        <v>21</v>
      </c>
      <c r="F1298" s="42" t="s">
        <v>17</v>
      </c>
      <c r="G1298" s="42" t="s">
        <v>13</v>
      </c>
      <c r="H1298" s="42" t="s">
        <v>138</v>
      </c>
      <c r="I1298" s="42" t="s">
        <v>139</v>
      </c>
      <c r="J1298" s="10">
        <v>8500</v>
      </c>
      <c r="K1298" s="7">
        <v>-8500</v>
      </c>
      <c r="L1298" s="1" t="s">
        <v>738</v>
      </c>
    </row>
    <row r="1299" spans="1:13">
      <c r="A1299" s="21" t="str">
        <f>TEXT(TEXT(B1299,"yyyymmdd"),"00000000")&amp;TEXT(COUNTIF($B$2:B1299,B1299),"00")</f>
        <v>2024032102</v>
      </c>
      <c r="B1299" s="21">
        <f t="shared" si="20"/>
        <v>45372</v>
      </c>
      <c r="C1299" s="22">
        <v>2024</v>
      </c>
      <c r="D1299" s="23">
        <v>3</v>
      </c>
      <c r="E1299" s="24">
        <v>21</v>
      </c>
      <c r="F1299" s="42" t="s">
        <v>17</v>
      </c>
      <c r="G1299" s="42" t="s">
        <v>13</v>
      </c>
      <c r="H1299" s="42" t="s">
        <v>138</v>
      </c>
      <c r="I1299" s="42" t="s">
        <v>139</v>
      </c>
      <c r="J1299" s="10">
        <v>4000</v>
      </c>
      <c r="K1299" s="7">
        <v>-4000</v>
      </c>
      <c r="L1299" s="1" t="s">
        <v>822</v>
      </c>
    </row>
    <row r="1300" spans="1:13">
      <c r="A1300" s="21" t="str">
        <f>TEXT(TEXT(B1300,"yyyymmdd"),"00000000")&amp;TEXT(COUNTIF($B$2:B1300,B1300),"00")</f>
        <v>2024032201</v>
      </c>
      <c r="B1300" s="21">
        <f t="shared" si="20"/>
        <v>45373</v>
      </c>
      <c r="C1300" s="22">
        <v>2024</v>
      </c>
      <c r="D1300" s="23">
        <v>3</v>
      </c>
      <c r="E1300" s="24">
        <v>22</v>
      </c>
      <c r="F1300" s="42" t="s">
        <v>17</v>
      </c>
      <c r="G1300" s="42" t="s">
        <v>13</v>
      </c>
      <c r="H1300" s="42" t="s">
        <v>138</v>
      </c>
      <c r="I1300" s="42" t="s">
        <v>139</v>
      </c>
      <c r="J1300" s="10">
        <v>7500</v>
      </c>
      <c r="K1300" s="7">
        <v>-7500</v>
      </c>
      <c r="L1300" s="1" t="s">
        <v>677</v>
      </c>
    </row>
    <row r="1301" spans="1:13">
      <c r="A1301" s="21" t="str">
        <f>TEXT(TEXT(B1301,"yyyymmdd"),"00000000")&amp;TEXT(COUNTIF($B$2:B1301,B1301),"00")</f>
        <v>2024032202</v>
      </c>
      <c r="B1301" s="21">
        <f t="shared" si="20"/>
        <v>45373</v>
      </c>
      <c r="C1301" s="22">
        <v>2024</v>
      </c>
      <c r="D1301" s="23">
        <v>3</v>
      </c>
      <c r="E1301" s="24">
        <v>22</v>
      </c>
      <c r="F1301" s="42" t="s">
        <v>17</v>
      </c>
      <c r="G1301" s="42" t="s">
        <v>13</v>
      </c>
      <c r="H1301" s="42" t="s">
        <v>138</v>
      </c>
      <c r="I1301" s="42" t="s">
        <v>139</v>
      </c>
      <c r="J1301" s="10">
        <v>7200</v>
      </c>
      <c r="K1301" s="7">
        <v>-7200</v>
      </c>
      <c r="L1301" s="1" t="s">
        <v>634</v>
      </c>
    </row>
    <row r="1302" spans="1:13">
      <c r="A1302" s="21" t="str">
        <f>TEXT(TEXT(B1302,"yyyymmdd"),"00000000")&amp;TEXT(COUNTIF($B$2:B1302,B1302),"00")</f>
        <v>2024032203</v>
      </c>
      <c r="B1302" s="21">
        <f t="shared" si="20"/>
        <v>45373</v>
      </c>
      <c r="C1302" s="22">
        <v>2024</v>
      </c>
      <c r="D1302" s="23">
        <v>3</v>
      </c>
      <c r="E1302" s="24">
        <v>22</v>
      </c>
      <c r="F1302" s="42" t="s">
        <v>17</v>
      </c>
      <c r="G1302" s="42" t="s">
        <v>7</v>
      </c>
      <c r="H1302" s="42" t="s">
        <v>115</v>
      </c>
      <c r="I1302" s="42" t="s">
        <v>630</v>
      </c>
      <c r="J1302" s="10">
        <v>10000</v>
      </c>
      <c r="K1302" s="7">
        <v>-10000</v>
      </c>
      <c r="L1302" s="1" t="s">
        <v>631</v>
      </c>
    </row>
    <row r="1303" spans="1:13">
      <c r="A1303" s="21" t="str">
        <f>TEXT(TEXT(B1303,"yyyymmdd"),"00000000")&amp;TEXT(COUNTIF($B$2:B1303,B1303),"00")</f>
        <v>2024032204</v>
      </c>
      <c r="B1303" s="21">
        <f t="shared" si="20"/>
        <v>45373</v>
      </c>
      <c r="C1303" s="22">
        <v>2024</v>
      </c>
      <c r="D1303" s="23">
        <v>3</v>
      </c>
      <c r="E1303" s="24">
        <v>22</v>
      </c>
      <c r="F1303" s="42" t="s">
        <v>17</v>
      </c>
      <c r="G1303" s="42" t="s">
        <v>7</v>
      </c>
      <c r="H1303" s="42" t="s">
        <v>110</v>
      </c>
      <c r="I1303" s="42" t="s">
        <v>120</v>
      </c>
      <c r="J1303" s="10">
        <v>7000</v>
      </c>
      <c r="K1303" s="7">
        <v>-7000</v>
      </c>
      <c r="L1303" s="1" t="s">
        <v>871</v>
      </c>
    </row>
    <row r="1304" spans="1:13">
      <c r="A1304" s="21" t="str">
        <f>TEXT(TEXT(B1304,"yyyymmdd"),"00000000")&amp;TEXT(COUNTIF($B$2:B1304,B1304),"00")</f>
        <v>2024032501</v>
      </c>
      <c r="B1304" s="21">
        <f t="shared" si="20"/>
        <v>45376</v>
      </c>
      <c r="C1304" s="22">
        <v>2024</v>
      </c>
      <c r="D1304" s="23">
        <v>3</v>
      </c>
      <c r="E1304" s="24">
        <v>25</v>
      </c>
      <c r="F1304" s="42" t="s">
        <v>17</v>
      </c>
      <c r="G1304" s="42" t="s">
        <v>7</v>
      </c>
      <c r="H1304" s="42" t="s">
        <v>155</v>
      </c>
      <c r="I1304" s="42" t="s">
        <v>221</v>
      </c>
      <c r="J1304" s="10">
        <v>13000</v>
      </c>
      <c r="K1304" s="7">
        <v>-13000</v>
      </c>
      <c r="L1304" s="1" t="s">
        <v>301</v>
      </c>
      <c r="M1304" s="2" t="s">
        <v>1040</v>
      </c>
    </row>
    <row r="1305" spans="1:13">
      <c r="A1305" s="21" t="str">
        <f>TEXT(TEXT(B1305,"yyyymmdd"),"00000000")&amp;TEXT(COUNTIF($B$2:B1305,B1305),"00")</f>
        <v>2024032502</v>
      </c>
      <c r="B1305" s="21">
        <f t="shared" si="20"/>
        <v>45376</v>
      </c>
      <c r="C1305" s="22">
        <v>2024</v>
      </c>
      <c r="D1305" s="23">
        <v>3</v>
      </c>
      <c r="E1305" s="24">
        <v>25</v>
      </c>
      <c r="F1305" s="42" t="s">
        <v>17</v>
      </c>
      <c r="G1305" s="42" t="s">
        <v>13</v>
      </c>
      <c r="H1305" s="42" t="s">
        <v>138</v>
      </c>
      <c r="I1305" s="42" t="s">
        <v>139</v>
      </c>
      <c r="J1305" s="10">
        <v>7500</v>
      </c>
      <c r="K1305" s="7">
        <v>-7500</v>
      </c>
      <c r="L1305" s="1" t="s">
        <v>673</v>
      </c>
    </row>
    <row r="1306" spans="1:13">
      <c r="A1306" s="21" t="str">
        <f>TEXT(TEXT(B1306,"yyyymmdd"),"00000000")&amp;TEXT(COUNTIF($B$2:B1306,B1306),"00")</f>
        <v>2024032601</v>
      </c>
      <c r="B1306" s="21">
        <f t="shared" si="20"/>
        <v>45377</v>
      </c>
      <c r="C1306" s="22">
        <v>2024</v>
      </c>
      <c r="D1306" s="23">
        <v>3</v>
      </c>
      <c r="E1306" s="24">
        <v>26</v>
      </c>
      <c r="F1306" s="42" t="s">
        <v>17</v>
      </c>
      <c r="G1306" s="42" t="s">
        <v>7</v>
      </c>
      <c r="H1306" s="42" t="s">
        <v>167</v>
      </c>
      <c r="I1306" s="42" t="s">
        <v>168</v>
      </c>
      <c r="J1306" s="10">
        <v>4100</v>
      </c>
      <c r="K1306" s="7">
        <v>-4100</v>
      </c>
      <c r="L1306" s="1" t="s">
        <v>532</v>
      </c>
      <c r="M1306" s="2" t="s">
        <v>672</v>
      </c>
    </row>
    <row r="1307" spans="1:13">
      <c r="A1307" s="21" t="str">
        <f>TEXT(TEXT(B1307,"yyyymmdd"),"00000000")&amp;TEXT(COUNTIF($B$2:B1307,B1307),"00")</f>
        <v>2024032602</v>
      </c>
      <c r="B1307" s="21">
        <f t="shared" si="20"/>
        <v>45377</v>
      </c>
      <c r="C1307" s="22">
        <v>2024</v>
      </c>
      <c r="D1307" s="23">
        <v>3</v>
      </c>
      <c r="E1307" s="24">
        <v>26</v>
      </c>
      <c r="F1307" s="42" t="s">
        <v>17</v>
      </c>
      <c r="G1307" s="42" t="s">
        <v>13</v>
      </c>
      <c r="H1307" s="42" t="s">
        <v>138</v>
      </c>
      <c r="I1307" s="42" t="s">
        <v>139</v>
      </c>
      <c r="J1307" s="10">
        <v>9500</v>
      </c>
      <c r="K1307" s="7">
        <v>-9500</v>
      </c>
      <c r="L1307" s="1" t="s">
        <v>670</v>
      </c>
    </row>
    <row r="1308" spans="1:13">
      <c r="A1308" s="21" t="str">
        <f>TEXT(TEXT(B1308,"yyyymmdd"),"00000000")&amp;TEXT(COUNTIF($B$2:B1308,B1308),"00")</f>
        <v>2024032603</v>
      </c>
      <c r="B1308" s="21">
        <f t="shared" si="20"/>
        <v>45377</v>
      </c>
      <c r="C1308" s="22">
        <v>2024</v>
      </c>
      <c r="D1308" s="23">
        <v>3</v>
      </c>
      <c r="E1308" s="24">
        <v>26</v>
      </c>
      <c r="F1308" s="42" t="s">
        <v>17</v>
      </c>
      <c r="G1308" s="42" t="s">
        <v>13</v>
      </c>
      <c r="H1308" s="42" t="s">
        <v>138</v>
      </c>
      <c r="I1308" s="42" t="s">
        <v>139</v>
      </c>
      <c r="J1308" s="10">
        <v>9000</v>
      </c>
      <c r="K1308" s="7">
        <v>-9000</v>
      </c>
      <c r="L1308" s="1" t="s">
        <v>660</v>
      </c>
    </row>
    <row r="1309" spans="1:13">
      <c r="A1309" s="21" t="str">
        <f>TEXT(TEXT(B1309,"yyyymmdd"),"00000000")&amp;TEXT(COUNTIF($B$2:B1309,B1309),"00")</f>
        <v>2024032701</v>
      </c>
      <c r="B1309" s="21">
        <f t="shared" si="20"/>
        <v>45378</v>
      </c>
      <c r="C1309" s="22">
        <v>2024</v>
      </c>
      <c r="D1309" s="23">
        <v>3</v>
      </c>
      <c r="E1309" s="24">
        <v>27</v>
      </c>
      <c r="F1309" s="42" t="s">
        <v>17</v>
      </c>
      <c r="G1309" s="42" t="s">
        <v>7</v>
      </c>
      <c r="H1309" s="42" t="s">
        <v>110</v>
      </c>
      <c r="I1309" s="42" t="s">
        <v>124</v>
      </c>
      <c r="J1309" s="10">
        <v>1850</v>
      </c>
      <c r="K1309" s="7">
        <v>-1850</v>
      </c>
      <c r="L1309" s="1" t="s">
        <v>706</v>
      </c>
      <c r="M1309" s="2" t="s">
        <v>632</v>
      </c>
    </row>
    <row r="1310" spans="1:13">
      <c r="A1310" s="21" t="str">
        <f>TEXT(TEXT(B1310,"yyyymmdd"),"00000000")&amp;TEXT(COUNTIF($B$2:B1310,B1310),"00")</f>
        <v>2024032702</v>
      </c>
      <c r="B1310" s="21">
        <f t="shared" si="20"/>
        <v>45378</v>
      </c>
      <c r="C1310" s="22">
        <v>2024</v>
      </c>
      <c r="D1310" s="23">
        <v>3</v>
      </c>
      <c r="E1310" s="24">
        <v>27</v>
      </c>
      <c r="F1310" s="42" t="s">
        <v>17</v>
      </c>
      <c r="G1310" s="42" t="s">
        <v>13</v>
      </c>
      <c r="H1310" s="42" t="s">
        <v>138</v>
      </c>
      <c r="I1310" s="42" t="s">
        <v>139</v>
      </c>
      <c r="J1310" s="10">
        <v>5950</v>
      </c>
      <c r="K1310" s="7">
        <v>-5950</v>
      </c>
      <c r="L1310" s="1" t="s">
        <v>864</v>
      </c>
    </row>
    <row r="1311" spans="1:13">
      <c r="A1311" s="21" t="str">
        <f>TEXT(TEXT(B1311,"yyyymmdd"),"00000000")&amp;TEXT(COUNTIF($B$2:B1311,B1311),"00")</f>
        <v>2024032801</v>
      </c>
      <c r="B1311" s="21">
        <f t="shared" si="20"/>
        <v>45379</v>
      </c>
      <c r="C1311" s="22">
        <v>2024</v>
      </c>
      <c r="D1311" s="23">
        <v>3</v>
      </c>
      <c r="E1311" s="24">
        <v>28</v>
      </c>
      <c r="F1311" s="42" t="s">
        <v>17</v>
      </c>
      <c r="G1311" s="42" t="s">
        <v>13</v>
      </c>
      <c r="H1311" s="42" t="s">
        <v>138</v>
      </c>
      <c r="I1311" s="42" t="s">
        <v>139</v>
      </c>
      <c r="J1311" s="10">
        <v>11000</v>
      </c>
      <c r="K1311" s="7">
        <v>-11000</v>
      </c>
      <c r="L1311" s="1" t="s">
        <v>701</v>
      </c>
    </row>
    <row r="1312" spans="1:13">
      <c r="A1312" s="21" t="str">
        <f>TEXT(TEXT(B1312,"yyyymmdd"),"00000000")&amp;TEXT(COUNTIF($B$2:B1312,B1312),"00")</f>
        <v>2024032802</v>
      </c>
      <c r="B1312" s="21">
        <f t="shared" si="20"/>
        <v>45379</v>
      </c>
      <c r="C1312" s="22">
        <v>2024</v>
      </c>
      <c r="D1312" s="23">
        <v>3</v>
      </c>
      <c r="E1312" s="24">
        <v>28</v>
      </c>
      <c r="F1312" s="42" t="s">
        <v>17</v>
      </c>
      <c r="G1312" s="42" t="s">
        <v>13</v>
      </c>
      <c r="H1312" s="42" t="s">
        <v>138</v>
      </c>
      <c r="I1312" s="42" t="s">
        <v>139</v>
      </c>
      <c r="J1312" s="10">
        <v>7500</v>
      </c>
      <c r="K1312" s="7">
        <v>-7500</v>
      </c>
      <c r="L1312" s="1" t="s">
        <v>738</v>
      </c>
    </row>
    <row r="1313" spans="1:13">
      <c r="A1313" s="21" t="str">
        <f>TEXT(TEXT(B1313,"yyyymmdd"),"00000000")&amp;TEXT(COUNTIF($B$2:B1313,B1313),"00")</f>
        <v>2024032901</v>
      </c>
      <c r="B1313" s="21">
        <f t="shared" si="20"/>
        <v>45380</v>
      </c>
      <c r="C1313" s="22">
        <v>2024</v>
      </c>
      <c r="D1313" s="23">
        <v>3</v>
      </c>
      <c r="E1313" s="24">
        <v>29</v>
      </c>
      <c r="F1313" s="42" t="s">
        <v>17</v>
      </c>
      <c r="G1313" s="42" t="s">
        <v>13</v>
      </c>
      <c r="H1313" s="42" t="s">
        <v>138</v>
      </c>
      <c r="I1313" s="42" t="s">
        <v>139</v>
      </c>
      <c r="J1313" s="10">
        <v>12900</v>
      </c>
      <c r="K1313" s="7">
        <v>-12900</v>
      </c>
      <c r="L1313" s="1" t="s">
        <v>819</v>
      </c>
    </row>
    <row r="1314" spans="1:13">
      <c r="A1314" s="21" t="str">
        <f>TEXT(TEXT(B1314,"yyyymmdd"),"00000000")&amp;TEXT(COUNTIF($B$2:B1314,B1314),"00")</f>
        <v>2024032902</v>
      </c>
      <c r="B1314" s="21">
        <f t="shared" si="20"/>
        <v>45380</v>
      </c>
      <c r="C1314" s="22">
        <v>2024</v>
      </c>
      <c r="D1314" s="23">
        <v>3</v>
      </c>
      <c r="E1314" s="24">
        <v>29</v>
      </c>
      <c r="F1314" s="42" t="s">
        <v>17</v>
      </c>
      <c r="G1314" s="42" t="s">
        <v>170</v>
      </c>
      <c r="H1314" s="42" t="s">
        <v>155</v>
      </c>
      <c r="I1314" s="42" t="s">
        <v>156</v>
      </c>
      <c r="J1314" s="10">
        <v>1385</v>
      </c>
      <c r="K1314" s="7">
        <v>-1385</v>
      </c>
      <c r="L1314" s="1" t="s">
        <v>303</v>
      </c>
    </row>
    <row r="1315" spans="1:13">
      <c r="A1315" s="21" t="str">
        <f>TEXT(TEXT(B1315,"yyyymmdd"),"00000000")&amp;TEXT(COUNTIF($B$2:B1315,B1315),"00")</f>
        <v>2024032903</v>
      </c>
      <c r="B1315" s="21">
        <f t="shared" si="20"/>
        <v>45380</v>
      </c>
      <c r="C1315" s="22">
        <v>2024</v>
      </c>
      <c r="D1315" s="23">
        <v>3</v>
      </c>
      <c r="E1315" s="24">
        <v>29</v>
      </c>
      <c r="F1315" s="42" t="s">
        <v>17</v>
      </c>
      <c r="G1315" s="42" t="s">
        <v>13</v>
      </c>
      <c r="H1315" s="42" t="s">
        <v>138</v>
      </c>
      <c r="I1315" s="42" t="s">
        <v>139</v>
      </c>
      <c r="J1315" s="10">
        <v>23300</v>
      </c>
      <c r="K1315" s="7">
        <v>-23300</v>
      </c>
      <c r="L1315" s="1" t="s">
        <v>750</v>
      </c>
      <c r="M1315" s="2" t="s">
        <v>1036</v>
      </c>
    </row>
    <row r="1316" spans="1:13">
      <c r="A1316" s="21" t="str">
        <f>TEXT(TEXT(B1316,"yyyymmdd"),"00000000")&amp;TEXT(COUNTIF($B$2:B1316,B1316),"00")</f>
        <v>2024033001</v>
      </c>
      <c r="B1316" s="21">
        <f t="shared" si="20"/>
        <v>45381</v>
      </c>
      <c r="C1316" s="22">
        <v>2024</v>
      </c>
      <c r="D1316" s="23">
        <v>3</v>
      </c>
      <c r="E1316" s="24">
        <v>30</v>
      </c>
      <c r="F1316" s="42" t="s">
        <v>17</v>
      </c>
      <c r="G1316" s="42" t="s">
        <v>7</v>
      </c>
      <c r="H1316" s="42" t="s">
        <v>119</v>
      </c>
      <c r="I1316" s="42" t="s">
        <v>180</v>
      </c>
      <c r="J1316" s="10">
        <v>4000</v>
      </c>
      <c r="K1316" s="7">
        <v>-4000</v>
      </c>
      <c r="L1316" s="1" t="s">
        <v>887</v>
      </c>
    </row>
    <row r="1317" spans="1:13">
      <c r="A1317" s="21" t="str">
        <f>TEXT(TEXT(B1317,"yyyymmdd"),"00000000")&amp;TEXT(COUNTIF($B$2:B1317,B1317),"00")</f>
        <v>2024040101</v>
      </c>
      <c r="B1317" s="21">
        <f t="shared" si="20"/>
        <v>45383</v>
      </c>
      <c r="C1317" s="22">
        <v>2024</v>
      </c>
      <c r="D1317" s="23">
        <v>4</v>
      </c>
      <c r="E1317" s="24">
        <v>1</v>
      </c>
      <c r="F1317" s="42" t="s">
        <v>17</v>
      </c>
      <c r="G1317" s="42" t="s">
        <v>7</v>
      </c>
      <c r="H1317" s="42" t="s">
        <v>167</v>
      </c>
      <c r="I1317" s="42" t="s">
        <v>168</v>
      </c>
      <c r="J1317" s="10">
        <v>7100</v>
      </c>
      <c r="K1317" s="7">
        <v>-7100</v>
      </c>
      <c r="L1317" s="1" t="s">
        <v>532</v>
      </c>
      <c r="M1317" s="2" t="s">
        <v>1042</v>
      </c>
    </row>
    <row r="1318" spans="1:13">
      <c r="A1318" s="21" t="str">
        <f>TEXT(TEXT(B1318,"yyyymmdd"),"00000000")&amp;TEXT(COUNTIF($B$2:B1318,B1318),"00")</f>
        <v>2024040102</v>
      </c>
      <c r="B1318" s="21">
        <f t="shared" si="20"/>
        <v>45383</v>
      </c>
      <c r="C1318" s="22">
        <v>2024</v>
      </c>
      <c r="D1318" s="23">
        <v>4</v>
      </c>
      <c r="E1318" s="24">
        <v>1</v>
      </c>
      <c r="F1318" s="42" t="s">
        <v>17</v>
      </c>
      <c r="G1318" s="42" t="s">
        <v>151</v>
      </c>
      <c r="H1318" s="42" t="s">
        <v>151</v>
      </c>
      <c r="I1318" s="42" t="s">
        <v>152</v>
      </c>
      <c r="J1318" s="10">
        <v>-600000</v>
      </c>
      <c r="K1318" s="7">
        <v>600000</v>
      </c>
      <c r="L1318" s="1" t="s">
        <v>252</v>
      </c>
      <c r="M1318" s="2" t="s">
        <v>1041</v>
      </c>
    </row>
    <row r="1319" spans="1:13">
      <c r="A1319" s="21" t="str">
        <f>TEXT(TEXT(B1319,"yyyymmdd"),"00000000")&amp;TEXT(COUNTIF($B$2:B1319,B1319),"00")</f>
        <v>2024040103</v>
      </c>
      <c r="B1319" s="21">
        <f t="shared" si="20"/>
        <v>45383</v>
      </c>
      <c r="C1319" s="22">
        <v>2024</v>
      </c>
      <c r="D1319" s="23">
        <v>4</v>
      </c>
      <c r="E1319" s="24">
        <v>1</v>
      </c>
      <c r="F1319" s="42" t="s">
        <v>17</v>
      </c>
      <c r="G1319" s="42" t="s">
        <v>13</v>
      </c>
      <c r="H1319" s="42" t="s">
        <v>138</v>
      </c>
      <c r="I1319" s="42" t="s">
        <v>139</v>
      </c>
      <c r="J1319" s="10">
        <v>6000</v>
      </c>
      <c r="K1319" s="7">
        <v>-6000</v>
      </c>
      <c r="L1319" s="1" t="s">
        <v>634</v>
      </c>
    </row>
    <row r="1320" spans="1:13">
      <c r="A1320" s="21" t="str">
        <f>TEXT(TEXT(B1320,"yyyymmdd"),"00000000")&amp;TEXT(COUNTIF($B$2:B1320,B1320),"00")</f>
        <v>2024040104</v>
      </c>
      <c r="B1320" s="21">
        <f t="shared" si="20"/>
        <v>45383</v>
      </c>
      <c r="C1320" s="22">
        <v>2024</v>
      </c>
      <c r="D1320" s="23">
        <v>4</v>
      </c>
      <c r="E1320" s="24">
        <v>1</v>
      </c>
      <c r="F1320" s="42" t="s">
        <v>17</v>
      </c>
      <c r="G1320" s="42" t="s">
        <v>13</v>
      </c>
      <c r="H1320" s="42" t="s">
        <v>138</v>
      </c>
      <c r="I1320" s="42" t="s">
        <v>139</v>
      </c>
      <c r="J1320" s="10">
        <v>7500</v>
      </c>
      <c r="K1320" s="7">
        <v>-7500</v>
      </c>
      <c r="L1320" s="1" t="s">
        <v>673</v>
      </c>
    </row>
    <row r="1321" spans="1:13">
      <c r="A1321" s="21" t="str">
        <f>TEXT(TEXT(B1321,"yyyymmdd"),"00000000")&amp;TEXT(COUNTIF($B$2:B1321,B1321),"00")</f>
        <v>2024040201</v>
      </c>
      <c r="B1321" s="21">
        <f t="shared" si="20"/>
        <v>45384</v>
      </c>
      <c r="C1321" s="22">
        <v>2024</v>
      </c>
      <c r="D1321" s="23">
        <v>4</v>
      </c>
      <c r="E1321" s="24">
        <v>2</v>
      </c>
      <c r="F1321" s="42" t="s">
        <v>17</v>
      </c>
      <c r="G1321" s="42" t="s">
        <v>13</v>
      </c>
      <c r="H1321" s="42" t="s">
        <v>138</v>
      </c>
      <c r="I1321" s="42" t="s">
        <v>139</v>
      </c>
      <c r="J1321" s="10">
        <v>12000</v>
      </c>
      <c r="K1321" s="7">
        <v>-12000</v>
      </c>
      <c r="L1321" s="1" t="s">
        <v>734</v>
      </c>
    </row>
    <row r="1322" spans="1:13">
      <c r="A1322" s="21" t="str">
        <f>TEXT(TEXT(B1322,"yyyymmdd"),"00000000")&amp;TEXT(COUNTIF($B$2:B1322,B1322),"00")</f>
        <v>2024040202</v>
      </c>
      <c r="B1322" s="21">
        <f t="shared" si="20"/>
        <v>45384</v>
      </c>
      <c r="C1322" s="22">
        <v>2024</v>
      </c>
      <c r="D1322" s="23">
        <v>4</v>
      </c>
      <c r="E1322" s="24">
        <v>2</v>
      </c>
      <c r="F1322" s="42" t="s">
        <v>17</v>
      </c>
      <c r="G1322" s="42" t="s">
        <v>7</v>
      </c>
      <c r="H1322" s="42" t="s">
        <v>110</v>
      </c>
      <c r="I1322" s="42" t="s">
        <v>124</v>
      </c>
      <c r="J1322" s="10">
        <v>1400</v>
      </c>
      <c r="K1322" s="7">
        <v>-1400</v>
      </c>
      <c r="L1322" s="1" t="s">
        <v>865</v>
      </c>
    </row>
    <row r="1323" spans="1:13">
      <c r="A1323" s="21" t="str">
        <f>TEXT(TEXT(B1323,"yyyymmdd"),"00000000")&amp;TEXT(COUNTIF($B$2:B1323,B1323),"00")</f>
        <v>2024040203</v>
      </c>
      <c r="B1323" s="21">
        <f t="shared" si="20"/>
        <v>45384</v>
      </c>
      <c r="C1323" s="22">
        <v>2024</v>
      </c>
      <c r="D1323" s="23">
        <v>4</v>
      </c>
      <c r="E1323" s="24">
        <v>2</v>
      </c>
      <c r="F1323" s="42" t="s">
        <v>17</v>
      </c>
      <c r="G1323" s="42" t="s">
        <v>13</v>
      </c>
      <c r="H1323" s="42" t="s">
        <v>138</v>
      </c>
      <c r="I1323" s="42" t="s">
        <v>139</v>
      </c>
      <c r="J1323" s="10">
        <v>5000</v>
      </c>
      <c r="K1323" s="7">
        <v>-5000</v>
      </c>
      <c r="L1323" s="1" t="s">
        <v>675</v>
      </c>
    </row>
    <row r="1324" spans="1:13">
      <c r="A1324" s="21" t="str">
        <f>TEXT(TEXT(B1324,"yyyymmdd"),"00000000")&amp;TEXT(COUNTIF($B$2:B1324,B1324),"00")</f>
        <v>2024040301</v>
      </c>
      <c r="B1324" s="21">
        <f t="shared" si="20"/>
        <v>45385</v>
      </c>
      <c r="C1324" s="22">
        <v>2024</v>
      </c>
      <c r="D1324" s="23">
        <v>4</v>
      </c>
      <c r="E1324" s="24">
        <v>3</v>
      </c>
      <c r="F1324" s="42" t="s">
        <v>17</v>
      </c>
      <c r="G1324" s="42" t="s">
        <v>7</v>
      </c>
      <c r="H1324" s="42" t="s">
        <v>173</v>
      </c>
      <c r="I1324" s="42" t="s">
        <v>207</v>
      </c>
      <c r="J1324" s="10">
        <v>20080</v>
      </c>
      <c r="K1324" s="7">
        <v>-20080</v>
      </c>
      <c r="L1324" s="1" t="s">
        <v>208</v>
      </c>
    </row>
    <row r="1325" spans="1:13">
      <c r="A1325" s="21" t="str">
        <f>TEXT(TEXT(B1325,"yyyymmdd"),"00000000")&amp;TEXT(COUNTIF($B$2:B1325,B1325),"00")</f>
        <v>2024040302</v>
      </c>
      <c r="B1325" s="21">
        <f t="shared" si="20"/>
        <v>45385</v>
      </c>
      <c r="C1325" s="22">
        <v>2024</v>
      </c>
      <c r="D1325" s="23">
        <v>4</v>
      </c>
      <c r="E1325" s="24">
        <v>3</v>
      </c>
      <c r="F1325" s="42" t="s">
        <v>17</v>
      </c>
      <c r="G1325" s="42" t="s">
        <v>13</v>
      </c>
      <c r="H1325" s="42" t="s">
        <v>138</v>
      </c>
      <c r="I1325" s="42" t="s">
        <v>139</v>
      </c>
      <c r="J1325" s="10">
        <v>6400</v>
      </c>
      <c r="K1325" s="7">
        <v>-6400</v>
      </c>
      <c r="L1325" s="1" t="s">
        <v>300</v>
      </c>
    </row>
    <row r="1326" spans="1:13">
      <c r="A1326" s="21" t="str">
        <f>TEXT(TEXT(B1326,"yyyymmdd"),"00000000")&amp;TEXT(COUNTIF($B$2:B1326,B1326),"00")</f>
        <v>2024040303</v>
      </c>
      <c r="B1326" s="21">
        <f t="shared" si="20"/>
        <v>45385</v>
      </c>
      <c r="C1326" s="22">
        <v>2024</v>
      </c>
      <c r="D1326" s="23">
        <v>4</v>
      </c>
      <c r="E1326" s="24">
        <v>3</v>
      </c>
      <c r="F1326" s="42" t="s">
        <v>17</v>
      </c>
      <c r="G1326" s="42" t="s">
        <v>13</v>
      </c>
      <c r="H1326" s="42" t="s">
        <v>138</v>
      </c>
      <c r="I1326" s="42" t="s">
        <v>139</v>
      </c>
      <c r="J1326" s="10">
        <v>8000</v>
      </c>
      <c r="K1326" s="7">
        <v>-8000</v>
      </c>
      <c r="L1326" s="1" t="s">
        <v>700</v>
      </c>
    </row>
    <row r="1327" spans="1:13">
      <c r="A1327" s="21" t="str">
        <f>TEXT(TEXT(B1327,"yyyymmdd"),"00000000")&amp;TEXT(COUNTIF($B$2:B1327,B1327),"00")</f>
        <v>2024040401</v>
      </c>
      <c r="B1327" s="21">
        <f t="shared" si="20"/>
        <v>45386</v>
      </c>
      <c r="C1327" s="22">
        <v>2024</v>
      </c>
      <c r="D1327" s="23">
        <v>4</v>
      </c>
      <c r="E1327" s="24">
        <v>4</v>
      </c>
      <c r="F1327" s="42" t="s">
        <v>17</v>
      </c>
      <c r="G1327" s="42" t="s">
        <v>7</v>
      </c>
      <c r="H1327" s="42" t="s">
        <v>173</v>
      </c>
      <c r="I1327" s="42" t="s">
        <v>1044</v>
      </c>
      <c r="J1327" s="10">
        <v>33820</v>
      </c>
      <c r="K1327" s="7">
        <v>-33820</v>
      </c>
      <c r="L1327" s="1" t="s">
        <v>1043</v>
      </c>
      <c r="M1327" s="2" t="s">
        <v>1046</v>
      </c>
    </row>
    <row r="1328" spans="1:13">
      <c r="A1328" s="21" t="str">
        <f>TEXT(TEXT(B1328,"yyyymmdd"),"00000000")&amp;TEXT(COUNTIF($B$2:B1328,B1328),"00")</f>
        <v>2024040402</v>
      </c>
      <c r="B1328" s="21">
        <f t="shared" si="20"/>
        <v>45386</v>
      </c>
      <c r="C1328" s="22">
        <v>2024</v>
      </c>
      <c r="D1328" s="23">
        <v>4</v>
      </c>
      <c r="E1328" s="24">
        <v>4</v>
      </c>
      <c r="F1328" s="42" t="s">
        <v>17</v>
      </c>
      <c r="G1328" s="42" t="s">
        <v>7</v>
      </c>
      <c r="H1328" s="42" t="s">
        <v>110</v>
      </c>
      <c r="I1328" s="42" t="s">
        <v>124</v>
      </c>
      <c r="J1328" s="10">
        <v>3900</v>
      </c>
      <c r="K1328" s="7">
        <v>-3900</v>
      </c>
      <c r="L1328" s="1" t="s">
        <v>800</v>
      </c>
    </row>
    <row r="1329" spans="1:13">
      <c r="A1329" s="21" t="str">
        <f>TEXT(TEXT(B1329,"yyyymmdd"),"00000000")&amp;TEXT(COUNTIF($B$2:B1329,B1329),"00")</f>
        <v>2024040403</v>
      </c>
      <c r="B1329" s="21">
        <f t="shared" si="20"/>
        <v>45386</v>
      </c>
      <c r="C1329" s="22">
        <v>2024</v>
      </c>
      <c r="D1329" s="23">
        <v>4</v>
      </c>
      <c r="E1329" s="24">
        <v>4</v>
      </c>
      <c r="F1329" s="42" t="s">
        <v>17</v>
      </c>
      <c r="G1329" s="42" t="s">
        <v>13</v>
      </c>
      <c r="H1329" s="42" t="s">
        <v>138</v>
      </c>
      <c r="I1329" s="42" t="s">
        <v>139</v>
      </c>
      <c r="J1329" s="10">
        <v>8900</v>
      </c>
      <c r="K1329" s="7">
        <v>-8900</v>
      </c>
      <c r="L1329" s="1" t="s">
        <v>738</v>
      </c>
    </row>
    <row r="1330" spans="1:13">
      <c r="A1330" s="21" t="str">
        <f>TEXT(TEXT(B1330,"yyyymmdd"),"00000000")&amp;TEXT(COUNTIF($B$2:B1330,B1330),"00")</f>
        <v>2024040404</v>
      </c>
      <c r="B1330" s="21">
        <f t="shared" si="20"/>
        <v>45386</v>
      </c>
      <c r="C1330" s="22">
        <v>2024</v>
      </c>
      <c r="D1330" s="23">
        <v>4</v>
      </c>
      <c r="E1330" s="24">
        <v>4</v>
      </c>
      <c r="F1330" s="42" t="s">
        <v>17</v>
      </c>
      <c r="G1330" s="42" t="s">
        <v>13</v>
      </c>
      <c r="H1330" s="42" t="s">
        <v>138</v>
      </c>
      <c r="I1330" s="42" t="s">
        <v>139</v>
      </c>
      <c r="J1330" s="10">
        <v>7000</v>
      </c>
      <c r="K1330" s="7">
        <v>-7000</v>
      </c>
      <c r="L1330" s="1" t="s">
        <v>822</v>
      </c>
    </row>
    <row r="1331" spans="1:13">
      <c r="A1331" s="21" t="str">
        <f>TEXT(TEXT(B1331,"yyyymmdd"),"00000000")&amp;TEXT(COUNTIF($B$2:B1331,B1331),"00")</f>
        <v>2024040501</v>
      </c>
      <c r="B1331" s="21">
        <f t="shared" si="20"/>
        <v>45387</v>
      </c>
      <c r="C1331" s="22">
        <v>2024</v>
      </c>
      <c r="D1331" s="23">
        <v>4</v>
      </c>
      <c r="E1331" s="24">
        <v>5</v>
      </c>
      <c r="F1331" s="42" t="s">
        <v>17</v>
      </c>
      <c r="G1331" s="42" t="s">
        <v>7</v>
      </c>
      <c r="H1331" s="42" t="s">
        <v>110</v>
      </c>
      <c r="I1331" s="42" t="s">
        <v>122</v>
      </c>
      <c r="J1331" s="10">
        <v>3100</v>
      </c>
      <c r="K1331" s="7">
        <v>-3100</v>
      </c>
      <c r="L1331" s="1" t="s">
        <v>1047</v>
      </c>
    </row>
    <row r="1332" spans="1:13">
      <c r="A1332" s="21" t="str">
        <f>TEXT(TEXT(B1332,"yyyymmdd"),"00000000")&amp;TEXT(COUNTIF($B$2:B1332,B1332),"00")</f>
        <v>2024040502</v>
      </c>
      <c r="B1332" s="21">
        <f t="shared" si="20"/>
        <v>45387</v>
      </c>
      <c r="C1332" s="22">
        <v>2024</v>
      </c>
      <c r="D1332" s="23">
        <v>4</v>
      </c>
      <c r="E1332" s="24">
        <v>5</v>
      </c>
      <c r="F1332" s="42" t="s">
        <v>17</v>
      </c>
      <c r="G1332" s="42" t="s">
        <v>7</v>
      </c>
      <c r="H1332" s="42" t="s">
        <v>155</v>
      </c>
      <c r="I1332" s="42" t="s">
        <v>221</v>
      </c>
      <c r="J1332" s="10">
        <v>33700</v>
      </c>
      <c r="K1332" s="7">
        <v>-33700</v>
      </c>
      <c r="L1332" s="1" t="s">
        <v>999</v>
      </c>
    </row>
    <row r="1333" spans="1:13">
      <c r="A1333" s="21" t="str">
        <f>TEXT(TEXT(B1333,"yyyymmdd"),"00000000")&amp;TEXT(COUNTIF($B$2:B1333,B1333),"00")</f>
        <v>2024040503</v>
      </c>
      <c r="B1333" s="21">
        <f t="shared" si="20"/>
        <v>45387</v>
      </c>
      <c r="C1333" s="22">
        <v>2024</v>
      </c>
      <c r="D1333" s="23">
        <v>4</v>
      </c>
      <c r="E1333" s="24">
        <v>5</v>
      </c>
      <c r="F1333" s="42" t="s">
        <v>17</v>
      </c>
      <c r="G1333" s="42" t="s">
        <v>13</v>
      </c>
      <c r="H1333" s="42" t="s">
        <v>113</v>
      </c>
      <c r="I1333" s="42" t="s">
        <v>171</v>
      </c>
      <c r="J1333" s="10">
        <v>15000</v>
      </c>
      <c r="K1333" s="7">
        <v>-15000</v>
      </c>
      <c r="L1333" s="1" t="s">
        <v>502</v>
      </c>
    </row>
    <row r="1334" spans="1:13">
      <c r="A1334" s="21" t="str">
        <f>TEXT(TEXT(B1334,"yyyymmdd"),"00000000")&amp;TEXT(COUNTIF($B$2:B1334,B1334),"00")</f>
        <v>2024040504</v>
      </c>
      <c r="B1334" s="21">
        <f t="shared" si="20"/>
        <v>45387</v>
      </c>
      <c r="C1334" s="22">
        <v>2024</v>
      </c>
      <c r="D1334" s="23">
        <v>4</v>
      </c>
      <c r="E1334" s="24">
        <v>5</v>
      </c>
      <c r="F1334" s="42" t="s">
        <v>17</v>
      </c>
      <c r="G1334" s="42" t="s">
        <v>135</v>
      </c>
      <c r="H1334" s="42" t="s">
        <v>135</v>
      </c>
      <c r="I1334" s="42" t="s">
        <v>143</v>
      </c>
      <c r="J1334" s="10">
        <v>-20000</v>
      </c>
      <c r="K1334" s="7">
        <v>20000</v>
      </c>
      <c r="L1334" s="1" t="s">
        <v>165</v>
      </c>
    </row>
    <row r="1335" spans="1:13">
      <c r="A1335" s="21" t="str">
        <f>TEXT(TEXT(B1335,"yyyymmdd"),"00000000")&amp;TEXT(COUNTIF($B$2:B1335,B1335),"00")</f>
        <v>2024040601</v>
      </c>
      <c r="B1335" s="21">
        <f t="shared" si="20"/>
        <v>45388</v>
      </c>
      <c r="C1335" s="22">
        <v>2024</v>
      </c>
      <c r="D1335" s="23">
        <v>4</v>
      </c>
      <c r="E1335" s="24">
        <v>6</v>
      </c>
      <c r="F1335" s="42" t="s">
        <v>17</v>
      </c>
      <c r="G1335" s="42" t="s">
        <v>13</v>
      </c>
      <c r="H1335" s="42" t="s">
        <v>138</v>
      </c>
      <c r="I1335" s="42" t="s">
        <v>139</v>
      </c>
      <c r="J1335" s="10">
        <v>32900</v>
      </c>
      <c r="K1335" s="7">
        <v>-32900</v>
      </c>
      <c r="L1335" s="1" t="s">
        <v>1048</v>
      </c>
    </row>
    <row r="1336" spans="1:13">
      <c r="A1336" s="21" t="str">
        <f>TEXT(TEXT(B1336,"yyyymmdd"),"00000000")&amp;TEXT(COUNTIF($B$2:B1336,B1336),"00")</f>
        <v>2024040602</v>
      </c>
      <c r="B1336" s="21">
        <f t="shared" si="20"/>
        <v>45388</v>
      </c>
      <c r="C1336" s="22">
        <v>2024</v>
      </c>
      <c r="D1336" s="23">
        <v>4</v>
      </c>
      <c r="E1336" s="24">
        <v>6</v>
      </c>
      <c r="F1336" s="42" t="s">
        <v>17</v>
      </c>
      <c r="G1336" s="42" t="s">
        <v>7</v>
      </c>
      <c r="H1336" s="42" t="s">
        <v>167</v>
      </c>
      <c r="I1336" s="42" t="s">
        <v>168</v>
      </c>
      <c r="J1336" s="10">
        <v>2200</v>
      </c>
      <c r="K1336" s="7">
        <v>-2200</v>
      </c>
      <c r="L1336" s="1" t="s">
        <v>748</v>
      </c>
      <c r="M1336" s="2" t="s">
        <v>1049</v>
      </c>
    </row>
    <row r="1337" spans="1:13">
      <c r="A1337" s="21" t="str">
        <f>TEXT(TEXT(B1337,"yyyymmdd"),"00000000")&amp;TEXT(COUNTIF($B$2:B1337,B1337),"00")</f>
        <v>2024040701</v>
      </c>
      <c r="B1337" s="21">
        <f t="shared" si="20"/>
        <v>45389</v>
      </c>
      <c r="C1337" s="22">
        <v>2024</v>
      </c>
      <c r="D1337" s="23">
        <v>4</v>
      </c>
      <c r="E1337" s="24">
        <v>7</v>
      </c>
      <c r="F1337" s="42" t="s">
        <v>17</v>
      </c>
      <c r="G1337" s="42" t="s">
        <v>7</v>
      </c>
      <c r="H1337" s="42" t="s">
        <v>167</v>
      </c>
      <c r="I1337" s="42" t="s">
        <v>168</v>
      </c>
      <c r="J1337" s="10">
        <v>31080</v>
      </c>
      <c r="K1337" s="7">
        <v>-31080</v>
      </c>
      <c r="L1337" s="1" t="s">
        <v>532</v>
      </c>
      <c r="M1337" s="2" t="s">
        <v>1050</v>
      </c>
    </row>
    <row r="1338" spans="1:13">
      <c r="A1338" s="21" t="str">
        <f>TEXT(TEXT(B1338,"yyyymmdd"),"00000000")&amp;TEXT(COUNTIF($B$2:B1338,B1338),"00")</f>
        <v>2024040702</v>
      </c>
      <c r="B1338" s="21">
        <f t="shared" si="20"/>
        <v>45389</v>
      </c>
      <c r="C1338" s="22">
        <v>2024</v>
      </c>
      <c r="D1338" s="23">
        <v>4</v>
      </c>
      <c r="E1338" s="24">
        <v>7</v>
      </c>
      <c r="F1338" s="42" t="s">
        <v>17</v>
      </c>
      <c r="G1338" s="42" t="s">
        <v>13</v>
      </c>
      <c r="H1338" s="42" t="s">
        <v>138</v>
      </c>
      <c r="I1338" s="42" t="s">
        <v>139</v>
      </c>
      <c r="J1338" s="10">
        <v>8000</v>
      </c>
      <c r="K1338" s="7">
        <v>-8000</v>
      </c>
      <c r="L1338" s="1" t="s">
        <v>679</v>
      </c>
    </row>
    <row r="1339" spans="1:13">
      <c r="A1339" s="21" t="str">
        <f>TEXT(TEXT(B1339,"yyyymmdd"),"00000000")&amp;TEXT(COUNTIF($B$2:B1339,B1339),"00")</f>
        <v>2024040801</v>
      </c>
      <c r="B1339" s="21">
        <f t="shared" si="20"/>
        <v>45390</v>
      </c>
      <c r="C1339" s="22">
        <v>2024</v>
      </c>
      <c r="D1339" s="23">
        <v>4</v>
      </c>
      <c r="E1339" s="24">
        <v>8</v>
      </c>
      <c r="F1339" s="42" t="s">
        <v>17</v>
      </c>
      <c r="G1339" s="42" t="s">
        <v>7</v>
      </c>
      <c r="H1339" s="42" t="s">
        <v>167</v>
      </c>
      <c r="I1339" s="42" t="s">
        <v>168</v>
      </c>
      <c r="J1339" s="10">
        <v>6300</v>
      </c>
      <c r="K1339" s="7">
        <v>-6300</v>
      </c>
      <c r="L1339" s="1" t="s">
        <v>332</v>
      </c>
      <c r="M1339" s="2" t="s">
        <v>1055</v>
      </c>
    </row>
    <row r="1340" spans="1:13">
      <c r="A1340" s="21" t="str">
        <f>TEXT(TEXT(B1340,"yyyymmdd"),"00000000")&amp;TEXT(COUNTIF($B$2:B1340,B1340),"00")</f>
        <v>2024040802</v>
      </c>
      <c r="B1340" s="21">
        <f t="shared" si="20"/>
        <v>45390</v>
      </c>
      <c r="C1340" s="22">
        <v>2024</v>
      </c>
      <c r="D1340" s="23">
        <v>4</v>
      </c>
      <c r="E1340" s="24">
        <v>8</v>
      </c>
      <c r="F1340" s="42" t="s">
        <v>17</v>
      </c>
      <c r="G1340" s="42" t="s">
        <v>13</v>
      </c>
      <c r="H1340" s="42" t="s">
        <v>138</v>
      </c>
      <c r="I1340" s="42" t="s">
        <v>139</v>
      </c>
      <c r="J1340" s="10">
        <v>6200</v>
      </c>
      <c r="K1340" s="7">
        <v>-6200</v>
      </c>
      <c r="L1340" s="1" t="s">
        <v>661</v>
      </c>
    </row>
    <row r="1341" spans="1:13">
      <c r="A1341" s="21" t="str">
        <f>TEXT(TEXT(B1341,"yyyymmdd"),"00000000")&amp;TEXT(COUNTIF($B$2:B1341,B1341),"00")</f>
        <v>2024040803</v>
      </c>
      <c r="B1341" s="21">
        <f t="shared" si="20"/>
        <v>45390</v>
      </c>
      <c r="C1341" s="22">
        <v>2024</v>
      </c>
      <c r="D1341" s="23">
        <v>4</v>
      </c>
      <c r="E1341" s="24">
        <v>8</v>
      </c>
      <c r="F1341" s="42" t="s">
        <v>17</v>
      </c>
      <c r="G1341" s="42" t="s">
        <v>13</v>
      </c>
      <c r="H1341" s="42" t="s">
        <v>138</v>
      </c>
      <c r="I1341" s="42" t="s">
        <v>139</v>
      </c>
      <c r="J1341" s="10">
        <v>6500</v>
      </c>
      <c r="K1341" s="7">
        <v>-6500</v>
      </c>
      <c r="L1341" s="1" t="s">
        <v>673</v>
      </c>
    </row>
    <row r="1342" spans="1:13">
      <c r="A1342" s="21" t="str">
        <f>TEXT(TEXT(B1342,"yyyymmdd"),"00000000")&amp;TEXT(COUNTIF($B$2:B1342,B1342),"00")</f>
        <v>2024040901</v>
      </c>
      <c r="B1342" s="21">
        <f t="shared" si="20"/>
        <v>45391</v>
      </c>
      <c r="C1342" s="22">
        <v>2024</v>
      </c>
      <c r="D1342" s="23">
        <v>4</v>
      </c>
      <c r="E1342" s="24">
        <v>9</v>
      </c>
      <c r="F1342" s="42" t="s">
        <v>17</v>
      </c>
      <c r="G1342" s="42" t="s">
        <v>13</v>
      </c>
      <c r="H1342" s="42" t="s">
        <v>138</v>
      </c>
      <c r="I1342" s="42" t="s">
        <v>139</v>
      </c>
      <c r="J1342" s="10">
        <v>7500</v>
      </c>
      <c r="K1342" s="7">
        <v>-7500</v>
      </c>
      <c r="L1342" s="1" t="s">
        <v>677</v>
      </c>
    </row>
    <row r="1343" spans="1:13">
      <c r="A1343" s="21" t="str">
        <f>TEXT(TEXT(B1343,"yyyymmdd"),"00000000")&amp;TEXT(COUNTIF($B$2:B1343,B1343),"00")</f>
        <v>2024041001</v>
      </c>
      <c r="B1343" s="21">
        <f t="shared" si="20"/>
        <v>45392</v>
      </c>
      <c r="C1343" s="22">
        <v>2024</v>
      </c>
      <c r="D1343" s="23">
        <v>4</v>
      </c>
      <c r="E1343" s="24">
        <v>10</v>
      </c>
      <c r="F1343" s="42" t="s">
        <v>17</v>
      </c>
      <c r="G1343" s="42" t="s">
        <v>13</v>
      </c>
      <c r="H1343" s="42" t="s">
        <v>138</v>
      </c>
      <c r="I1343" s="42" t="s">
        <v>139</v>
      </c>
      <c r="J1343" s="10">
        <v>13000</v>
      </c>
      <c r="K1343" s="7">
        <v>-13000</v>
      </c>
      <c r="L1343" s="1" t="s">
        <v>734</v>
      </c>
    </row>
    <row r="1344" spans="1:13">
      <c r="A1344" s="21" t="str">
        <f>TEXT(TEXT(B1344,"yyyymmdd"),"00000000")&amp;TEXT(COUNTIF($B$2:B1344,B1344),"00")</f>
        <v>2024041002</v>
      </c>
      <c r="B1344" s="21">
        <f t="shared" si="20"/>
        <v>45392</v>
      </c>
      <c r="C1344" s="22">
        <v>2024</v>
      </c>
      <c r="D1344" s="23">
        <v>4</v>
      </c>
      <c r="E1344" s="24">
        <v>10</v>
      </c>
      <c r="F1344" s="42" t="s">
        <v>17</v>
      </c>
      <c r="G1344" s="42" t="s">
        <v>170</v>
      </c>
      <c r="H1344" s="42" t="s">
        <v>114</v>
      </c>
      <c r="I1344" s="42" t="s">
        <v>1007</v>
      </c>
      <c r="J1344" s="10">
        <v>53230</v>
      </c>
      <c r="K1344" s="7">
        <v>-53230</v>
      </c>
      <c r="L1344" s="1" t="s">
        <v>1023</v>
      </c>
    </row>
    <row r="1345" spans="1:13">
      <c r="A1345" s="21" t="str">
        <f>TEXT(TEXT(B1345,"yyyymmdd"),"00000000")&amp;TEXT(COUNTIF($B$2:B1345,B1345),"00")</f>
        <v>2024041101</v>
      </c>
      <c r="B1345" s="21">
        <f t="shared" si="20"/>
        <v>45393</v>
      </c>
      <c r="C1345" s="22">
        <v>2024</v>
      </c>
      <c r="D1345" s="23">
        <v>4</v>
      </c>
      <c r="E1345" s="24">
        <v>11</v>
      </c>
      <c r="F1345" s="42" t="s">
        <v>17</v>
      </c>
      <c r="G1345" s="42" t="s">
        <v>13</v>
      </c>
      <c r="H1345" s="42" t="s">
        <v>138</v>
      </c>
      <c r="I1345" s="42" t="s">
        <v>139</v>
      </c>
      <c r="J1345" s="10">
        <v>6000</v>
      </c>
      <c r="K1345" s="7">
        <v>-6000</v>
      </c>
      <c r="L1345" s="1" t="s">
        <v>676</v>
      </c>
    </row>
    <row r="1346" spans="1:13">
      <c r="A1346" s="21" t="str">
        <f>TEXT(TEXT(B1346,"yyyymmdd"),"00000000")&amp;TEXT(COUNTIF($B$2:B1346,B1346),"00")</f>
        <v>2024041102</v>
      </c>
      <c r="B1346" s="21">
        <f t="shared" ref="B1346:B1406" si="21">DATE(C1346,D1346,E1346)</f>
        <v>45393</v>
      </c>
      <c r="C1346" s="22">
        <v>2024</v>
      </c>
      <c r="D1346" s="23">
        <v>4</v>
      </c>
      <c r="E1346" s="24">
        <v>11</v>
      </c>
      <c r="F1346" s="42" t="s">
        <v>17</v>
      </c>
      <c r="G1346" s="42" t="s">
        <v>13</v>
      </c>
      <c r="H1346" s="42" t="s">
        <v>138</v>
      </c>
      <c r="I1346" s="42" t="s">
        <v>139</v>
      </c>
      <c r="J1346" s="10">
        <v>7000</v>
      </c>
      <c r="K1346" s="7">
        <v>-7000</v>
      </c>
      <c r="L1346" s="1" t="s">
        <v>1051</v>
      </c>
    </row>
    <row r="1347" spans="1:13">
      <c r="A1347" s="21" t="str">
        <f>TEXT(TEXT(B1347,"yyyymmdd"),"00000000")&amp;TEXT(COUNTIF($B$2:B1347,B1347),"00")</f>
        <v>2024041201</v>
      </c>
      <c r="B1347" s="21">
        <f t="shared" si="21"/>
        <v>45394</v>
      </c>
      <c r="C1347" s="22">
        <v>2024</v>
      </c>
      <c r="D1347" s="23">
        <v>4</v>
      </c>
      <c r="E1347" s="24">
        <v>12</v>
      </c>
      <c r="F1347" s="42" t="s">
        <v>17</v>
      </c>
      <c r="G1347" s="42" t="s">
        <v>13</v>
      </c>
      <c r="H1347" s="42" t="s">
        <v>138</v>
      </c>
      <c r="I1347" s="42" t="s">
        <v>139</v>
      </c>
      <c r="J1347" s="10">
        <v>8000</v>
      </c>
      <c r="K1347" s="7">
        <v>-8000</v>
      </c>
      <c r="L1347" s="1" t="s">
        <v>677</v>
      </c>
    </row>
    <row r="1348" spans="1:13">
      <c r="A1348" s="21" t="str">
        <f>TEXT(TEXT(B1348,"yyyymmdd"),"00000000")&amp;TEXT(COUNTIF($B$2:B1348,B1348),"00")</f>
        <v>2024041202</v>
      </c>
      <c r="B1348" s="21">
        <f t="shared" si="21"/>
        <v>45394</v>
      </c>
      <c r="C1348" s="22">
        <v>2024</v>
      </c>
      <c r="D1348" s="23">
        <v>4</v>
      </c>
      <c r="E1348" s="24">
        <v>12</v>
      </c>
      <c r="F1348" s="42" t="s">
        <v>17</v>
      </c>
      <c r="G1348" s="42" t="s">
        <v>13</v>
      </c>
      <c r="H1348" s="42" t="s">
        <v>138</v>
      </c>
      <c r="I1348" s="42" t="s">
        <v>139</v>
      </c>
      <c r="J1348" s="10">
        <v>7500</v>
      </c>
      <c r="K1348" s="7">
        <v>-7500</v>
      </c>
      <c r="L1348" s="1" t="s">
        <v>738</v>
      </c>
    </row>
    <row r="1349" spans="1:13">
      <c r="A1349" s="21" t="str">
        <f>TEXT(TEXT(B1349,"yyyymmdd"),"00000000")&amp;TEXT(COUNTIF($B$2:B1349,B1349),"00")</f>
        <v>2024041301</v>
      </c>
      <c r="B1349" s="21">
        <f t="shared" si="21"/>
        <v>45395</v>
      </c>
      <c r="C1349" s="22">
        <v>2024</v>
      </c>
      <c r="D1349" s="23">
        <v>4</v>
      </c>
      <c r="E1349" s="24">
        <v>13</v>
      </c>
      <c r="F1349" s="42" t="s">
        <v>17</v>
      </c>
      <c r="G1349" s="42" t="s">
        <v>13</v>
      </c>
      <c r="H1349" s="42" t="s">
        <v>138</v>
      </c>
      <c r="I1349" s="42" t="s">
        <v>139</v>
      </c>
      <c r="J1349" s="10">
        <v>6500</v>
      </c>
      <c r="K1349" s="7">
        <v>-6500</v>
      </c>
      <c r="L1349" s="1" t="s">
        <v>300</v>
      </c>
    </row>
    <row r="1350" spans="1:13">
      <c r="A1350" s="21" t="str">
        <f>TEXT(TEXT(B1350,"yyyymmdd"),"00000000")&amp;TEXT(COUNTIF($B$2:B1350,B1350),"00")</f>
        <v>2024041302</v>
      </c>
      <c r="B1350" s="21">
        <f t="shared" si="21"/>
        <v>45395</v>
      </c>
      <c r="C1350" s="22">
        <v>2024</v>
      </c>
      <c r="D1350" s="23">
        <v>4</v>
      </c>
      <c r="E1350" s="24">
        <v>13</v>
      </c>
      <c r="F1350" s="42" t="s">
        <v>17</v>
      </c>
      <c r="G1350" s="42" t="s">
        <v>13</v>
      </c>
      <c r="H1350" s="42" t="s">
        <v>138</v>
      </c>
      <c r="I1350" s="42" t="s">
        <v>139</v>
      </c>
      <c r="J1350" s="10">
        <v>6500</v>
      </c>
      <c r="K1350" s="7">
        <v>-6500</v>
      </c>
      <c r="L1350" s="1" t="s">
        <v>673</v>
      </c>
    </row>
    <row r="1351" spans="1:13">
      <c r="A1351" s="21" t="str">
        <f>TEXT(TEXT(B1351,"yyyymmdd"),"00000000")&amp;TEXT(COUNTIF($B$2:B1351,B1351),"00")</f>
        <v>2024041401</v>
      </c>
      <c r="B1351" s="21">
        <f t="shared" si="21"/>
        <v>45396</v>
      </c>
      <c r="C1351" s="22">
        <v>2024</v>
      </c>
      <c r="D1351" s="23">
        <v>4</v>
      </c>
      <c r="E1351" s="24">
        <v>14</v>
      </c>
      <c r="F1351" s="42" t="s">
        <v>17</v>
      </c>
      <c r="G1351" s="42" t="s">
        <v>13</v>
      </c>
      <c r="H1351" s="42" t="s">
        <v>138</v>
      </c>
      <c r="I1351" s="42" t="s">
        <v>139</v>
      </c>
      <c r="J1351" s="10">
        <v>8500</v>
      </c>
      <c r="K1351" s="7">
        <v>-8500</v>
      </c>
      <c r="L1351" s="1" t="s">
        <v>794</v>
      </c>
    </row>
    <row r="1352" spans="1:13">
      <c r="A1352" s="21" t="str">
        <f>TEXT(TEXT(B1352,"yyyymmdd"),"00000000")&amp;TEXT(COUNTIF($B$2:B1352,B1352),"00")</f>
        <v>2024041402</v>
      </c>
      <c r="B1352" s="21">
        <f t="shared" si="21"/>
        <v>45396</v>
      </c>
      <c r="C1352" s="22">
        <v>2024</v>
      </c>
      <c r="D1352" s="23">
        <v>4</v>
      </c>
      <c r="E1352" s="24">
        <v>14</v>
      </c>
      <c r="F1352" s="42" t="s">
        <v>17</v>
      </c>
      <c r="G1352" s="42" t="s">
        <v>13</v>
      </c>
      <c r="H1352" s="42" t="s">
        <v>167</v>
      </c>
      <c r="I1352" s="42" t="s">
        <v>168</v>
      </c>
      <c r="J1352" s="10">
        <v>3900</v>
      </c>
      <c r="K1352" s="7">
        <v>-3900</v>
      </c>
      <c r="L1352" s="1" t="s">
        <v>748</v>
      </c>
    </row>
    <row r="1353" spans="1:13">
      <c r="A1353" s="21" t="str">
        <f>TEXT(TEXT(B1353,"yyyymmdd"),"00000000")&amp;TEXT(COUNTIF($B$2:B1353,B1353),"00")</f>
        <v>2024041501</v>
      </c>
      <c r="B1353" s="21">
        <f t="shared" si="21"/>
        <v>45397</v>
      </c>
      <c r="C1353" s="22">
        <v>2024</v>
      </c>
      <c r="D1353" s="23">
        <v>4</v>
      </c>
      <c r="E1353" s="24">
        <v>15</v>
      </c>
      <c r="F1353" s="42" t="s">
        <v>17</v>
      </c>
      <c r="G1353" s="42" t="s">
        <v>13</v>
      </c>
      <c r="H1353" s="42" t="s">
        <v>138</v>
      </c>
      <c r="I1353" s="42" t="s">
        <v>139</v>
      </c>
      <c r="J1353" s="10">
        <v>5000</v>
      </c>
      <c r="K1353" s="7">
        <v>-5000</v>
      </c>
      <c r="L1353" s="1" t="s">
        <v>619</v>
      </c>
    </row>
    <row r="1354" spans="1:13">
      <c r="A1354" s="21" t="str">
        <f>TEXT(TEXT(B1354,"yyyymmdd"),"00000000")&amp;TEXT(COUNTIF($B$2:B1354,B1354),"00")</f>
        <v>2024041601</v>
      </c>
      <c r="B1354" s="21">
        <f t="shared" si="21"/>
        <v>45398</v>
      </c>
      <c r="C1354" s="22">
        <v>2024</v>
      </c>
      <c r="D1354" s="23">
        <v>4</v>
      </c>
      <c r="E1354" s="24">
        <v>16</v>
      </c>
      <c r="F1354" s="42" t="s">
        <v>17</v>
      </c>
      <c r="G1354" s="42" t="s">
        <v>13</v>
      </c>
      <c r="H1354" s="42" t="s">
        <v>138</v>
      </c>
      <c r="I1354" s="42" t="s">
        <v>139</v>
      </c>
      <c r="J1354" s="10">
        <v>9900</v>
      </c>
      <c r="K1354" s="7">
        <v>-9900</v>
      </c>
      <c r="L1354" s="1" t="s">
        <v>819</v>
      </c>
    </row>
    <row r="1355" spans="1:13">
      <c r="A1355" s="21" t="str">
        <f>TEXT(TEXT(B1355,"yyyymmdd"),"00000000")&amp;TEXT(COUNTIF($B$2:B1355,B1355),"00")</f>
        <v>2024041602</v>
      </c>
      <c r="B1355" s="21">
        <f t="shared" si="21"/>
        <v>45398</v>
      </c>
      <c r="C1355" s="22">
        <v>2024</v>
      </c>
      <c r="D1355" s="23">
        <v>4</v>
      </c>
      <c r="E1355" s="24">
        <v>16</v>
      </c>
      <c r="F1355" s="42" t="s">
        <v>17</v>
      </c>
      <c r="G1355" s="42" t="s">
        <v>13</v>
      </c>
      <c r="H1355" s="42" t="s">
        <v>138</v>
      </c>
      <c r="I1355" s="42" t="s">
        <v>139</v>
      </c>
      <c r="J1355" s="10">
        <v>7500</v>
      </c>
      <c r="K1355" s="7">
        <v>-7500</v>
      </c>
      <c r="L1355" s="1" t="s">
        <v>673</v>
      </c>
    </row>
    <row r="1356" spans="1:13">
      <c r="A1356" s="21" t="str">
        <f>TEXT(TEXT(B1356,"yyyymmdd"),"00000000")&amp;TEXT(COUNTIF($B$2:B1356,B1356),"00")</f>
        <v>2024041603</v>
      </c>
      <c r="B1356" s="21">
        <f t="shared" si="21"/>
        <v>45398</v>
      </c>
      <c r="C1356" s="22">
        <v>2024</v>
      </c>
      <c r="D1356" s="23">
        <v>4</v>
      </c>
      <c r="E1356" s="24">
        <v>16</v>
      </c>
      <c r="F1356" s="42" t="s">
        <v>498</v>
      </c>
      <c r="G1356" s="42" t="s">
        <v>7</v>
      </c>
      <c r="H1356" s="42" t="s">
        <v>167</v>
      </c>
      <c r="I1356" s="42" t="s">
        <v>545</v>
      </c>
      <c r="J1356" s="10">
        <v>216019</v>
      </c>
      <c r="K1356" s="7">
        <v>-216019</v>
      </c>
      <c r="L1356" s="1" t="s">
        <v>1052</v>
      </c>
      <c r="M1356" s="2" t="s">
        <v>1053</v>
      </c>
    </row>
    <row r="1357" spans="1:13">
      <c r="A1357" s="21" t="str">
        <f>TEXT(TEXT(B1357,"yyyymmdd"),"00000000")&amp;TEXT(COUNTIF($B$2:B1357,B1357),"00")</f>
        <v>2024041701</v>
      </c>
      <c r="B1357" s="21">
        <f t="shared" si="21"/>
        <v>45399</v>
      </c>
      <c r="C1357" s="22">
        <v>2024</v>
      </c>
      <c r="D1357" s="23">
        <v>4</v>
      </c>
      <c r="E1357" s="24">
        <v>17</v>
      </c>
      <c r="F1357" s="42" t="s">
        <v>17</v>
      </c>
      <c r="G1357" s="42" t="s">
        <v>7</v>
      </c>
      <c r="H1357" s="42" t="s">
        <v>167</v>
      </c>
      <c r="I1357" s="42" t="s">
        <v>168</v>
      </c>
      <c r="J1357" s="10">
        <v>4100</v>
      </c>
      <c r="K1357" s="7">
        <v>-4100</v>
      </c>
      <c r="L1357" s="1" t="s">
        <v>532</v>
      </c>
      <c r="M1357" s="2" t="s">
        <v>672</v>
      </c>
    </row>
    <row r="1358" spans="1:13">
      <c r="A1358" s="21" t="str">
        <f>TEXT(TEXT(B1358,"yyyymmdd"),"00000000")&amp;TEXT(COUNTIF($B$2:B1358,B1358),"00")</f>
        <v>2024041702</v>
      </c>
      <c r="B1358" s="21">
        <f t="shared" si="21"/>
        <v>45399</v>
      </c>
      <c r="C1358" s="22">
        <v>2024</v>
      </c>
      <c r="D1358" s="23">
        <v>4</v>
      </c>
      <c r="E1358" s="24">
        <v>17</v>
      </c>
      <c r="F1358" s="42" t="s">
        <v>17</v>
      </c>
      <c r="G1358" s="42" t="s">
        <v>7</v>
      </c>
      <c r="H1358" s="42" t="s">
        <v>138</v>
      </c>
      <c r="I1358" s="42" t="s">
        <v>139</v>
      </c>
      <c r="J1358" s="10">
        <v>9000</v>
      </c>
      <c r="K1358" s="7">
        <v>-9000</v>
      </c>
      <c r="L1358" s="1" t="s">
        <v>700</v>
      </c>
    </row>
    <row r="1359" spans="1:13">
      <c r="A1359" s="21" t="str">
        <f>TEXT(TEXT(B1359,"yyyymmdd"),"00000000")&amp;TEXT(COUNTIF($B$2:B1359,B1359),"00")</f>
        <v>2024041703</v>
      </c>
      <c r="B1359" s="21">
        <f t="shared" si="21"/>
        <v>45399</v>
      </c>
      <c r="C1359" s="22">
        <v>2024</v>
      </c>
      <c r="D1359" s="23">
        <v>4</v>
      </c>
      <c r="E1359" s="24">
        <v>17</v>
      </c>
      <c r="F1359" s="42" t="s">
        <v>17</v>
      </c>
      <c r="G1359" s="42" t="s">
        <v>7</v>
      </c>
      <c r="H1359" s="42" t="s">
        <v>138</v>
      </c>
      <c r="I1359" s="42" t="s">
        <v>139</v>
      </c>
      <c r="J1359" s="10">
        <v>9500</v>
      </c>
      <c r="K1359" s="7">
        <v>-9500</v>
      </c>
      <c r="L1359" s="1" t="s">
        <v>736</v>
      </c>
    </row>
    <row r="1360" spans="1:13">
      <c r="A1360" s="21" t="str">
        <f>TEXT(TEXT(B1360,"yyyymmdd"),"00000000")&amp;TEXT(COUNTIF($B$2:B1360,B1360),"00")</f>
        <v>2024041801</v>
      </c>
      <c r="B1360" s="21">
        <f t="shared" si="21"/>
        <v>45400</v>
      </c>
      <c r="C1360" s="22">
        <v>2024</v>
      </c>
      <c r="D1360" s="23">
        <v>4</v>
      </c>
      <c r="E1360" s="24">
        <v>18</v>
      </c>
      <c r="F1360" s="42" t="s">
        <v>17</v>
      </c>
      <c r="G1360" s="42" t="s">
        <v>13</v>
      </c>
      <c r="H1360" s="42" t="s">
        <v>138</v>
      </c>
      <c r="I1360" s="42" t="s">
        <v>139</v>
      </c>
      <c r="J1360" s="10">
        <v>9900</v>
      </c>
      <c r="K1360" s="7">
        <v>-9900</v>
      </c>
      <c r="L1360" s="1" t="s">
        <v>750</v>
      </c>
    </row>
    <row r="1361" spans="1:13">
      <c r="A1361" s="21" t="str">
        <f>TEXT(TEXT(B1361,"yyyymmdd"),"00000000")&amp;TEXT(COUNTIF($B$2:B1361,B1361),"00")</f>
        <v>2024041901</v>
      </c>
      <c r="B1361" s="21">
        <f t="shared" si="21"/>
        <v>45401</v>
      </c>
      <c r="C1361" s="22">
        <v>2024</v>
      </c>
      <c r="D1361" s="23">
        <v>4</v>
      </c>
      <c r="E1361" s="24">
        <v>19</v>
      </c>
      <c r="F1361" s="42" t="s">
        <v>17</v>
      </c>
      <c r="G1361" s="42" t="s">
        <v>13</v>
      </c>
      <c r="H1361" s="42" t="s">
        <v>138</v>
      </c>
      <c r="I1361" s="42" t="s">
        <v>139</v>
      </c>
      <c r="J1361" s="10">
        <v>9000</v>
      </c>
      <c r="K1361" s="7">
        <v>-9000</v>
      </c>
      <c r="L1361" s="1" t="s">
        <v>1054</v>
      </c>
    </row>
    <row r="1362" spans="1:13">
      <c r="A1362" s="21" t="str">
        <f>TEXT(TEXT(B1362,"yyyymmdd"),"00000000")&amp;TEXT(COUNTIF($B$2:B1362,B1362),"00")</f>
        <v>2024041902</v>
      </c>
      <c r="B1362" s="21">
        <f t="shared" si="21"/>
        <v>45401</v>
      </c>
      <c r="C1362" s="22">
        <v>2024</v>
      </c>
      <c r="D1362" s="23">
        <v>4</v>
      </c>
      <c r="E1362" s="24">
        <v>19</v>
      </c>
      <c r="F1362" s="42" t="s">
        <v>17</v>
      </c>
      <c r="G1362" s="42" t="s">
        <v>13</v>
      </c>
      <c r="H1362" s="42" t="s">
        <v>138</v>
      </c>
      <c r="I1362" s="42" t="s">
        <v>139</v>
      </c>
      <c r="J1362" s="10">
        <v>7500</v>
      </c>
      <c r="K1362" s="7">
        <v>-7500</v>
      </c>
      <c r="L1362" s="1" t="s">
        <v>673</v>
      </c>
    </row>
    <row r="1363" spans="1:13">
      <c r="A1363" s="21" t="str">
        <f>TEXT(TEXT(B1363,"yyyymmdd"),"00000000")&amp;TEXT(COUNTIF($B$2:B1363,B1363),"00")</f>
        <v>2024042001</v>
      </c>
      <c r="B1363" s="21">
        <f t="shared" si="21"/>
        <v>45402</v>
      </c>
      <c r="C1363" s="22">
        <v>2024</v>
      </c>
      <c r="D1363" s="23">
        <v>4</v>
      </c>
      <c r="E1363" s="24">
        <v>20</v>
      </c>
      <c r="F1363" s="42" t="s">
        <v>17</v>
      </c>
      <c r="G1363" s="42" t="s">
        <v>13</v>
      </c>
      <c r="H1363" s="42" t="s">
        <v>138</v>
      </c>
      <c r="I1363" s="42" t="s">
        <v>139</v>
      </c>
      <c r="J1363" s="10">
        <v>8000</v>
      </c>
      <c r="K1363" s="7">
        <v>-8000</v>
      </c>
      <c r="L1363" s="1" t="s">
        <v>911</v>
      </c>
    </row>
    <row r="1364" spans="1:13">
      <c r="A1364" s="21" t="str">
        <f>TEXT(TEXT(B1364,"yyyymmdd"),"00000000")&amp;TEXT(COUNTIF($B$2:B1364,B1364),"00")</f>
        <v>2024042101</v>
      </c>
      <c r="B1364" s="21">
        <f t="shared" si="21"/>
        <v>45403</v>
      </c>
      <c r="C1364" s="22">
        <v>2024</v>
      </c>
      <c r="D1364" s="23">
        <v>4</v>
      </c>
      <c r="E1364" s="24">
        <v>21</v>
      </c>
      <c r="F1364" s="42" t="s">
        <v>17</v>
      </c>
      <c r="G1364" s="42" t="s">
        <v>13</v>
      </c>
      <c r="H1364" s="42" t="s">
        <v>138</v>
      </c>
      <c r="I1364" s="42" t="s">
        <v>197</v>
      </c>
      <c r="J1364" s="10">
        <v>8500</v>
      </c>
      <c r="K1364" s="7">
        <v>-8500</v>
      </c>
      <c r="L1364" s="1" t="s">
        <v>1000</v>
      </c>
      <c r="M1364" s="2" t="s">
        <v>1056</v>
      </c>
    </row>
    <row r="1365" spans="1:13">
      <c r="A1365" s="21" t="str">
        <f>TEXT(TEXT(B1365,"yyyymmdd"),"00000000")&amp;TEXT(COUNTIF($B$2:B1365,B1365),"00")</f>
        <v>2024042201</v>
      </c>
      <c r="B1365" s="21">
        <f t="shared" si="21"/>
        <v>45404</v>
      </c>
      <c r="C1365" s="22">
        <v>2024</v>
      </c>
      <c r="D1365" s="23">
        <v>4</v>
      </c>
      <c r="E1365" s="24">
        <v>22</v>
      </c>
      <c r="F1365" s="42" t="s">
        <v>17</v>
      </c>
      <c r="G1365" s="42" t="s">
        <v>7</v>
      </c>
      <c r="H1365" s="42" t="s">
        <v>167</v>
      </c>
      <c r="I1365" s="42" t="s">
        <v>168</v>
      </c>
      <c r="J1365" s="10">
        <v>4100</v>
      </c>
      <c r="K1365" s="7">
        <v>-4100</v>
      </c>
      <c r="L1365" s="1" t="s">
        <v>532</v>
      </c>
      <c r="M1365" s="2" t="s">
        <v>672</v>
      </c>
    </row>
    <row r="1366" spans="1:13">
      <c r="A1366" s="21" t="str">
        <f>TEXT(TEXT(B1366,"yyyymmdd"),"00000000")&amp;TEXT(COUNTIF($B$2:B1366,B1366),"00")</f>
        <v>2024042202</v>
      </c>
      <c r="B1366" s="21">
        <f t="shared" si="21"/>
        <v>45404</v>
      </c>
      <c r="C1366" s="22">
        <v>2024</v>
      </c>
      <c r="D1366" s="23">
        <v>4</v>
      </c>
      <c r="E1366" s="24">
        <v>22</v>
      </c>
      <c r="F1366" s="42" t="s">
        <v>17</v>
      </c>
      <c r="G1366" s="42" t="s">
        <v>13</v>
      </c>
      <c r="H1366" s="42" t="s">
        <v>138</v>
      </c>
      <c r="I1366" s="42" t="s">
        <v>139</v>
      </c>
      <c r="J1366" s="10">
        <v>9000</v>
      </c>
      <c r="K1366" s="7">
        <v>-9000</v>
      </c>
      <c r="L1366" s="1" t="s">
        <v>779</v>
      </c>
    </row>
    <row r="1367" spans="1:13">
      <c r="A1367" s="21" t="str">
        <f>TEXT(TEXT(B1367,"yyyymmdd"),"00000000")&amp;TEXT(COUNTIF($B$2:B1367,B1367),"00")</f>
        <v>2024042203</v>
      </c>
      <c r="B1367" s="21">
        <f t="shared" si="21"/>
        <v>45404</v>
      </c>
      <c r="C1367" s="22">
        <v>2024</v>
      </c>
      <c r="D1367" s="23">
        <v>4</v>
      </c>
      <c r="E1367" s="24">
        <v>22</v>
      </c>
      <c r="F1367" s="42" t="s">
        <v>17</v>
      </c>
      <c r="G1367" s="42" t="s">
        <v>7</v>
      </c>
      <c r="H1367" s="42" t="s">
        <v>110</v>
      </c>
      <c r="I1367" s="42" t="s">
        <v>120</v>
      </c>
      <c r="J1367" s="10">
        <v>2300</v>
      </c>
      <c r="K1367" s="7">
        <v>-2300</v>
      </c>
      <c r="L1367" s="1" t="s">
        <v>820</v>
      </c>
    </row>
    <row r="1368" spans="1:13">
      <c r="A1368" s="21" t="str">
        <f>TEXT(TEXT(B1368,"yyyymmdd"),"00000000")&amp;TEXT(COUNTIF($B$2:B1368,B1368),"00")</f>
        <v>2024042204</v>
      </c>
      <c r="B1368" s="21">
        <f t="shared" si="21"/>
        <v>45404</v>
      </c>
      <c r="C1368" s="22">
        <v>2024</v>
      </c>
      <c r="D1368" s="23">
        <v>4</v>
      </c>
      <c r="E1368" s="24">
        <v>22</v>
      </c>
      <c r="F1368" s="42" t="s">
        <v>17</v>
      </c>
      <c r="G1368" s="42" t="s">
        <v>13</v>
      </c>
      <c r="H1368" s="42" t="s">
        <v>138</v>
      </c>
      <c r="I1368" s="42" t="s">
        <v>139</v>
      </c>
      <c r="J1368" s="10">
        <v>11000</v>
      </c>
      <c r="K1368" s="7">
        <v>-11000</v>
      </c>
      <c r="L1368" s="1" t="s">
        <v>677</v>
      </c>
    </row>
    <row r="1369" spans="1:13">
      <c r="A1369" s="21" t="str">
        <f>TEXT(TEXT(B1369,"yyyymmdd"),"00000000")&amp;TEXT(COUNTIF($B$2:B1369,B1369),"00")</f>
        <v>2024042205</v>
      </c>
      <c r="B1369" s="21">
        <f t="shared" si="21"/>
        <v>45404</v>
      </c>
      <c r="C1369" s="22">
        <v>2024</v>
      </c>
      <c r="D1369" s="23">
        <v>4</v>
      </c>
      <c r="E1369" s="24">
        <v>22</v>
      </c>
      <c r="F1369" s="42" t="s">
        <v>17</v>
      </c>
      <c r="G1369" s="42" t="s">
        <v>135</v>
      </c>
      <c r="H1369" s="42" t="s">
        <v>135</v>
      </c>
      <c r="I1369" s="42" t="s">
        <v>143</v>
      </c>
      <c r="J1369" s="10">
        <v>-10000</v>
      </c>
      <c r="K1369" s="7">
        <v>10000</v>
      </c>
      <c r="L1369" s="1" t="s">
        <v>165</v>
      </c>
    </row>
    <row r="1370" spans="1:13">
      <c r="A1370" s="21" t="str">
        <f>TEXT(TEXT(B1370,"yyyymmdd"),"00000000")&amp;TEXT(COUNTIF($B$2:B1370,B1370),"00")</f>
        <v>2024042206</v>
      </c>
      <c r="B1370" s="21">
        <f t="shared" si="21"/>
        <v>45404</v>
      </c>
      <c r="C1370" s="22">
        <v>2024</v>
      </c>
      <c r="D1370" s="23">
        <v>4</v>
      </c>
      <c r="E1370" s="24">
        <v>22</v>
      </c>
      <c r="F1370" s="42" t="s">
        <v>17</v>
      </c>
      <c r="G1370" s="42" t="s">
        <v>170</v>
      </c>
      <c r="H1370" s="42" t="s">
        <v>114</v>
      </c>
      <c r="I1370" s="42" t="s">
        <v>1005</v>
      </c>
      <c r="J1370" s="10">
        <v>15190</v>
      </c>
      <c r="K1370" s="7">
        <v>-15190</v>
      </c>
      <c r="L1370" s="1" t="s">
        <v>1006</v>
      </c>
    </row>
    <row r="1371" spans="1:13">
      <c r="A1371" s="21" t="str">
        <f>TEXT(TEXT(B1371,"yyyymmdd"),"00000000")&amp;TEXT(COUNTIF($B$2:B1371,B1371),"00")</f>
        <v>2024042301</v>
      </c>
      <c r="B1371" s="21">
        <f t="shared" si="21"/>
        <v>45405</v>
      </c>
      <c r="C1371" s="22">
        <v>2024</v>
      </c>
      <c r="D1371" s="23">
        <v>4</v>
      </c>
      <c r="E1371" s="24">
        <v>23</v>
      </c>
      <c r="F1371" s="42" t="s">
        <v>17</v>
      </c>
      <c r="G1371" s="42" t="s">
        <v>13</v>
      </c>
      <c r="H1371" s="42" t="s">
        <v>138</v>
      </c>
      <c r="I1371" s="42" t="s">
        <v>139</v>
      </c>
      <c r="J1371" s="10">
        <v>6500</v>
      </c>
      <c r="K1371" s="7">
        <v>-6500</v>
      </c>
      <c r="L1371" s="1" t="s">
        <v>673</v>
      </c>
    </row>
    <row r="1372" spans="1:13">
      <c r="A1372" s="21" t="str">
        <f>TEXT(TEXT(B1372,"yyyymmdd"),"00000000")&amp;TEXT(COUNTIF($B$2:B1372,B1372),"00")</f>
        <v>2024042302</v>
      </c>
      <c r="B1372" s="21">
        <f t="shared" si="21"/>
        <v>45405</v>
      </c>
      <c r="C1372" s="22">
        <v>2024</v>
      </c>
      <c r="D1372" s="23">
        <v>4</v>
      </c>
      <c r="E1372" s="24">
        <v>23</v>
      </c>
      <c r="F1372" s="42" t="s">
        <v>17</v>
      </c>
      <c r="G1372" s="42" t="s">
        <v>13</v>
      </c>
      <c r="H1372" s="42" t="s">
        <v>138</v>
      </c>
      <c r="I1372" s="42" t="s">
        <v>139</v>
      </c>
      <c r="J1372" s="10">
        <v>9000</v>
      </c>
      <c r="K1372" s="7">
        <v>-9000</v>
      </c>
      <c r="L1372" s="1" t="s">
        <v>738</v>
      </c>
    </row>
    <row r="1373" spans="1:13">
      <c r="A1373" s="21" t="str">
        <f>TEXT(TEXT(B1373,"yyyymmdd"),"00000000")&amp;TEXT(COUNTIF($B$2:B1373,B1373),"00")</f>
        <v>2024042401</v>
      </c>
      <c r="B1373" s="21">
        <f t="shared" si="21"/>
        <v>45406</v>
      </c>
      <c r="C1373" s="22">
        <v>2024</v>
      </c>
      <c r="D1373" s="23">
        <v>4</v>
      </c>
      <c r="E1373" s="24">
        <v>24</v>
      </c>
      <c r="F1373" s="42" t="s">
        <v>17</v>
      </c>
      <c r="G1373" s="42" t="s">
        <v>13</v>
      </c>
      <c r="H1373" s="42" t="s">
        <v>138</v>
      </c>
      <c r="I1373" s="42" t="s">
        <v>139</v>
      </c>
      <c r="J1373" s="10">
        <v>7200</v>
      </c>
      <c r="K1373" s="7">
        <v>-7200</v>
      </c>
      <c r="L1373" s="1" t="s">
        <v>300</v>
      </c>
    </row>
    <row r="1374" spans="1:13">
      <c r="A1374" s="21" t="str">
        <f>TEXT(TEXT(B1374,"yyyymmdd"),"00000000")&amp;TEXT(COUNTIF($B$2:B1374,B1374),"00")</f>
        <v>2024042402</v>
      </c>
      <c r="B1374" s="21">
        <f t="shared" si="21"/>
        <v>45406</v>
      </c>
      <c r="C1374" s="22">
        <v>2024</v>
      </c>
      <c r="D1374" s="23">
        <v>4</v>
      </c>
      <c r="E1374" s="24">
        <v>24</v>
      </c>
      <c r="F1374" s="42" t="s">
        <v>17</v>
      </c>
      <c r="G1374" s="42" t="s">
        <v>13</v>
      </c>
      <c r="H1374" s="42" t="s">
        <v>138</v>
      </c>
      <c r="I1374" s="42" t="s">
        <v>139</v>
      </c>
      <c r="J1374" s="10">
        <v>7500</v>
      </c>
      <c r="K1374" s="7">
        <v>-7500</v>
      </c>
      <c r="L1374" s="1" t="s">
        <v>679</v>
      </c>
    </row>
    <row r="1375" spans="1:13">
      <c r="A1375" s="21" t="str">
        <f>TEXT(TEXT(B1375,"yyyymmdd"),"00000000")&amp;TEXT(COUNTIF($B$2:B1375,B1375),"00")</f>
        <v>2024042403</v>
      </c>
      <c r="B1375" s="21">
        <f t="shared" si="21"/>
        <v>45406</v>
      </c>
      <c r="C1375" s="22">
        <v>2024</v>
      </c>
      <c r="D1375" s="23">
        <v>4</v>
      </c>
      <c r="E1375" s="24">
        <v>24</v>
      </c>
      <c r="F1375" s="42" t="s">
        <v>17</v>
      </c>
      <c r="G1375" s="42" t="s">
        <v>7</v>
      </c>
      <c r="H1375" s="42" t="s">
        <v>110</v>
      </c>
      <c r="I1375" s="42" t="s">
        <v>120</v>
      </c>
      <c r="J1375" s="10">
        <v>1000</v>
      </c>
      <c r="K1375" s="7">
        <v>-1000</v>
      </c>
      <c r="L1375" s="1" t="s">
        <v>651</v>
      </c>
      <c r="M1375" s="2" t="s">
        <v>1057</v>
      </c>
    </row>
    <row r="1376" spans="1:13">
      <c r="A1376" s="21" t="str">
        <f>TEXT(TEXT(B1376,"yyyymmdd"),"00000000")&amp;TEXT(COUNTIF($B$2:B1376,B1376),"00")</f>
        <v>2024042501</v>
      </c>
      <c r="B1376" s="21">
        <f t="shared" si="21"/>
        <v>45407</v>
      </c>
      <c r="C1376" s="22">
        <v>2024</v>
      </c>
      <c r="D1376" s="23">
        <v>4</v>
      </c>
      <c r="E1376" s="24">
        <v>25</v>
      </c>
      <c r="F1376" s="42" t="s">
        <v>17</v>
      </c>
      <c r="G1376" s="42" t="s">
        <v>13</v>
      </c>
      <c r="H1376" s="42" t="s">
        <v>138</v>
      </c>
      <c r="I1376" s="42" t="s">
        <v>139</v>
      </c>
      <c r="J1376" s="10">
        <v>7000</v>
      </c>
      <c r="K1376" s="7">
        <v>-7000</v>
      </c>
      <c r="L1376" s="1" t="s">
        <v>634</v>
      </c>
    </row>
    <row r="1377" spans="1:13">
      <c r="A1377" s="21" t="str">
        <f>TEXT(TEXT(B1377,"yyyymmdd"),"00000000")&amp;TEXT(COUNTIF($B$2:B1377,B1377),"00")</f>
        <v>2024042502</v>
      </c>
      <c r="B1377" s="21">
        <f t="shared" si="21"/>
        <v>45407</v>
      </c>
      <c r="C1377" s="22">
        <v>2024</v>
      </c>
      <c r="D1377" s="23">
        <v>4</v>
      </c>
      <c r="E1377" s="24">
        <v>25</v>
      </c>
      <c r="F1377" s="42" t="s">
        <v>17</v>
      </c>
      <c r="G1377" s="42" t="s">
        <v>13</v>
      </c>
      <c r="H1377" s="42" t="s">
        <v>138</v>
      </c>
      <c r="I1377" s="42" t="s">
        <v>139</v>
      </c>
      <c r="J1377" s="10">
        <v>8900</v>
      </c>
      <c r="K1377" s="7">
        <v>-8900</v>
      </c>
      <c r="L1377" s="1" t="s">
        <v>819</v>
      </c>
    </row>
    <row r="1378" spans="1:13">
      <c r="A1378" s="21" t="str">
        <f>TEXT(TEXT(B1378,"yyyymmdd"),"00000000")&amp;TEXT(COUNTIF($B$2:B1378,B1378),"00")</f>
        <v>2024042601</v>
      </c>
      <c r="B1378" s="21">
        <f t="shared" si="21"/>
        <v>45408</v>
      </c>
      <c r="C1378" s="22">
        <v>2024</v>
      </c>
      <c r="D1378" s="23">
        <v>4</v>
      </c>
      <c r="E1378" s="24">
        <v>26</v>
      </c>
      <c r="F1378" s="42" t="s">
        <v>17</v>
      </c>
      <c r="G1378" s="42" t="s">
        <v>13</v>
      </c>
      <c r="H1378" s="42" t="s">
        <v>138</v>
      </c>
      <c r="I1378" s="42" t="s">
        <v>139</v>
      </c>
      <c r="J1378" s="10">
        <v>5400</v>
      </c>
      <c r="K1378" s="7">
        <v>-5400</v>
      </c>
      <c r="L1378" s="1" t="s">
        <v>300</v>
      </c>
    </row>
    <row r="1379" spans="1:13">
      <c r="A1379" s="21" t="str">
        <f>TEXT(TEXT(B1379,"yyyymmdd"),"00000000")&amp;TEXT(COUNTIF($B$2:B1379,B1379),"00")</f>
        <v>2024042602</v>
      </c>
      <c r="B1379" s="21">
        <f t="shared" si="21"/>
        <v>45408</v>
      </c>
      <c r="C1379" s="22">
        <v>2024</v>
      </c>
      <c r="D1379" s="23">
        <v>4</v>
      </c>
      <c r="E1379" s="24">
        <v>26</v>
      </c>
      <c r="F1379" s="42" t="s">
        <v>17</v>
      </c>
      <c r="G1379" s="42" t="s">
        <v>13</v>
      </c>
      <c r="H1379" s="42" t="s">
        <v>138</v>
      </c>
      <c r="I1379" s="42" t="s">
        <v>139</v>
      </c>
      <c r="J1379" s="10">
        <v>7500</v>
      </c>
      <c r="K1379" s="7">
        <v>-7500</v>
      </c>
      <c r="L1379" s="1" t="s">
        <v>677</v>
      </c>
    </row>
    <row r="1380" spans="1:13">
      <c r="A1380" s="21" t="str">
        <f>TEXT(TEXT(B1380,"yyyymmdd"),"00000000")&amp;TEXT(COUNTIF($B$2:B1380,B1380),"00")</f>
        <v>2024042701</v>
      </c>
      <c r="B1380" s="21">
        <f t="shared" si="21"/>
        <v>45409</v>
      </c>
      <c r="C1380" s="22">
        <v>2024</v>
      </c>
      <c r="D1380" s="23">
        <v>4</v>
      </c>
      <c r="E1380" s="24">
        <v>27</v>
      </c>
      <c r="F1380" s="42" t="s">
        <v>17</v>
      </c>
      <c r="G1380" s="42" t="s">
        <v>7</v>
      </c>
      <c r="H1380" s="42" t="s">
        <v>138</v>
      </c>
      <c r="I1380" s="42" t="s">
        <v>139</v>
      </c>
      <c r="J1380" s="10">
        <v>2250</v>
      </c>
      <c r="K1380" s="7">
        <v>-2250</v>
      </c>
      <c r="L1380" s="1" t="s">
        <v>1060</v>
      </c>
    </row>
    <row r="1381" spans="1:13">
      <c r="A1381" s="21" t="str">
        <f>TEXT(TEXT(B1381,"yyyymmdd"),"00000000")&amp;TEXT(COUNTIF($B$2:B1381,B1381),"00")</f>
        <v>2024042702</v>
      </c>
      <c r="B1381" s="21">
        <f t="shared" si="21"/>
        <v>45409</v>
      </c>
      <c r="C1381" s="22">
        <v>2024</v>
      </c>
      <c r="D1381" s="23">
        <v>4</v>
      </c>
      <c r="E1381" s="24">
        <v>27</v>
      </c>
      <c r="F1381" s="42" t="s">
        <v>17</v>
      </c>
      <c r="G1381" s="42" t="s">
        <v>7</v>
      </c>
      <c r="H1381" s="42" t="s">
        <v>110</v>
      </c>
      <c r="I1381" s="42" t="s">
        <v>120</v>
      </c>
      <c r="J1381" s="10">
        <v>10250</v>
      </c>
      <c r="K1381" s="7">
        <v>-10250</v>
      </c>
      <c r="L1381" s="1" t="s">
        <v>1059</v>
      </c>
      <c r="M1381" s="2" t="s">
        <v>1058</v>
      </c>
    </row>
    <row r="1382" spans="1:13">
      <c r="A1382" s="21" t="str">
        <f>TEXT(TEXT(B1382,"yyyymmdd"),"00000000")&amp;TEXT(COUNTIF($B$2:B1382,B1382),"00")</f>
        <v>2024042801</v>
      </c>
      <c r="B1382" s="21">
        <f t="shared" si="21"/>
        <v>45410</v>
      </c>
      <c r="C1382" s="22">
        <v>2024</v>
      </c>
      <c r="D1382" s="23">
        <v>4</v>
      </c>
      <c r="E1382" s="24">
        <v>28</v>
      </c>
      <c r="F1382" s="42" t="s">
        <v>17</v>
      </c>
      <c r="G1382" s="42" t="s">
        <v>13</v>
      </c>
      <c r="H1382" s="42" t="s">
        <v>138</v>
      </c>
      <c r="I1382" s="42" t="s">
        <v>139</v>
      </c>
      <c r="J1382" s="10">
        <v>9500</v>
      </c>
      <c r="K1382" s="7">
        <v>-9500</v>
      </c>
      <c r="L1382" s="1" t="s">
        <v>1061</v>
      </c>
      <c r="M1382" s="2" t="s">
        <v>697</v>
      </c>
    </row>
    <row r="1383" spans="1:13">
      <c r="A1383" s="21" t="str">
        <f>TEXT(TEXT(B1383,"yyyymmdd"),"00000000")&amp;TEXT(COUNTIF($B$2:B1383,B1383),"00")</f>
        <v>2024042901</v>
      </c>
      <c r="B1383" s="21">
        <f t="shared" si="21"/>
        <v>45411</v>
      </c>
      <c r="C1383" s="22">
        <v>2024</v>
      </c>
      <c r="D1383" s="23">
        <v>4</v>
      </c>
      <c r="E1383" s="24">
        <v>29</v>
      </c>
      <c r="F1383" s="42" t="s">
        <v>17</v>
      </c>
      <c r="G1383" s="42" t="s">
        <v>7</v>
      </c>
      <c r="H1383" s="42" t="s">
        <v>167</v>
      </c>
      <c r="I1383" s="42" t="s">
        <v>168</v>
      </c>
      <c r="J1383" s="10">
        <v>4100</v>
      </c>
      <c r="K1383" s="7">
        <v>-4100</v>
      </c>
      <c r="L1383" s="1" t="s">
        <v>532</v>
      </c>
      <c r="M1383" s="2" t="s">
        <v>1063</v>
      </c>
    </row>
    <row r="1384" spans="1:13">
      <c r="A1384" s="21" t="str">
        <f>TEXT(TEXT(B1384,"yyyymmdd"),"00000000")&amp;TEXT(COUNTIF($B$2:B1384,B1384),"00")</f>
        <v>2024042902</v>
      </c>
      <c r="B1384" s="21">
        <f t="shared" si="21"/>
        <v>45411</v>
      </c>
      <c r="C1384" s="22">
        <v>2024</v>
      </c>
      <c r="D1384" s="23">
        <v>4</v>
      </c>
      <c r="E1384" s="24">
        <v>29</v>
      </c>
      <c r="F1384" s="42" t="s">
        <v>17</v>
      </c>
      <c r="G1384" s="42" t="s">
        <v>7</v>
      </c>
      <c r="H1384" s="42" t="s">
        <v>167</v>
      </c>
      <c r="I1384" s="42" t="s">
        <v>214</v>
      </c>
      <c r="J1384" s="10">
        <v>9000</v>
      </c>
      <c r="K1384" s="7">
        <v>-9000</v>
      </c>
      <c r="L1384" s="1" t="s">
        <v>603</v>
      </c>
    </row>
    <row r="1385" spans="1:13">
      <c r="A1385" s="21" t="str">
        <f>TEXT(TEXT(B1385,"yyyymmdd"),"00000000")&amp;TEXT(COUNTIF($B$2:B1385,B1385),"00")</f>
        <v>2024042903</v>
      </c>
      <c r="B1385" s="21">
        <f t="shared" si="21"/>
        <v>45411</v>
      </c>
      <c r="C1385" s="22">
        <v>2024</v>
      </c>
      <c r="D1385" s="23">
        <v>4</v>
      </c>
      <c r="E1385" s="24">
        <v>29</v>
      </c>
      <c r="F1385" s="42" t="s">
        <v>17</v>
      </c>
      <c r="G1385" s="42" t="s">
        <v>13</v>
      </c>
      <c r="H1385" s="42" t="s">
        <v>138</v>
      </c>
      <c r="I1385" s="42" t="s">
        <v>159</v>
      </c>
      <c r="J1385" s="10">
        <v>6813</v>
      </c>
      <c r="K1385" s="7">
        <v>-6813</v>
      </c>
      <c r="L1385" s="1" t="s">
        <v>701</v>
      </c>
      <c r="M1385" s="2" t="s">
        <v>1064</v>
      </c>
    </row>
    <row r="1386" spans="1:13">
      <c r="A1386" s="21" t="str">
        <f>TEXT(TEXT(B1386,"yyyymmdd"),"00000000")&amp;TEXT(COUNTIF($B$2:B1386,B1386),"00")</f>
        <v>2024042904</v>
      </c>
      <c r="B1386" s="21">
        <f t="shared" si="21"/>
        <v>45411</v>
      </c>
      <c r="C1386" s="22">
        <v>2024</v>
      </c>
      <c r="D1386" s="23">
        <v>4</v>
      </c>
      <c r="E1386" s="24">
        <v>29</v>
      </c>
      <c r="F1386" s="42" t="s">
        <v>17</v>
      </c>
      <c r="G1386" s="42" t="s">
        <v>13</v>
      </c>
      <c r="H1386" s="42" t="s">
        <v>138</v>
      </c>
      <c r="I1386" s="42" t="s">
        <v>139</v>
      </c>
      <c r="J1386" s="10">
        <v>5000</v>
      </c>
      <c r="K1386" s="7">
        <v>-5000</v>
      </c>
      <c r="L1386" s="1" t="s">
        <v>619</v>
      </c>
    </row>
    <row r="1387" spans="1:13">
      <c r="A1387" s="21" t="str">
        <f>TEXT(TEXT(B1387,"yyyymmdd"),"00000000")&amp;TEXT(COUNTIF($B$2:B1387,B1387),"00")</f>
        <v>2024042905</v>
      </c>
      <c r="B1387" s="21">
        <f t="shared" si="21"/>
        <v>45411</v>
      </c>
      <c r="C1387" s="22">
        <v>2024</v>
      </c>
      <c r="D1387" s="23">
        <v>4</v>
      </c>
      <c r="E1387" s="24">
        <v>29</v>
      </c>
      <c r="F1387" s="42" t="s">
        <v>17</v>
      </c>
      <c r="G1387" s="42" t="s">
        <v>7</v>
      </c>
      <c r="H1387" s="42" t="s">
        <v>173</v>
      </c>
      <c r="I1387" s="42" t="s">
        <v>174</v>
      </c>
      <c r="J1387" s="10">
        <v>3270</v>
      </c>
      <c r="K1387" s="7">
        <v>-3270</v>
      </c>
      <c r="L1387" s="1" t="s">
        <v>694</v>
      </c>
    </row>
    <row r="1388" spans="1:13">
      <c r="A1388" s="21" t="str">
        <f>TEXT(TEXT(B1388,"yyyymmdd"),"00000000")&amp;TEXT(COUNTIF($B$2:B1388,B1388),"00")</f>
        <v>2024042906</v>
      </c>
      <c r="B1388" s="21">
        <f t="shared" si="21"/>
        <v>45411</v>
      </c>
      <c r="C1388" s="22">
        <v>2024</v>
      </c>
      <c r="D1388" s="23">
        <v>4</v>
      </c>
      <c r="E1388" s="24">
        <v>29</v>
      </c>
      <c r="F1388" s="42" t="s">
        <v>17</v>
      </c>
      <c r="G1388" s="42" t="s">
        <v>7</v>
      </c>
      <c r="H1388" s="42" t="s">
        <v>115</v>
      </c>
      <c r="I1388" s="42" t="s">
        <v>953</v>
      </c>
      <c r="J1388" s="10">
        <v>5200</v>
      </c>
      <c r="K1388" s="7">
        <v>-5200</v>
      </c>
      <c r="L1388" s="1" t="s">
        <v>1062</v>
      </c>
    </row>
    <row r="1389" spans="1:13">
      <c r="A1389" s="21" t="str">
        <f>TEXT(TEXT(B1389,"yyyymmdd"),"00000000")&amp;TEXT(COUNTIF($B$2:B1389,B1389),"00")</f>
        <v>2024043001</v>
      </c>
      <c r="B1389" s="21">
        <f t="shared" si="21"/>
        <v>45412</v>
      </c>
      <c r="C1389" s="22">
        <v>2024</v>
      </c>
      <c r="D1389" s="23">
        <v>4</v>
      </c>
      <c r="E1389" s="24">
        <v>30</v>
      </c>
      <c r="F1389" s="42" t="s">
        <v>17</v>
      </c>
      <c r="G1389" s="42" t="s">
        <v>7</v>
      </c>
      <c r="H1389" s="42" t="s">
        <v>110</v>
      </c>
      <c r="I1389" s="42" t="s">
        <v>124</v>
      </c>
      <c r="J1389" s="10">
        <v>3200</v>
      </c>
      <c r="K1389" s="7">
        <v>-3200</v>
      </c>
      <c r="L1389" s="1" t="s">
        <v>865</v>
      </c>
    </row>
    <row r="1390" spans="1:13">
      <c r="A1390" s="21" t="str">
        <f>TEXT(TEXT(B1390,"yyyymmdd"),"00000000")&amp;TEXT(COUNTIF($B$2:B1390,B1390),"00")</f>
        <v>2024043002</v>
      </c>
      <c r="B1390" s="21">
        <f t="shared" si="21"/>
        <v>45412</v>
      </c>
      <c r="C1390" s="22">
        <v>2024</v>
      </c>
      <c r="D1390" s="23">
        <v>4</v>
      </c>
      <c r="E1390" s="24">
        <v>30</v>
      </c>
      <c r="F1390" s="42" t="s">
        <v>17</v>
      </c>
      <c r="G1390" s="42" t="s">
        <v>13</v>
      </c>
      <c r="H1390" s="42" t="s">
        <v>138</v>
      </c>
      <c r="I1390" s="42" t="s">
        <v>139</v>
      </c>
      <c r="J1390" s="10">
        <v>6000</v>
      </c>
      <c r="K1390" s="7">
        <v>-6000</v>
      </c>
      <c r="L1390" s="1" t="s">
        <v>675</v>
      </c>
    </row>
    <row r="1391" spans="1:13">
      <c r="A1391" s="21" t="str">
        <f>TEXT(TEXT(B1391,"yyyymmdd"),"00000000")&amp;TEXT(COUNTIF($B$2:B1391,B1391),"00")</f>
        <v>2024043003</v>
      </c>
      <c r="B1391" s="21">
        <f t="shared" si="21"/>
        <v>45412</v>
      </c>
      <c r="C1391" s="22">
        <v>2024</v>
      </c>
      <c r="D1391" s="23">
        <v>4</v>
      </c>
      <c r="E1391" s="24">
        <v>30</v>
      </c>
      <c r="F1391" s="42" t="s">
        <v>17</v>
      </c>
      <c r="G1391" s="42" t="s">
        <v>170</v>
      </c>
      <c r="H1391" s="42" t="s">
        <v>155</v>
      </c>
      <c r="I1391" s="42" t="s">
        <v>156</v>
      </c>
      <c r="J1391" s="10">
        <v>1395</v>
      </c>
      <c r="K1391" s="7">
        <v>-1395</v>
      </c>
      <c r="L1391" s="1" t="s">
        <v>303</v>
      </c>
    </row>
    <row r="1392" spans="1:13">
      <c r="A1392" s="21" t="str">
        <f>TEXT(TEXT(B1392,"yyyymmdd"),"00000000")&amp;TEXT(COUNTIF($B$2:B1392,B1392),"00")</f>
        <v>2024050101</v>
      </c>
      <c r="B1392" s="21">
        <f t="shared" si="21"/>
        <v>45413</v>
      </c>
      <c r="C1392" s="22">
        <v>2024</v>
      </c>
      <c r="D1392" s="23">
        <v>5</v>
      </c>
      <c r="E1392" s="24">
        <v>1</v>
      </c>
      <c r="F1392" s="42" t="s">
        <v>17</v>
      </c>
      <c r="G1392" s="42" t="s">
        <v>151</v>
      </c>
      <c r="H1392" s="42" t="s">
        <v>151</v>
      </c>
      <c r="I1392" s="42" t="s">
        <v>152</v>
      </c>
      <c r="J1392" s="10">
        <v>-600000</v>
      </c>
      <c r="K1392" s="7">
        <v>600000</v>
      </c>
      <c r="L1392" s="1" t="s">
        <v>252</v>
      </c>
      <c r="M1392" s="2" t="s">
        <v>1065</v>
      </c>
    </row>
    <row r="1393" spans="1:13">
      <c r="A1393" s="21" t="str">
        <f>TEXT(TEXT(B1393,"yyyymmdd"),"00000000")&amp;TEXT(COUNTIF($B$2:B1393,B1393),"00")</f>
        <v>2024050102</v>
      </c>
      <c r="B1393" s="21">
        <f t="shared" si="21"/>
        <v>45413</v>
      </c>
      <c r="C1393" s="22">
        <v>2024</v>
      </c>
      <c r="D1393" s="23">
        <v>5</v>
      </c>
      <c r="E1393" s="24">
        <v>1</v>
      </c>
      <c r="F1393" s="42" t="s">
        <v>17</v>
      </c>
      <c r="G1393" s="42" t="s">
        <v>13</v>
      </c>
      <c r="H1393" s="42" t="s">
        <v>138</v>
      </c>
      <c r="I1393" s="42" t="s">
        <v>139</v>
      </c>
      <c r="J1393" s="10">
        <v>6800</v>
      </c>
      <c r="K1393" s="7">
        <v>-6800</v>
      </c>
      <c r="L1393" s="1" t="s">
        <v>300</v>
      </c>
    </row>
    <row r="1394" spans="1:13">
      <c r="A1394" s="21" t="str">
        <f>TEXT(TEXT(B1394,"yyyymmdd"),"00000000")&amp;TEXT(COUNTIF($B$2:B1394,B1394),"00")</f>
        <v>2024050103</v>
      </c>
      <c r="B1394" s="21">
        <f t="shared" si="21"/>
        <v>45413</v>
      </c>
      <c r="C1394" s="22">
        <v>2024</v>
      </c>
      <c r="D1394" s="23">
        <v>5</v>
      </c>
      <c r="E1394" s="24">
        <v>1</v>
      </c>
      <c r="F1394" s="42" t="s">
        <v>17</v>
      </c>
      <c r="G1394" s="42" t="s">
        <v>7</v>
      </c>
      <c r="H1394" s="42" t="s">
        <v>110</v>
      </c>
      <c r="I1394" s="42" t="s">
        <v>124</v>
      </c>
      <c r="J1394" s="10">
        <v>1800</v>
      </c>
      <c r="K1394" s="7">
        <v>-1800</v>
      </c>
      <c r="L1394" s="1" t="s">
        <v>300</v>
      </c>
      <c r="M1394" s="2" t="s">
        <v>1066</v>
      </c>
    </row>
    <row r="1395" spans="1:13">
      <c r="A1395" s="21" t="str">
        <f>TEXT(TEXT(B1395,"yyyymmdd"),"00000000")&amp;TEXT(COUNTIF($B$2:B1395,B1395),"00")</f>
        <v>2024050104</v>
      </c>
      <c r="B1395" s="21">
        <f t="shared" si="21"/>
        <v>45413</v>
      </c>
      <c r="C1395" s="22">
        <v>2024</v>
      </c>
      <c r="D1395" s="23">
        <v>5</v>
      </c>
      <c r="E1395" s="24">
        <v>1</v>
      </c>
      <c r="F1395" s="42" t="s">
        <v>17</v>
      </c>
      <c r="G1395" s="42" t="s">
        <v>7</v>
      </c>
      <c r="H1395" s="42" t="s">
        <v>167</v>
      </c>
      <c r="I1395" s="42" t="s">
        <v>168</v>
      </c>
      <c r="J1395" s="10">
        <v>1700</v>
      </c>
      <c r="K1395" s="7">
        <v>-1700</v>
      </c>
      <c r="L1395" s="1" t="s">
        <v>748</v>
      </c>
      <c r="M1395" s="2" t="s">
        <v>1067</v>
      </c>
    </row>
    <row r="1396" spans="1:13">
      <c r="A1396" s="21" t="str">
        <f>TEXT(TEXT(B1396,"yyyymmdd"),"00000000")&amp;TEXT(COUNTIF($B$2:B1396,B1396),"00")</f>
        <v>2024050201</v>
      </c>
      <c r="B1396" s="21">
        <f t="shared" si="21"/>
        <v>45414</v>
      </c>
      <c r="C1396" s="22">
        <v>2024</v>
      </c>
      <c r="D1396" s="23">
        <v>5</v>
      </c>
      <c r="E1396" s="24">
        <v>2</v>
      </c>
      <c r="F1396" s="42" t="s">
        <v>17</v>
      </c>
      <c r="G1396" s="42" t="s">
        <v>13</v>
      </c>
      <c r="H1396" s="42" t="s">
        <v>138</v>
      </c>
      <c r="I1396" s="42" t="s">
        <v>139</v>
      </c>
      <c r="J1396" s="10">
        <v>6500</v>
      </c>
      <c r="K1396" s="7">
        <v>-6500</v>
      </c>
      <c r="L1396" s="1" t="s">
        <v>634</v>
      </c>
    </row>
    <row r="1397" spans="1:13">
      <c r="A1397" s="21" t="str">
        <f>TEXT(TEXT(B1397,"yyyymmdd"),"00000000")&amp;TEXT(COUNTIF($B$2:B1397,B1397),"00")</f>
        <v>2024050202</v>
      </c>
      <c r="B1397" s="21">
        <f t="shared" si="21"/>
        <v>45414</v>
      </c>
      <c r="C1397" s="22">
        <v>2024</v>
      </c>
      <c r="D1397" s="23">
        <v>5</v>
      </c>
      <c r="E1397" s="24">
        <v>2</v>
      </c>
      <c r="F1397" s="42" t="s">
        <v>17</v>
      </c>
      <c r="G1397" s="42" t="s">
        <v>13</v>
      </c>
      <c r="H1397" s="42" t="s">
        <v>138</v>
      </c>
      <c r="I1397" s="42" t="s">
        <v>139</v>
      </c>
      <c r="J1397" s="10">
        <v>5000</v>
      </c>
      <c r="K1397" s="7">
        <v>-5000</v>
      </c>
      <c r="L1397" s="1" t="s">
        <v>619</v>
      </c>
    </row>
    <row r="1398" spans="1:13">
      <c r="A1398" s="21" t="str">
        <f>TEXT(TEXT(B1398,"yyyymmdd"),"00000000")&amp;TEXT(COUNTIF($B$2:B1398,B1398),"00")</f>
        <v>2024050203</v>
      </c>
      <c r="B1398" s="21">
        <f t="shared" si="21"/>
        <v>45414</v>
      </c>
      <c r="C1398" s="22">
        <v>2024</v>
      </c>
      <c r="D1398" s="23">
        <v>5</v>
      </c>
      <c r="E1398" s="24">
        <v>2</v>
      </c>
      <c r="F1398" s="42" t="s">
        <v>17</v>
      </c>
      <c r="G1398" s="42" t="s">
        <v>13</v>
      </c>
      <c r="H1398" s="42" t="s">
        <v>138</v>
      </c>
      <c r="I1398" s="42" t="s">
        <v>139</v>
      </c>
      <c r="J1398" s="10">
        <v>5000</v>
      </c>
      <c r="K1398" s="7">
        <v>-5000</v>
      </c>
      <c r="L1398" s="83" t="s">
        <v>619</v>
      </c>
    </row>
    <row r="1399" spans="1:13">
      <c r="A1399" s="21" t="str">
        <f>TEXT(TEXT(B1399,"yyyymmdd"),"00000000")&amp;TEXT(COUNTIF($B$2:B1399,B1399),"00")</f>
        <v>2024050301</v>
      </c>
      <c r="B1399" s="21">
        <f t="shared" si="21"/>
        <v>45415</v>
      </c>
      <c r="C1399" s="22">
        <v>2024</v>
      </c>
      <c r="D1399" s="23">
        <v>5</v>
      </c>
      <c r="E1399" s="24">
        <v>3</v>
      </c>
      <c r="F1399" s="42" t="s">
        <v>17</v>
      </c>
      <c r="G1399" s="42" t="s">
        <v>7</v>
      </c>
      <c r="H1399" s="42" t="s">
        <v>167</v>
      </c>
      <c r="I1399" s="42" t="s">
        <v>168</v>
      </c>
      <c r="J1399" s="10">
        <v>4400</v>
      </c>
      <c r="K1399" s="7">
        <v>-4400</v>
      </c>
      <c r="L1399" s="1" t="s">
        <v>532</v>
      </c>
      <c r="M1399" s="2" t="s">
        <v>939</v>
      </c>
    </row>
    <row r="1400" spans="1:13">
      <c r="A1400" s="21" t="str">
        <f>TEXT(TEXT(B1400,"yyyymmdd"),"00000000")&amp;TEXT(COUNTIF($B$2:B1400,B1400),"00")</f>
        <v>2024050302</v>
      </c>
      <c r="B1400" s="21">
        <f t="shared" si="21"/>
        <v>45415</v>
      </c>
      <c r="C1400" s="22">
        <v>2024</v>
      </c>
      <c r="D1400" s="23">
        <v>5</v>
      </c>
      <c r="E1400" s="24">
        <v>3</v>
      </c>
      <c r="F1400" s="42" t="s">
        <v>17</v>
      </c>
      <c r="G1400" s="42" t="s">
        <v>13</v>
      </c>
      <c r="H1400" s="42" t="s">
        <v>138</v>
      </c>
      <c r="I1400" s="42" t="s">
        <v>139</v>
      </c>
      <c r="J1400" s="10">
        <v>6500</v>
      </c>
      <c r="K1400" s="7">
        <v>-6500</v>
      </c>
      <c r="L1400" s="1" t="s">
        <v>673</v>
      </c>
    </row>
    <row r="1401" spans="1:13">
      <c r="A1401" s="21" t="str">
        <f>TEXT(TEXT(B1401,"yyyymmdd"),"00000000")&amp;TEXT(COUNTIF($B$2:B1401,B1401),"00")</f>
        <v>2024050401</v>
      </c>
      <c r="B1401" s="21">
        <f t="shared" si="21"/>
        <v>45416</v>
      </c>
      <c r="C1401" s="22">
        <v>2024</v>
      </c>
      <c r="D1401" s="23">
        <v>5</v>
      </c>
      <c r="E1401" s="24">
        <v>4</v>
      </c>
      <c r="F1401" s="42" t="s">
        <v>17</v>
      </c>
      <c r="G1401" s="42" t="s">
        <v>13</v>
      </c>
      <c r="H1401" s="42" t="s">
        <v>113</v>
      </c>
      <c r="I1401" s="42" t="s">
        <v>171</v>
      </c>
      <c r="J1401" s="10">
        <v>15000</v>
      </c>
      <c r="K1401" s="7">
        <v>-15000</v>
      </c>
      <c r="L1401" s="1" t="s">
        <v>502</v>
      </c>
    </row>
    <row r="1402" spans="1:13">
      <c r="A1402" s="21" t="str">
        <f>TEXT(TEXT(B1402,"yyyymmdd"),"00000000")&amp;TEXT(COUNTIF($B$2:B1402,B1402),"00")</f>
        <v>2024050501</v>
      </c>
      <c r="B1402" s="21">
        <f t="shared" si="21"/>
        <v>45417</v>
      </c>
      <c r="C1402" s="22">
        <v>2024</v>
      </c>
      <c r="D1402" s="23">
        <v>5</v>
      </c>
      <c r="E1402" s="24">
        <v>5</v>
      </c>
      <c r="F1402" s="42" t="s">
        <v>17</v>
      </c>
      <c r="G1402" s="42" t="s">
        <v>7</v>
      </c>
      <c r="H1402" s="42" t="s">
        <v>167</v>
      </c>
      <c r="I1402" s="42" t="s">
        <v>168</v>
      </c>
      <c r="J1402" s="10">
        <v>9700</v>
      </c>
      <c r="K1402" s="7">
        <v>-9700</v>
      </c>
      <c r="L1402" s="1" t="s">
        <v>532</v>
      </c>
      <c r="M1402" s="2" t="s">
        <v>1069</v>
      </c>
    </row>
    <row r="1403" spans="1:13">
      <c r="A1403" s="21" t="str">
        <f>TEXT(TEXT(B1403,"yyyymmdd"),"00000000")&amp;TEXT(COUNTIF($B$2:B1403,B1403),"00")</f>
        <v>2024050502</v>
      </c>
      <c r="B1403" s="21">
        <f t="shared" si="21"/>
        <v>45417</v>
      </c>
      <c r="C1403" s="22">
        <v>2024</v>
      </c>
      <c r="D1403" s="23">
        <v>5</v>
      </c>
      <c r="E1403" s="24">
        <v>5</v>
      </c>
      <c r="F1403" s="42" t="s">
        <v>17</v>
      </c>
      <c r="G1403" s="42" t="s">
        <v>13</v>
      </c>
      <c r="H1403" s="42" t="s">
        <v>138</v>
      </c>
      <c r="I1403" s="42" t="s">
        <v>139</v>
      </c>
      <c r="J1403" s="10">
        <v>10400</v>
      </c>
      <c r="K1403" s="7">
        <v>-10400</v>
      </c>
      <c r="L1403" s="1" t="s">
        <v>1068</v>
      </c>
    </row>
    <row r="1404" spans="1:13">
      <c r="A1404" s="21" t="str">
        <f>TEXT(TEXT(B1404,"yyyymmdd"),"00000000")&amp;TEXT(COUNTIF($B$2:B1404,B1404),"00")</f>
        <v>2024050601</v>
      </c>
      <c r="B1404" s="21">
        <f t="shared" si="21"/>
        <v>45418</v>
      </c>
      <c r="C1404" s="22">
        <v>2024</v>
      </c>
      <c r="D1404" s="23">
        <v>5</v>
      </c>
      <c r="E1404" s="24">
        <v>6</v>
      </c>
      <c r="F1404" s="42" t="s">
        <v>17</v>
      </c>
      <c r="G1404" s="42" t="s">
        <v>13</v>
      </c>
      <c r="H1404" s="42" t="s">
        <v>138</v>
      </c>
      <c r="I1404" s="42" t="s">
        <v>139</v>
      </c>
      <c r="J1404" s="10">
        <v>11000</v>
      </c>
      <c r="K1404" s="7">
        <v>-11000</v>
      </c>
      <c r="L1404" s="1" t="s">
        <v>1070</v>
      </c>
    </row>
    <row r="1405" spans="1:13">
      <c r="A1405" s="21" t="str">
        <f>TEXT(TEXT(B1405,"yyyymmdd"),"00000000")&amp;TEXT(COUNTIF($B$2:B1405,B1405),"00")</f>
        <v>2024050602</v>
      </c>
      <c r="B1405" s="21">
        <f t="shared" si="21"/>
        <v>45418</v>
      </c>
      <c r="C1405" s="22">
        <v>2024</v>
      </c>
      <c r="D1405" s="23">
        <v>5</v>
      </c>
      <c r="E1405" s="24">
        <v>6</v>
      </c>
      <c r="F1405" s="42" t="s">
        <v>17</v>
      </c>
      <c r="G1405" s="42" t="s">
        <v>7</v>
      </c>
      <c r="H1405" s="42" t="s">
        <v>167</v>
      </c>
      <c r="I1405" s="42" t="s">
        <v>168</v>
      </c>
      <c r="J1405" s="10">
        <v>1200</v>
      </c>
      <c r="K1405" s="7">
        <v>-1200</v>
      </c>
      <c r="L1405" s="1" t="s">
        <v>748</v>
      </c>
      <c r="M1405" s="2" t="s">
        <v>1071</v>
      </c>
    </row>
    <row r="1406" spans="1:13">
      <c r="A1406" s="21" t="str">
        <f>TEXT(TEXT(B1406,"yyyymmdd"),"00000000")&amp;TEXT(COUNTIF($B$2:B1406,B1406),"00")</f>
        <v>2024050701</v>
      </c>
      <c r="B1406" s="21">
        <f t="shared" si="21"/>
        <v>45419</v>
      </c>
      <c r="C1406" s="22">
        <v>2024</v>
      </c>
      <c r="D1406" s="23">
        <v>5</v>
      </c>
      <c r="E1406" s="24">
        <v>7</v>
      </c>
      <c r="F1406" s="42" t="s">
        <v>17</v>
      </c>
      <c r="G1406" s="42" t="s">
        <v>13</v>
      </c>
      <c r="H1406" s="42" t="s">
        <v>138</v>
      </c>
      <c r="I1406" s="42" t="s">
        <v>139</v>
      </c>
      <c r="J1406" s="10">
        <v>8000</v>
      </c>
      <c r="K1406" s="7">
        <v>-8000</v>
      </c>
      <c r="L1406" s="1" t="s">
        <v>911</v>
      </c>
    </row>
    <row r="1407" spans="1:13">
      <c r="A1407" s="21" t="str">
        <f>TEXT(TEXT(B1407,"yyyymmdd"),"00000000")&amp;TEXT(COUNTIF($B$2:B1407,B1407),"00")</f>
        <v>2024050702</v>
      </c>
      <c r="B1407" s="21">
        <f t="shared" ref="B1407" si="22">DATE(C1407,D1407,E1407)</f>
        <v>45419</v>
      </c>
      <c r="C1407" s="22">
        <v>2024</v>
      </c>
      <c r="D1407" s="23">
        <v>5</v>
      </c>
      <c r="E1407" s="24">
        <v>7</v>
      </c>
      <c r="F1407" s="42" t="s">
        <v>17</v>
      </c>
      <c r="G1407" s="42" t="s">
        <v>13</v>
      </c>
      <c r="H1407" s="42" t="s">
        <v>138</v>
      </c>
      <c r="I1407" s="42" t="s">
        <v>139</v>
      </c>
      <c r="J1407" s="10">
        <v>10000</v>
      </c>
      <c r="K1407" s="7">
        <v>-10000</v>
      </c>
      <c r="L1407" s="1" t="s">
        <v>1072</v>
      </c>
    </row>
    <row r="1408" spans="1:13">
      <c r="A1408" s="21" t="str">
        <f>TEXT(TEXT(B1408,"yyyymmdd"),"00000000")&amp;TEXT(COUNTIF($B$2:B1408,B1408),"00")</f>
        <v>2024050703</v>
      </c>
      <c r="B1408" s="21">
        <f t="shared" ref="B1408" si="23">DATE(C1408,D1408,E1408)</f>
        <v>45419</v>
      </c>
      <c r="C1408" s="22">
        <v>2024</v>
      </c>
      <c r="D1408" s="23">
        <v>5</v>
      </c>
      <c r="E1408" s="24">
        <v>7</v>
      </c>
      <c r="F1408" s="42" t="s">
        <v>17</v>
      </c>
      <c r="G1408" s="42" t="s">
        <v>7</v>
      </c>
      <c r="H1408" s="42" t="s">
        <v>173</v>
      </c>
      <c r="I1408" s="42" t="s">
        <v>207</v>
      </c>
      <c r="J1408" s="10">
        <v>2400</v>
      </c>
      <c r="K1408" s="7">
        <v>-2400</v>
      </c>
      <c r="L1408" s="1" t="s">
        <v>208</v>
      </c>
    </row>
    <row r="1409" spans="1:13">
      <c r="A1409" s="21" t="str">
        <f>TEXT(TEXT(B1409,"yyyymmdd"),"00000000")&amp;TEXT(COUNTIF($B$2:B1409,B1409),"00")</f>
        <v>2024050801</v>
      </c>
      <c r="B1409" s="21">
        <f t="shared" ref="B1409" si="24">DATE(C1409,D1409,E1409)</f>
        <v>45420</v>
      </c>
      <c r="C1409" s="22">
        <v>2024</v>
      </c>
      <c r="D1409" s="23">
        <v>5</v>
      </c>
      <c r="E1409" s="24">
        <v>8</v>
      </c>
      <c r="F1409" s="42" t="s">
        <v>17</v>
      </c>
      <c r="G1409" s="42" t="s">
        <v>13</v>
      </c>
      <c r="H1409" s="42" t="s">
        <v>138</v>
      </c>
      <c r="I1409" s="42" t="s">
        <v>139</v>
      </c>
      <c r="J1409" s="10">
        <v>8600</v>
      </c>
      <c r="K1409" s="7">
        <v>-8600</v>
      </c>
      <c r="L1409" s="1" t="s">
        <v>229</v>
      </c>
    </row>
    <row r="1410" spans="1:13">
      <c r="A1410" s="21" t="str">
        <f>TEXT(TEXT(B1410,"yyyymmdd"),"00000000")&amp;TEXT(COUNTIF($B$2:B1410,B1410),"00")</f>
        <v>2024050802</v>
      </c>
      <c r="B1410" s="21">
        <f t="shared" ref="B1410" si="25">DATE(C1410,D1410,E1410)</f>
        <v>45420</v>
      </c>
      <c r="C1410" s="22">
        <v>2024</v>
      </c>
      <c r="D1410" s="23">
        <v>5</v>
      </c>
      <c r="E1410" s="24">
        <v>8</v>
      </c>
      <c r="F1410" s="42" t="s">
        <v>17</v>
      </c>
      <c r="G1410" s="42" t="s">
        <v>7</v>
      </c>
      <c r="H1410" s="42" t="s">
        <v>110</v>
      </c>
      <c r="I1410" s="42" t="s">
        <v>120</v>
      </c>
      <c r="J1410" s="10">
        <v>3300</v>
      </c>
      <c r="K1410" s="7">
        <v>-3300</v>
      </c>
      <c r="L1410" s="1" t="s">
        <v>1073</v>
      </c>
    </row>
    <row r="1411" spans="1:13">
      <c r="A1411" s="21" t="str">
        <f>TEXT(TEXT(B1411,"yyyymmdd"),"00000000")&amp;TEXT(COUNTIF($B$2:B1411,B1411),"00")</f>
        <v>2024050803</v>
      </c>
      <c r="B1411" s="21">
        <f t="shared" ref="B1411" si="26">DATE(C1411,D1411,E1411)</f>
        <v>45420</v>
      </c>
      <c r="C1411" s="22">
        <v>2024</v>
      </c>
      <c r="D1411" s="23">
        <v>5</v>
      </c>
      <c r="E1411" s="24">
        <v>8</v>
      </c>
      <c r="F1411" s="42" t="s">
        <v>17</v>
      </c>
      <c r="G1411" s="42" t="s">
        <v>13</v>
      </c>
      <c r="H1411" s="42" t="s">
        <v>138</v>
      </c>
      <c r="I1411" s="42" t="s">
        <v>197</v>
      </c>
      <c r="J1411" s="10">
        <v>10400</v>
      </c>
      <c r="K1411" s="7">
        <v>-10400</v>
      </c>
      <c r="L1411" s="1" t="s">
        <v>1074</v>
      </c>
      <c r="M1411" s="2" t="s">
        <v>1075</v>
      </c>
    </row>
    <row r="1412" spans="1:13">
      <c r="A1412" s="21" t="str">
        <f>TEXT(TEXT(B1412,"yyyymmdd"),"00000000")&amp;TEXT(COUNTIF($B$2:B1412,B1412),"00")</f>
        <v>2024050804</v>
      </c>
      <c r="B1412" s="21">
        <f t="shared" ref="B1412" si="27">DATE(C1412,D1412,E1412)</f>
        <v>45420</v>
      </c>
      <c r="C1412" s="22">
        <v>2024</v>
      </c>
      <c r="D1412" s="23">
        <v>5</v>
      </c>
      <c r="E1412" s="24">
        <v>8</v>
      </c>
      <c r="F1412" s="42" t="s">
        <v>17</v>
      </c>
      <c r="G1412" s="42" t="s">
        <v>7</v>
      </c>
      <c r="H1412" s="42" t="s">
        <v>167</v>
      </c>
      <c r="I1412" s="42" t="s">
        <v>168</v>
      </c>
      <c r="J1412" s="10">
        <v>6900</v>
      </c>
      <c r="K1412" s="7">
        <v>-6900</v>
      </c>
      <c r="L1412" s="1" t="s">
        <v>532</v>
      </c>
      <c r="M1412" s="2" t="s">
        <v>1076</v>
      </c>
    </row>
    <row r="1413" spans="1:13">
      <c r="A1413" s="21" t="str">
        <f>TEXT(TEXT(B1413,"yyyymmdd"),"00000000")&amp;TEXT(COUNTIF($B$2:B1413,B1413),"00")</f>
        <v>2024050805</v>
      </c>
      <c r="B1413" s="21">
        <f t="shared" ref="B1413" si="28">DATE(C1413,D1413,E1413)</f>
        <v>45420</v>
      </c>
      <c r="C1413" s="22">
        <v>2024</v>
      </c>
      <c r="D1413" s="23">
        <v>5</v>
      </c>
      <c r="E1413" s="24">
        <v>8</v>
      </c>
      <c r="F1413" s="42" t="s">
        <v>17</v>
      </c>
      <c r="G1413" s="42" t="s">
        <v>7</v>
      </c>
      <c r="H1413" s="42" t="s">
        <v>119</v>
      </c>
      <c r="I1413" s="42" t="s">
        <v>180</v>
      </c>
      <c r="J1413" s="10">
        <v>100000</v>
      </c>
      <c r="K1413" s="7">
        <v>-100000</v>
      </c>
      <c r="L1413" s="1" t="s">
        <v>716</v>
      </c>
      <c r="M1413" s="2" t="s">
        <v>1077</v>
      </c>
    </row>
    <row r="1414" spans="1:13">
      <c r="A1414" s="21" t="str">
        <f>TEXT(TEXT(B1414,"yyyymmdd"),"00000000")&amp;TEXT(COUNTIF($B$2:B1414,B1414),"00")</f>
        <v>2024050901</v>
      </c>
      <c r="B1414" s="21">
        <f t="shared" ref="B1414" si="29">DATE(C1414,D1414,E1414)</f>
        <v>45421</v>
      </c>
      <c r="C1414" s="22">
        <v>2024</v>
      </c>
      <c r="D1414" s="23">
        <v>5</v>
      </c>
      <c r="E1414" s="24">
        <v>9</v>
      </c>
      <c r="F1414" s="42" t="s">
        <v>17</v>
      </c>
      <c r="G1414" s="42" t="s">
        <v>7</v>
      </c>
      <c r="H1414" s="42" t="s">
        <v>110</v>
      </c>
      <c r="I1414" s="42" t="s">
        <v>120</v>
      </c>
      <c r="J1414" s="10">
        <v>7000</v>
      </c>
      <c r="K1414" s="7">
        <v>-7000</v>
      </c>
      <c r="L1414" s="1" t="s">
        <v>1078</v>
      </c>
    </row>
    <row r="1415" spans="1:13">
      <c r="A1415" s="21" t="str">
        <f>TEXT(TEXT(B1415,"yyyymmdd"),"00000000")&amp;TEXT(COUNTIF($B$2:B1415,B1415),"00")</f>
        <v>2024050902</v>
      </c>
      <c r="B1415" s="21">
        <f t="shared" ref="B1415" si="30">DATE(C1415,D1415,E1415)</f>
        <v>45421</v>
      </c>
      <c r="C1415" s="22">
        <v>2024</v>
      </c>
      <c r="D1415" s="23">
        <v>5</v>
      </c>
      <c r="E1415" s="24">
        <v>9</v>
      </c>
      <c r="F1415" s="42" t="s">
        <v>17</v>
      </c>
      <c r="G1415" s="42" t="s">
        <v>13</v>
      </c>
      <c r="H1415" s="42" t="s">
        <v>138</v>
      </c>
      <c r="I1415" s="42" t="s">
        <v>139</v>
      </c>
      <c r="J1415" s="10">
        <v>5000</v>
      </c>
      <c r="K1415" s="7">
        <v>-5000</v>
      </c>
      <c r="L1415" s="1" t="s">
        <v>675</v>
      </c>
    </row>
    <row r="1416" spans="1:13">
      <c r="A1416" s="21" t="str">
        <f>TEXT(TEXT(B1416,"yyyymmdd"),"00000000")&amp;TEXT(COUNTIF($B$2:B1416,B1416),"00")</f>
        <v>2024050903</v>
      </c>
      <c r="B1416" s="21">
        <f t="shared" ref="B1416" si="31">DATE(C1416,D1416,E1416)</f>
        <v>45421</v>
      </c>
      <c r="C1416" s="22">
        <v>2024</v>
      </c>
      <c r="D1416" s="23">
        <v>5</v>
      </c>
      <c r="E1416" s="24">
        <v>9</v>
      </c>
      <c r="F1416" s="42" t="s">
        <v>17</v>
      </c>
      <c r="G1416" s="42" t="s">
        <v>13</v>
      </c>
      <c r="H1416" s="42" t="s">
        <v>138</v>
      </c>
      <c r="I1416" s="42" t="s">
        <v>139</v>
      </c>
      <c r="J1416" s="10">
        <v>4500</v>
      </c>
      <c r="K1416" s="7">
        <v>-4500</v>
      </c>
      <c r="L1416" s="1" t="s">
        <v>300</v>
      </c>
    </row>
    <row r="1417" spans="1:13">
      <c r="A1417" s="21" t="str">
        <f>TEXT(TEXT(B1417,"yyyymmdd"),"00000000")&amp;TEXT(COUNTIF($B$2:B1417,B1417),"00")</f>
        <v>2024051001</v>
      </c>
      <c r="B1417" s="21">
        <f t="shared" ref="B1417" si="32">DATE(C1417,D1417,E1417)</f>
        <v>45422</v>
      </c>
      <c r="C1417" s="22">
        <v>2024</v>
      </c>
      <c r="D1417" s="23">
        <v>5</v>
      </c>
      <c r="E1417" s="24">
        <v>10</v>
      </c>
      <c r="F1417" s="42" t="s">
        <v>17</v>
      </c>
      <c r="G1417" s="42" t="s">
        <v>13</v>
      </c>
      <c r="H1417" s="42" t="s">
        <v>138</v>
      </c>
      <c r="I1417" s="42" t="s">
        <v>139</v>
      </c>
      <c r="J1417" s="10">
        <v>5000</v>
      </c>
      <c r="K1417" s="7">
        <v>-5000</v>
      </c>
      <c r="L1417" s="1" t="s">
        <v>619</v>
      </c>
    </row>
    <row r="1418" spans="1:13">
      <c r="A1418" s="21" t="str">
        <f>TEXT(TEXT(B1418,"yyyymmdd"),"00000000")&amp;TEXT(COUNTIF($B$2:B1418,B1418),"00")</f>
        <v>2024051002</v>
      </c>
      <c r="B1418" s="21">
        <f t="shared" ref="B1418" si="33">DATE(C1418,D1418,E1418)</f>
        <v>45422</v>
      </c>
      <c r="C1418" s="22">
        <v>2024</v>
      </c>
      <c r="D1418" s="23">
        <v>5</v>
      </c>
      <c r="E1418" s="24">
        <v>10</v>
      </c>
      <c r="F1418" s="42" t="s">
        <v>17</v>
      </c>
      <c r="G1418" s="42" t="s">
        <v>7</v>
      </c>
      <c r="H1418" s="42" t="s">
        <v>119</v>
      </c>
      <c r="I1418" s="42" t="s">
        <v>180</v>
      </c>
      <c r="J1418" s="10">
        <v>34000</v>
      </c>
      <c r="K1418" s="7">
        <v>-34000</v>
      </c>
      <c r="L1418" s="1" t="s">
        <v>1079</v>
      </c>
      <c r="M1418" s="2" t="s">
        <v>1080</v>
      </c>
    </row>
    <row r="1419" spans="1:13">
      <c r="A1419" s="21" t="str">
        <f>TEXT(TEXT(B1419,"yyyymmdd"),"00000000")&amp;TEXT(COUNTIF($B$2:B1419,B1419),"00")</f>
        <v>2024051003</v>
      </c>
      <c r="B1419" s="21">
        <f t="shared" ref="B1419" si="34">DATE(C1419,D1419,E1419)</f>
        <v>45422</v>
      </c>
      <c r="C1419" s="22">
        <v>2024</v>
      </c>
      <c r="D1419" s="23">
        <v>5</v>
      </c>
      <c r="E1419" s="24">
        <v>10</v>
      </c>
      <c r="F1419" s="42" t="s">
        <v>17</v>
      </c>
      <c r="G1419" s="42" t="s">
        <v>7</v>
      </c>
      <c r="H1419" s="42" t="s">
        <v>119</v>
      </c>
      <c r="I1419" s="42" t="s">
        <v>180</v>
      </c>
      <c r="J1419" s="10">
        <v>77777</v>
      </c>
      <c r="K1419" s="7">
        <v>-77777</v>
      </c>
      <c r="L1419" s="1" t="s">
        <v>252</v>
      </c>
      <c r="M1419" s="2" t="s">
        <v>1081</v>
      </c>
    </row>
    <row r="1420" spans="1:13">
      <c r="A1420" s="21" t="str">
        <f>TEXT(TEXT(B1420,"yyyymmdd"),"00000000")&amp;TEXT(COUNTIF($B$2:B1420,B1420),"00")</f>
        <v>2024051101</v>
      </c>
      <c r="B1420" s="21">
        <f t="shared" ref="B1420" si="35">DATE(C1420,D1420,E1420)</f>
        <v>45423</v>
      </c>
      <c r="C1420" s="22">
        <v>2024</v>
      </c>
      <c r="D1420" s="23">
        <v>5</v>
      </c>
      <c r="E1420" s="24">
        <v>11</v>
      </c>
      <c r="F1420" s="42" t="s">
        <v>17</v>
      </c>
      <c r="G1420" s="42" t="s">
        <v>135</v>
      </c>
      <c r="H1420" s="42" t="s">
        <v>135</v>
      </c>
      <c r="I1420" s="42" t="s">
        <v>190</v>
      </c>
      <c r="J1420" s="10">
        <v>-129</v>
      </c>
      <c r="K1420" s="7">
        <v>129</v>
      </c>
      <c r="L1420" s="1" t="s">
        <v>210</v>
      </c>
    </row>
    <row r="1421" spans="1:13">
      <c r="A1421" s="21" t="str">
        <f>TEXT(TEXT(B1421,"yyyymmdd"),"00000000")&amp;TEXT(COUNTIF($B$2:B1421,B1421),"00")</f>
        <v>2024051102</v>
      </c>
      <c r="B1421" s="21">
        <f t="shared" ref="B1421" si="36">DATE(C1421,D1421,E1421)</f>
        <v>45423</v>
      </c>
      <c r="C1421" s="22">
        <v>2024</v>
      </c>
      <c r="D1421" s="23">
        <v>5</v>
      </c>
      <c r="E1421" s="24">
        <v>11</v>
      </c>
      <c r="F1421" s="42" t="s">
        <v>17</v>
      </c>
      <c r="G1421" s="42" t="s">
        <v>170</v>
      </c>
      <c r="H1421" s="42" t="s">
        <v>114</v>
      </c>
      <c r="I1421" s="42" t="s">
        <v>1007</v>
      </c>
      <c r="J1421" s="10">
        <v>24830</v>
      </c>
      <c r="K1421" s="7">
        <v>-24830</v>
      </c>
      <c r="L1421" s="1" t="s">
        <v>1023</v>
      </c>
    </row>
    <row r="1422" spans="1:13">
      <c r="A1422" s="21" t="str">
        <f>TEXT(TEXT(B1422,"yyyymmdd"),"00000000")&amp;TEXT(COUNTIF($B$2:B1422,B1422),"00")</f>
        <v>2024051201</v>
      </c>
      <c r="B1422" s="21">
        <f t="shared" ref="B1422" si="37">DATE(C1422,D1422,E1422)</f>
        <v>45424</v>
      </c>
      <c r="C1422" s="22">
        <v>2024</v>
      </c>
      <c r="D1422" s="23">
        <v>5</v>
      </c>
      <c r="E1422" s="24">
        <v>12</v>
      </c>
      <c r="F1422" s="42" t="s">
        <v>17</v>
      </c>
      <c r="G1422" s="42" t="s">
        <v>7</v>
      </c>
      <c r="H1422" s="42" t="s">
        <v>119</v>
      </c>
      <c r="I1422" s="42" t="s">
        <v>180</v>
      </c>
      <c r="J1422" s="10">
        <v>120000</v>
      </c>
      <c r="K1422" s="7">
        <v>-120000</v>
      </c>
      <c r="L1422" s="1" t="s">
        <v>1038</v>
      </c>
      <c r="M1422" s="2" t="s">
        <v>1082</v>
      </c>
    </row>
    <row r="1423" spans="1:13">
      <c r="A1423" s="21" t="str">
        <f>TEXT(TEXT(B1423,"yyyymmdd"),"00000000")&amp;TEXT(COUNTIF($B$2:B1423,B1423),"00")</f>
        <v>2024051301</v>
      </c>
      <c r="B1423" s="21">
        <f t="shared" ref="B1423" si="38">DATE(C1423,D1423,E1423)</f>
        <v>45425</v>
      </c>
      <c r="C1423" s="22">
        <v>2024</v>
      </c>
      <c r="D1423" s="23">
        <v>5</v>
      </c>
      <c r="E1423" s="24">
        <v>13</v>
      </c>
      <c r="F1423" s="42" t="s">
        <v>17</v>
      </c>
      <c r="G1423" s="42" t="s">
        <v>13</v>
      </c>
      <c r="H1423" s="42" t="s">
        <v>138</v>
      </c>
      <c r="I1423" s="42" t="s">
        <v>139</v>
      </c>
      <c r="J1423" s="10">
        <v>5000</v>
      </c>
      <c r="K1423" s="7">
        <v>-5000</v>
      </c>
      <c r="L1423" s="1" t="s">
        <v>619</v>
      </c>
    </row>
    <row r="1424" spans="1:13">
      <c r="A1424" s="21" t="str">
        <f>TEXT(TEXT(B1424,"yyyymmdd"),"00000000")&amp;TEXT(COUNTIF($B$2:B1424,B1424),"00")</f>
        <v>2024051302</v>
      </c>
      <c r="B1424" s="21">
        <f t="shared" ref="B1424" si="39">DATE(C1424,D1424,E1424)</f>
        <v>45425</v>
      </c>
      <c r="C1424" s="22">
        <v>2024</v>
      </c>
      <c r="D1424" s="23">
        <v>5</v>
      </c>
      <c r="E1424" s="24">
        <v>13</v>
      </c>
      <c r="F1424" s="42" t="s">
        <v>17</v>
      </c>
      <c r="G1424" s="42" t="s">
        <v>13</v>
      </c>
      <c r="H1424" s="42" t="s">
        <v>138</v>
      </c>
      <c r="I1424" s="42" t="s">
        <v>139</v>
      </c>
      <c r="J1424" s="10">
        <v>6500</v>
      </c>
      <c r="K1424" s="7">
        <v>-6500</v>
      </c>
      <c r="L1424" s="1" t="s">
        <v>673</v>
      </c>
    </row>
    <row r="1425" spans="1:13">
      <c r="A1425" s="21" t="str">
        <f>TEXT(TEXT(B1425,"yyyymmdd"),"00000000")&amp;TEXT(COUNTIF($B$2:B1425,B1425),"00")</f>
        <v>2024051401</v>
      </c>
      <c r="B1425" s="21">
        <f t="shared" ref="B1425" si="40">DATE(C1425,D1425,E1425)</f>
        <v>45426</v>
      </c>
      <c r="C1425" s="22">
        <v>2024</v>
      </c>
      <c r="D1425" s="23">
        <v>5</v>
      </c>
      <c r="E1425" s="24">
        <v>14</v>
      </c>
      <c r="F1425" s="42" t="s">
        <v>17</v>
      </c>
      <c r="G1425" s="42" t="s">
        <v>13</v>
      </c>
      <c r="H1425" s="42" t="s">
        <v>138</v>
      </c>
      <c r="I1425" s="42" t="s">
        <v>139</v>
      </c>
      <c r="J1425" s="10">
        <v>8900</v>
      </c>
      <c r="K1425" s="7">
        <v>-8900</v>
      </c>
      <c r="L1425" s="1" t="s">
        <v>819</v>
      </c>
    </row>
    <row r="1426" spans="1:13">
      <c r="A1426" s="21" t="str">
        <f>TEXT(TEXT(B1426,"yyyymmdd"),"00000000")&amp;TEXT(COUNTIF($B$2:B1426,B1426),"00")</f>
        <v>2024051501</v>
      </c>
      <c r="B1426" s="21">
        <f t="shared" ref="B1426" si="41">DATE(C1426,D1426,E1426)</f>
        <v>45427</v>
      </c>
      <c r="C1426" s="22">
        <v>2024</v>
      </c>
      <c r="D1426" s="23">
        <v>5</v>
      </c>
      <c r="E1426" s="24">
        <v>15</v>
      </c>
      <c r="F1426" s="42" t="s">
        <v>17</v>
      </c>
      <c r="G1426" s="42" t="s">
        <v>13</v>
      </c>
      <c r="H1426" s="42" t="s">
        <v>138</v>
      </c>
      <c r="I1426" s="42" t="s">
        <v>139</v>
      </c>
      <c r="J1426" s="10">
        <v>15500</v>
      </c>
      <c r="K1426" s="7">
        <v>-15500</v>
      </c>
      <c r="L1426" s="1" t="s">
        <v>1072</v>
      </c>
    </row>
    <row r="1427" spans="1:13">
      <c r="A1427" s="21" t="str">
        <f>TEXT(TEXT(B1427,"yyyymmdd"),"00000000")&amp;TEXT(COUNTIF($B$2:B1427,B1427),"00")</f>
        <v>2024051502</v>
      </c>
      <c r="B1427" s="21">
        <f t="shared" ref="B1427" si="42">DATE(C1427,D1427,E1427)</f>
        <v>45427</v>
      </c>
      <c r="C1427" s="22">
        <v>2024</v>
      </c>
      <c r="D1427" s="23">
        <v>5</v>
      </c>
      <c r="E1427" s="24">
        <v>15</v>
      </c>
      <c r="F1427" s="42" t="s">
        <v>17</v>
      </c>
      <c r="G1427" s="42" t="s">
        <v>13</v>
      </c>
      <c r="H1427" s="42" t="s">
        <v>138</v>
      </c>
      <c r="I1427" s="42" t="s">
        <v>139</v>
      </c>
      <c r="J1427" s="10">
        <v>7500</v>
      </c>
      <c r="K1427" s="7">
        <v>-7500</v>
      </c>
      <c r="L1427" s="1" t="s">
        <v>673</v>
      </c>
    </row>
    <row r="1428" spans="1:13">
      <c r="A1428" s="21" t="str">
        <f>TEXT(TEXT(B1428,"yyyymmdd"),"00000000")&amp;TEXT(COUNTIF($B$2:B1428,B1428),"00")</f>
        <v>2024051601</v>
      </c>
      <c r="B1428" s="21">
        <f t="shared" ref="B1428" si="43">DATE(C1428,D1428,E1428)</f>
        <v>45428</v>
      </c>
      <c r="C1428" s="22">
        <v>2024</v>
      </c>
      <c r="D1428" s="23">
        <v>5</v>
      </c>
      <c r="E1428" s="24">
        <v>16</v>
      </c>
      <c r="F1428" s="42" t="s">
        <v>17</v>
      </c>
      <c r="G1428" s="42" t="s">
        <v>7</v>
      </c>
      <c r="H1428" s="42" t="s">
        <v>112</v>
      </c>
      <c r="I1428" s="42" t="s">
        <v>342</v>
      </c>
      <c r="J1428" s="10">
        <v>40000</v>
      </c>
      <c r="K1428" s="7">
        <v>-40000</v>
      </c>
      <c r="L1428" s="1" t="s">
        <v>1083</v>
      </c>
    </row>
    <row r="1429" spans="1:13">
      <c r="A1429" s="21" t="str">
        <f>TEXT(TEXT(B1429,"yyyymmdd"),"00000000")&amp;TEXT(COUNTIF($B$2:B1429,B1429),"00")</f>
        <v>2024051602</v>
      </c>
      <c r="B1429" s="21">
        <f t="shared" ref="B1429" si="44">DATE(C1429,D1429,E1429)</f>
        <v>45428</v>
      </c>
      <c r="C1429" s="22">
        <v>2024</v>
      </c>
      <c r="D1429" s="23">
        <v>5</v>
      </c>
      <c r="E1429" s="24">
        <v>16</v>
      </c>
      <c r="F1429" s="42" t="s">
        <v>17</v>
      </c>
      <c r="G1429" s="42" t="s">
        <v>7</v>
      </c>
      <c r="H1429" s="42" t="s">
        <v>167</v>
      </c>
      <c r="I1429" s="42" t="s">
        <v>214</v>
      </c>
      <c r="J1429" s="10">
        <v>41908</v>
      </c>
      <c r="K1429" s="7">
        <v>-41908</v>
      </c>
      <c r="L1429" s="1" t="s">
        <v>215</v>
      </c>
      <c r="M1429" s="2" t="s">
        <v>1085</v>
      </c>
    </row>
    <row r="1430" spans="1:13">
      <c r="A1430" s="21" t="str">
        <f>TEXT(TEXT(B1430,"yyyymmdd"),"00000000")&amp;TEXT(COUNTIF($B$2:B1430,B1430),"00")</f>
        <v>2024051603</v>
      </c>
      <c r="B1430" s="21">
        <f t="shared" ref="B1430" si="45">DATE(C1430,D1430,E1430)</f>
        <v>45428</v>
      </c>
      <c r="C1430" s="22">
        <v>2024</v>
      </c>
      <c r="D1430" s="23">
        <v>5</v>
      </c>
      <c r="E1430" s="24">
        <v>16</v>
      </c>
      <c r="F1430" s="42" t="s">
        <v>17</v>
      </c>
      <c r="G1430" s="42" t="s">
        <v>13</v>
      </c>
      <c r="H1430" s="42" t="s">
        <v>138</v>
      </c>
      <c r="I1430" s="42" t="s">
        <v>159</v>
      </c>
      <c r="J1430" s="10">
        <v>7900</v>
      </c>
      <c r="K1430" s="7">
        <v>-7900</v>
      </c>
      <c r="L1430" s="1" t="s">
        <v>750</v>
      </c>
    </row>
    <row r="1431" spans="1:13">
      <c r="A1431" s="21" t="str">
        <f>TEXT(TEXT(B1431,"yyyymmdd"),"00000000")&amp;TEXT(COUNTIF($B$2:B1431,B1431),"00")</f>
        <v>2024051701</v>
      </c>
      <c r="B1431" s="21">
        <f t="shared" ref="B1431" si="46">DATE(C1431,D1431,E1431)</f>
        <v>45429</v>
      </c>
      <c r="C1431" s="22">
        <v>2024</v>
      </c>
      <c r="D1431" s="23">
        <v>5</v>
      </c>
      <c r="E1431" s="24">
        <v>17</v>
      </c>
      <c r="F1431" s="42" t="s">
        <v>17</v>
      </c>
      <c r="G1431" s="42" t="s">
        <v>13</v>
      </c>
      <c r="H1431" s="42" t="s">
        <v>138</v>
      </c>
      <c r="I1431" s="42" t="s">
        <v>139</v>
      </c>
      <c r="J1431" s="10">
        <v>5400</v>
      </c>
      <c r="K1431" s="7">
        <v>-5400</v>
      </c>
      <c r="L1431" s="1" t="s">
        <v>741</v>
      </c>
    </row>
    <row r="1432" spans="1:13">
      <c r="A1432" s="21" t="str">
        <f>TEXT(TEXT(B1432,"yyyymmdd"),"00000000")&amp;TEXT(COUNTIF($B$2:B1432,B1432),"00")</f>
        <v>2024051702</v>
      </c>
      <c r="B1432" s="21">
        <f t="shared" ref="B1432" si="47">DATE(C1432,D1432,E1432)</f>
        <v>45429</v>
      </c>
      <c r="C1432" s="22">
        <v>2024</v>
      </c>
      <c r="D1432" s="23">
        <v>5</v>
      </c>
      <c r="E1432" s="24">
        <v>17</v>
      </c>
      <c r="F1432" s="42" t="s">
        <v>17</v>
      </c>
      <c r="G1432" s="42" t="s">
        <v>7</v>
      </c>
      <c r="H1432" s="42" t="s">
        <v>119</v>
      </c>
      <c r="I1432" s="42" t="s">
        <v>180</v>
      </c>
      <c r="J1432" s="10">
        <v>2000</v>
      </c>
      <c r="K1432" s="7">
        <v>-2000</v>
      </c>
      <c r="L1432" s="1" t="s">
        <v>619</v>
      </c>
      <c r="M1432" s="2" t="s">
        <v>1086</v>
      </c>
    </row>
    <row r="1433" spans="1:13">
      <c r="A1433" s="21" t="str">
        <f>TEXT(TEXT(B1433,"yyyymmdd"),"00000000")&amp;TEXT(COUNTIF($B$2:B1433,B1433),"00")</f>
        <v>2024051703</v>
      </c>
      <c r="B1433" s="21">
        <f t="shared" ref="B1433" si="48">DATE(C1433,D1433,E1433)</f>
        <v>45429</v>
      </c>
      <c r="C1433" s="22">
        <v>2024</v>
      </c>
      <c r="D1433" s="23">
        <v>5</v>
      </c>
      <c r="E1433" s="24">
        <v>17</v>
      </c>
      <c r="F1433" s="42" t="s">
        <v>17</v>
      </c>
      <c r="G1433" s="42" t="s">
        <v>7</v>
      </c>
      <c r="H1433" s="42" t="s">
        <v>119</v>
      </c>
      <c r="I1433" s="42" t="s">
        <v>180</v>
      </c>
      <c r="J1433" s="10">
        <v>31500</v>
      </c>
      <c r="K1433" s="7">
        <v>-31500</v>
      </c>
      <c r="L1433" s="1" t="s">
        <v>1087</v>
      </c>
      <c r="M1433" s="2" t="s">
        <v>1088</v>
      </c>
    </row>
    <row r="1434" spans="1:13">
      <c r="A1434" s="21" t="str">
        <f>TEXT(TEXT(B1434,"yyyymmdd"),"00000000")&amp;TEXT(COUNTIF($B$2:B1434,B1434),"00")</f>
        <v>2024051801</v>
      </c>
      <c r="B1434" s="21">
        <f t="shared" ref="B1434" si="49">DATE(C1434,D1434,E1434)</f>
        <v>45430</v>
      </c>
      <c r="C1434" s="22">
        <v>2024</v>
      </c>
      <c r="D1434" s="23">
        <v>5</v>
      </c>
      <c r="E1434" s="24">
        <v>18</v>
      </c>
      <c r="F1434" s="42" t="s">
        <v>17</v>
      </c>
      <c r="G1434" s="42" t="s">
        <v>13</v>
      </c>
      <c r="H1434" s="42" t="s">
        <v>138</v>
      </c>
      <c r="I1434" s="42" t="s">
        <v>139</v>
      </c>
      <c r="J1434" s="10">
        <v>3500</v>
      </c>
      <c r="K1434" s="7">
        <v>-3500</v>
      </c>
      <c r="L1434" s="1" t="s">
        <v>300</v>
      </c>
    </row>
    <row r="1435" spans="1:13">
      <c r="A1435" s="21" t="str">
        <f>TEXT(TEXT(B1435,"yyyymmdd"),"00000000")&amp;TEXT(COUNTIF($B$2:B1435,B1435),"00")</f>
        <v>2024051802</v>
      </c>
      <c r="B1435" s="21">
        <f t="shared" ref="B1435" si="50">DATE(C1435,D1435,E1435)</f>
        <v>45430</v>
      </c>
      <c r="C1435" s="22">
        <v>2024</v>
      </c>
      <c r="D1435" s="23">
        <v>5</v>
      </c>
      <c r="E1435" s="24">
        <v>18</v>
      </c>
      <c r="F1435" s="42" t="s">
        <v>17</v>
      </c>
      <c r="G1435" s="42" t="s">
        <v>7</v>
      </c>
      <c r="H1435" s="42" t="s">
        <v>173</v>
      </c>
      <c r="I1435" s="42" t="s">
        <v>1044</v>
      </c>
      <c r="J1435" s="10">
        <v>40730</v>
      </c>
      <c r="K1435" s="7">
        <v>-40730</v>
      </c>
      <c r="L1435" s="1" t="s">
        <v>1089</v>
      </c>
      <c r="M1435" s="2" t="s">
        <v>1090</v>
      </c>
    </row>
    <row r="1436" spans="1:13">
      <c r="A1436" s="21" t="str">
        <f>TEXT(TEXT(B1436,"yyyymmdd"),"00000000")&amp;TEXT(COUNTIF($B$2:B1436,B1436),"00")</f>
        <v>2024051803</v>
      </c>
      <c r="B1436" s="21">
        <f t="shared" ref="B1436" si="51">DATE(C1436,D1436,E1436)</f>
        <v>45430</v>
      </c>
      <c r="C1436" s="22">
        <v>2024</v>
      </c>
      <c r="D1436" s="23">
        <v>5</v>
      </c>
      <c r="E1436" s="24">
        <v>18</v>
      </c>
      <c r="F1436" s="42" t="s">
        <v>17</v>
      </c>
      <c r="G1436" s="42" t="s">
        <v>7</v>
      </c>
      <c r="H1436" s="42" t="s">
        <v>32</v>
      </c>
      <c r="I1436" s="42" t="s">
        <v>141</v>
      </c>
      <c r="J1436" s="10">
        <v>8000</v>
      </c>
      <c r="K1436" s="7">
        <v>-8000</v>
      </c>
      <c r="L1436" s="1" t="s">
        <v>1091</v>
      </c>
    </row>
    <row r="1437" spans="1:13">
      <c r="A1437" s="21" t="str">
        <f>TEXT(TEXT(B1437,"yyyymmdd"),"00000000")&amp;TEXT(COUNTIF($B$2:B1437,B1437),"00")</f>
        <v>2024051804</v>
      </c>
      <c r="B1437" s="21">
        <f t="shared" ref="B1437" si="52">DATE(C1437,D1437,E1437)</f>
        <v>45430</v>
      </c>
      <c r="C1437" s="22">
        <v>2024</v>
      </c>
      <c r="D1437" s="23">
        <v>5</v>
      </c>
      <c r="E1437" s="24">
        <v>18</v>
      </c>
      <c r="F1437" s="42" t="s">
        <v>17</v>
      </c>
      <c r="G1437" s="42" t="s">
        <v>13</v>
      </c>
      <c r="H1437" s="42" t="s">
        <v>138</v>
      </c>
      <c r="I1437" s="42" t="s">
        <v>139</v>
      </c>
      <c r="J1437" s="10">
        <v>11000</v>
      </c>
      <c r="K1437" s="7">
        <v>-11000</v>
      </c>
      <c r="L1437" s="1" t="s">
        <v>1092</v>
      </c>
    </row>
    <row r="1438" spans="1:13">
      <c r="A1438" s="21" t="str">
        <f>TEXT(TEXT(B1438,"yyyymmdd"),"00000000")&amp;TEXT(COUNTIF($B$2:B1438,B1438),"00")</f>
        <v>2024051901</v>
      </c>
      <c r="B1438" s="21">
        <f t="shared" ref="B1438" si="53">DATE(C1438,D1438,E1438)</f>
        <v>45431</v>
      </c>
      <c r="C1438" s="22">
        <v>2024</v>
      </c>
      <c r="D1438" s="23">
        <v>5</v>
      </c>
      <c r="E1438" s="24">
        <v>19</v>
      </c>
      <c r="F1438" s="42" t="s">
        <v>17</v>
      </c>
      <c r="G1438" s="42" t="s">
        <v>7</v>
      </c>
      <c r="H1438" s="42" t="s">
        <v>167</v>
      </c>
      <c r="I1438" s="42" t="s">
        <v>168</v>
      </c>
      <c r="J1438" s="10">
        <v>5000</v>
      </c>
      <c r="K1438" s="7">
        <v>-5000</v>
      </c>
      <c r="L1438" s="1" t="s">
        <v>532</v>
      </c>
      <c r="M1438" s="2" t="s">
        <v>672</v>
      </c>
    </row>
    <row r="1439" spans="1:13">
      <c r="A1439" s="21" t="str">
        <f>TEXT(TEXT(B1439,"yyyymmdd"),"00000000")&amp;TEXT(COUNTIF($B$2:B1439,B1439),"00")</f>
        <v>2024052001</v>
      </c>
      <c r="B1439" s="21">
        <f t="shared" ref="B1439" si="54">DATE(C1439,D1439,E1439)</f>
        <v>45432</v>
      </c>
      <c r="C1439" s="22">
        <v>2024</v>
      </c>
      <c r="D1439" s="23">
        <v>5</v>
      </c>
      <c r="E1439" s="24">
        <v>20</v>
      </c>
      <c r="F1439" s="42" t="s">
        <v>17</v>
      </c>
      <c r="G1439" s="42" t="s">
        <v>13</v>
      </c>
      <c r="H1439" s="42" t="s">
        <v>138</v>
      </c>
      <c r="I1439" s="42" t="s">
        <v>139</v>
      </c>
      <c r="J1439" s="10">
        <v>5000</v>
      </c>
      <c r="K1439" s="7">
        <v>-5000</v>
      </c>
      <c r="L1439" s="1" t="s">
        <v>619</v>
      </c>
    </row>
    <row r="1440" spans="1:13">
      <c r="A1440" s="21" t="str">
        <f>TEXT(TEXT(B1440,"yyyymmdd"),"00000000")&amp;TEXT(COUNTIF($B$2:B1440,B1440),"00")</f>
        <v>2024052002</v>
      </c>
      <c r="B1440" s="21">
        <f t="shared" ref="B1440" si="55">DATE(C1440,D1440,E1440)</f>
        <v>45432</v>
      </c>
      <c r="C1440" s="22">
        <v>2024</v>
      </c>
      <c r="D1440" s="23">
        <v>5</v>
      </c>
      <c r="E1440" s="24">
        <v>20</v>
      </c>
      <c r="F1440" s="42" t="s">
        <v>17</v>
      </c>
      <c r="G1440" s="42" t="s">
        <v>13</v>
      </c>
      <c r="H1440" s="42" t="s">
        <v>138</v>
      </c>
      <c r="I1440" s="42" t="s">
        <v>139</v>
      </c>
      <c r="J1440" s="10">
        <v>7500</v>
      </c>
      <c r="K1440" s="7">
        <v>-7500</v>
      </c>
      <c r="L1440" s="1" t="s">
        <v>677</v>
      </c>
    </row>
    <row r="1441" spans="1:13">
      <c r="A1441" s="21" t="str">
        <f>TEXT(TEXT(B1441,"yyyymmdd"),"00000000")&amp;TEXT(COUNTIF($B$2:B1441,B1441),"00")</f>
        <v>2024052101</v>
      </c>
      <c r="B1441" s="21">
        <f t="shared" ref="B1441" si="56">DATE(C1441,D1441,E1441)</f>
        <v>45433</v>
      </c>
      <c r="C1441" s="22">
        <v>2024</v>
      </c>
      <c r="D1441" s="23">
        <v>5</v>
      </c>
      <c r="E1441" s="24">
        <v>21</v>
      </c>
      <c r="F1441" s="42" t="s">
        <v>17</v>
      </c>
      <c r="G1441" s="42" t="s">
        <v>13</v>
      </c>
      <c r="H1441" s="42" t="s">
        <v>138</v>
      </c>
      <c r="I1441" s="42" t="s">
        <v>139</v>
      </c>
      <c r="J1441" s="10">
        <v>5000</v>
      </c>
      <c r="K1441" s="7">
        <v>-5000</v>
      </c>
      <c r="L1441" s="1" t="s">
        <v>675</v>
      </c>
    </row>
    <row r="1442" spans="1:13">
      <c r="A1442" s="21" t="str">
        <f>TEXT(TEXT(B1442,"yyyymmdd"),"00000000")&amp;TEXT(COUNTIF($B$2:B1442,B1442),"00")</f>
        <v>2024052102</v>
      </c>
      <c r="B1442" s="21">
        <f t="shared" ref="B1442" si="57">DATE(C1442,D1442,E1442)</f>
        <v>45433</v>
      </c>
      <c r="C1442" s="22">
        <v>2024</v>
      </c>
      <c r="D1442" s="23">
        <v>5</v>
      </c>
      <c r="E1442" s="24">
        <v>21</v>
      </c>
      <c r="F1442" s="42" t="s">
        <v>17</v>
      </c>
      <c r="G1442" s="42" t="s">
        <v>13</v>
      </c>
      <c r="H1442" s="42" t="s">
        <v>138</v>
      </c>
      <c r="I1442" s="42" t="s">
        <v>139</v>
      </c>
      <c r="J1442" s="10">
        <v>6500</v>
      </c>
      <c r="K1442" s="7">
        <v>-6500</v>
      </c>
      <c r="L1442" s="1" t="s">
        <v>673</v>
      </c>
    </row>
    <row r="1443" spans="1:13">
      <c r="A1443" s="21" t="str">
        <f>TEXT(TEXT(B1443,"yyyymmdd"),"00000000")&amp;TEXT(COUNTIF($B$2:B1443,B1443),"00")</f>
        <v>2024052201</v>
      </c>
      <c r="B1443" s="21">
        <f t="shared" ref="B1443" si="58">DATE(C1443,D1443,E1443)</f>
        <v>45434</v>
      </c>
      <c r="C1443" s="22">
        <v>2024</v>
      </c>
      <c r="D1443" s="23">
        <v>5</v>
      </c>
      <c r="E1443" s="24">
        <v>22</v>
      </c>
      <c r="F1443" s="42" t="s">
        <v>17</v>
      </c>
      <c r="G1443" s="42" t="s">
        <v>135</v>
      </c>
      <c r="H1443" s="42" t="s">
        <v>135</v>
      </c>
      <c r="I1443" s="42" t="s">
        <v>143</v>
      </c>
      <c r="J1443" s="10">
        <v>-10000</v>
      </c>
      <c r="K1443" s="7">
        <v>10000</v>
      </c>
      <c r="L1443" s="1" t="s">
        <v>165</v>
      </c>
    </row>
    <row r="1444" spans="1:13">
      <c r="A1444" s="21" t="str">
        <f>TEXT(TEXT(B1444,"yyyymmdd"),"00000000")&amp;TEXT(COUNTIF($B$2:B1444,B1444),"00")</f>
        <v>2024052202</v>
      </c>
      <c r="B1444" s="21">
        <f t="shared" ref="B1444" si="59">DATE(C1444,D1444,E1444)</f>
        <v>45434</v>
      </c>
      <c r="C1444" s="22">
        <v>2024</v>
      </c>
      <c r="D1444" s="23">
        <v>5</v>
      </c>
      <c r="E1444" s="24">
        <v>22</v>
      </c>
      <c r="F1444" s="42" t="s">
        <v>17</v>
      </c>
      <c r="G1444" s="42" t="s">
        <v>13</v>
      </c>
      <c r="H1444" s="42" t="s">
        <v>138</v>
      </c>
      <c r="I1444" s="42" t="s">
        <v>139</v>
      </c>
      <c r="J1444" s="10">
        <v>5000</v>
      </c>
      <c r="K1444" s="7">
        <v>-5000</v>
      </c>
      <c r="L1444" s="1" t="s">
        <v>619</v>
      </c>
    </row>
    <row r="1445" spans="1:13">
      <c r="A1445" s="21" t="str">
        <f>TEXT(TEXT(B1445,"yyyymmdd"),"00000000")&amp;TEXT(COUNTIF($B$2:B1445,B1445),"00")</f>
        <v>2024052203</v>
      </c>
      <c r="B1445" s="21">
        <f t="shared" ref="B1445" si="60">DATE(C1445,D1445,E1445)</f>
        <v>45434</v>
      </c>
      <c r="C1445" s="22">
        <v>2024</v>
      </c>
      <c r="D1445" s="23">
        <v>5</v>
      </c>
      <c r="E1445" s="24">
        <v>22</v>
      </c>
      <c r="F1445" s="42" t="s">
        <v>17</v>
      </c>
      <c r="G1445" s="42" t="s">
        <v>13</v>
      </c>
      <c r="H1445" s="42" t="s">
        <v>138</v>
      </c>
      <c r="I1445" s="42" t="s">
        <v>139</v>
      </c>
      <c r="J1445" s="10">
        <v>8500</v>
      </c>
      <c r="K1445" s="7">
        <v>-8500</v>
      </c>
      <c r="L1445" s="1" t="s">
        <v>993</v>
      </c>
    </row>
    <row r="1446" spans="1:13">
      <c r="A1446" s="21" t="str">
        <f>TEXT(TEXT(B1446,"yyyymmdd"),"00000000")&amp;TEXT(COUNTIF($B$2:B1446,B1446),"00")</f>
        <v>2024052204</v>
      </c>
      <c r="B1446" s="21">
        <f t="shared" ref="B1446" si="61">DATE(C1446,D1446,E1446)</f>
        <v>45434</v>
      </c>
      <c r="C1446" s="22">
        <v>2024</v>
      </c>
      <c r="D1446" s="23">
        <v>5</v>
      </c>
      <c r="E1446" s="24">
        <v>22</v>
      </c>
      <c r="F1446" s="42" t="s">
        <v>17</v>
      </c>
      <c r="G1446" s="42" t="s">
        <v>170</v>
      </c>
      <c r="H1446" s="42" t="s">
        <v>114</v>
      </c>
      <c r="I1446" s="42" t="s">
        <v>1005</v>
      </c>
      <c r="J1446" s="10">
        <v>14730</v>
      </c>
      <c r="K1446" s="7">
        <v>-14730</v>
      </c>
      <c r="L1446" s="1" t="s">
        <v>1006</v>
      </c>
    </row>
    <row r="1447" spans="1:13">
      <c r="A1447" s="21" t="str">
        <f>TEXT(TEXT(B1447,"yyyymmdd"),"00000000")&amp;TEXT(COUNTIF($B$2:B1447,B1447),"00")</f>
        <v>2024052301</v>
      </c>
      <c r="B1447" s="21">
        <f t="shared" ref="B1447" si="62">DATE(C1447,D1447,E1447)</f>
        <v>45435</v>
      </c>
      <c r="C1447" s="22">
        <v>2024</v>
      </c>
      <c r="D1447" s="23">
        <v>5</v>
      </c>
      <c r="E1447" s="24">
        <v>23</v>
      </c>
      <c r="F1447" s="42" t="s">
        <v>17</v>
      </c>
      <c r="G1447" s="42" t="s">
        <v>7</v>
      </c>
      <c r="H1447" s="42" t="s">
        <v>167</v>
      </c>
      <c r="I1447" s="42" t="s">
        <v>168</v>
      </c>
      <c r="J1447" s="10">
        <v>6900</v>
      </c>
      <c r="K1447" s="7">
        <v>-6900</v>
      </c>
      <c r="L1447" s="1" t="s">
        <v>748</v>
      </c>
      <c r="M1447" s="2" t="s">
        <v>1093</v>
      </c>
    </row>
    <row r="1448" spans="1:13">
      <c r="A1448" s="21" t="str">
        <f>TEXT(TEXT(B1448,"yyyymmdd"),"00000000")&amp;TEXT(COUNTIF($B$2:B1448,B1448),"00")</f>
        <v>2024052302</v>
      </c>
      <c r="B1448" s="21">
        <f t="shared" ref="B1448" si="63">DATE(C1448,D1448,E1448)</f>
        <v>45435</v>
      </c>
      <c r="C1448" s="22">
        <v>2024</v>
      </c>
      <c r="D1448" s="23">
        <v>5</v>
      </c>
      <c r="E1448" s="24">
        <v>23</v>
      </c>
      <c r="F1448" s="42" t="s">
        <v>17</v>
      </c>
      <c r="G1448" s="42" t="s">
        <v>13</v>
      </c>
      <c r="H1448" s="42" t="s">
        <v>138</v>
      </c>
      <c r="I1448" s="42" t="s">
        <v>139</v>
      </c>
      <c r="J1448" s="10">
        <v>6000</v>
      </c>
      <c r="K1448" s="7">
        <v>-6000</v>
      </c>
      <c r="L1448" s="1" t="s">
        <v>634</v>
      </c>
    </row>
    <row r="1449" spans="1:13">
      <c r="A1449" s="21" t="str">
        <f>TEXT(TEXT(B1449,"yyyymmdd"),"00000000")&amp;TEXT(COUNTIF($B$2:B1449,B1449),"00")</f>
        <v>2024052303</v>
      </c>
      <c r="B1449" s="21">
        <f t="shared" ref="B1449" si="64">DATE(C1449,D1449,E1449)</f>
        <v>45435</v>
      </c>
      <c r="C1449" s="22">
        <v>2024</v>
      </c>
      <c r="D1449" s="23">
        <v>5</v>
      </c>
      <c r="E1449" s="24">
        <v>23</v>
      </c>
      <c r="F1449" s="42" t="s">
        <v>17</v>
      </c>
      <c r="G1449" s="42" t="s">
        <v>135</v>
      </c>
      <c r="H1449" s="42" t="s">
        <v>135</v>
      </c>
      <c r="I1449" s="42" t="s">
        <v>143</v>
      </c>
      <c r="J1449" s="10">
        <v>-10000</v>
      </c>
      <c r="K1449" s="7">
        <v>10000</v>
      </c>
      <c r="L1449" s="1" t="s">
        <v>1020</v>
      </c>
      <c r="M1449" s="2" t="s">
        <v>1094</v>
      </c>
    </row>
    <row r="1450" spans="1:13">
      <c r="A1450" s="21" t="str">
        <f>TEXT(TEXT(B1450,"yyyymmdd"),"00000000")&amp;TEXT(COUNTIF($B$2:B1450,B1450),"00")</f>
        <v>2024052401</v>
      </c>
      <c r="B1450" s="21">
        <f t="shared" ref="B1450" si="65">DATE(C1450,D1450,E1450)</f>
        <v>45436</v>
      </c>
      <c r="C1450" s="22">
        <v>2024</v>
      </c>
      <c r="D1450" s="23">
        <v>5</v>
      </c>
      <c r="E1450" s="24">
        <v>24</v>
      </c>
      <c r="F1450" s="42" t="s">
        <v>17</v>
      </c>
      <c r="G1450" s="42" t="s">
        <v>13</v>
      </c>
      <c r="H1450" s="42" t="s">
        <v>138</v>
      </c>
      <c r="I1450" s="42" t="s">
        <v>139</v>
      </c>
      <c r="J1450" s="10">
        <v>9900</v>
      </c>
      <c r="K1450" s="7">
        <v>-9900</v>
      </c>
      <c r="L1450" s="1" t="s">
        <v>750</v>
      </c>
    </row>
    <row r="1451" spans="1:13">
      <c r="A1451" s="21" t="str">
        <f>TEXT(TEXT(B1451,"yyyymmdd"),"00000000")&amp;TEXT(COUNTIF($B$2:B1451,B1451),"00")</f>
        <v>2024052402</v>
      </c>
      <c r="B1451" s="21">
        <f t="shared" ref="B1451" si="66">DATE(C1451,D1451,E1451)</f>
        <v>45436</v>
      </c>
      <c r="C1451" s="22">
        <v>2024</v>
      </c>
      <c r="D1451" s="23">
        <v>5</v>
      </c>
      <c r="E1451" s="24">
        <v>24</v>
      </c>
      <c r="F1451" s="42" t="s">
        <v>17</v>
      </c>
      <c r="G1451" s="42" t="s">
        <v>13</v>
      </c>
      <c r="H1451" s="42" t="s">
        <v>138</v>
      </c>
      <c r="I1451" s="42" t="s">
        <v>139</v>
      </c>
      <c r="J1451" s="10">
        <v>9000</v>
      </c>
      <c r="K1451" s="7">
        <v>-9000</v>
      </c>
      <c r="L1451" s="1" t="s">
        <v>893</v>
      </c>
    </row>
    <row r="1452" spans="1:13">
      <c r="A1452" s="21" t="str">
        <f>TEXT(TEXT(B1452,"yyyymmdd"),"00000000")&amp;TEXT(COUNTIF($B$2:B1452,B1452),"00")</f>
        <v>2024052501</v>
      </c>
      <c r="B1452" s="21">
        <f t="shared" ref="B1452" si="67">DATE(C1452,D1452,E1452)</f>
        <v>45437</v>
      </c>
      <c r="C1452" s="22">
        <v>2024</v>
      </c>
      <c r="D1452" s="23">
        <v>5</v>
      </c>
      <c r="E1452" s="24">
        <v>25</v>
      </c>
      <c r="F1452" s="42" t="s">
        <v>17</v>
      </c>
      <c r="G1452" s="42" t="s">
        <v>11</v>
      </c>
      <c r="H1452" s="42" t="s">
        <v>99</v>
      </c>
      <c r="I1452" s="42" t="s">
        <v>94</v>
      </c>
      <c r="J1452" s="10">
        <v>-200000</v>
      </c>
      <c r="K1452" s="7">
        <v>200000</v>
      </c>
      <c r="L1452" s="1" t="s">
        <v>827</v>
      </c>
    </row>
    <row r="1453" spans="1:13">
      <c r="A1453" s="21" t="str">
        <f>TEXT(TEXT(B1453,"yyyymmdd"),"00000000")&amp;TEXT(COUNTIF($B$2:B1453,B1453),"00")</f>
        <v>2024052502</v>
      </c>
      <c r="B1453" s="21">
        <f t="shared" ref="B1453" si="68">DATE(C1453,D1453,E1453)</f>
        <v>45437</v>
      </c>
      <c r="C1453" s="22">
        <v>2024</v>
      </c>
      <c r="D1453" s="23">
        <v>5</v>
      </c>
      <c r="E1453" s="24">
        <v>25</v>
      </c>
      <c r="F1453" s="42" t="s">
        <v>17</v>
      </c>
      <c r="G1453" s="42" t="s">
        <v>13</v>
      </c>
      <c r="H1453" s="42" t="s">
        <v>138</v>
      </c>
      <c r="I1453" s="42" t="s">
        <v>139</v>
      </c>
      <c r="J1453" s="10">
        <v>9500</v>
      </c>
      <c r="K1453" s="7">
        <v>-9500</v>
      </c>
      <c r="L1453" s="1" t="s">
        <v>736</v>
      </c>
    </row>
    <row r="1454" spans="1:13">
      <c r="A1454" s="21" t="str">
        <f>TEXT(TEXT(B1454,"yyyymmdd"),"00000000")&amp;TEXT(COUNTIF($B$2:B1454,B1454),"00")</f>
        <v>2024052701</v>
      </c>
      <c r="B1454" s="21">
        <f t="shared" ref="B1454" si="69">DATE(C1454,D1454,E1454)</f>
        <v>45439</v>
      </c>
      <c r="C1454" s="22">
        <v>2024</v>
      </c>
      <c r="D1454" s="23">
        <v>5</v>
      </c>
      <c r="E1454" s="24">
        <v>27</v>
      </c>
      <c r="F1454" s="42" t="s">
        <v>17</v>
      </c>
      <c r="G1454" s="42" t="s">
        <v>7</v>
      </c>
      <c r="H1454" s="42" t="s">
        <v>167</v>
      </c>
      <c r="I1454" s="42" t="s">
        <v>168</v>
      </c>
      <c r="J1454" s="10">
        <v>5200</v>
      </c>
      <c r="K1454" s="7">
        <v>-5200</v>
      </c>
      <c r="L1454" s="1" t="s">
        <v>671</v>
      </c>
      <c r="M1454" s="2" t="s">
        <v>664</v>
      </c>
    </row>
    <row r="1455" spans="1:13">
      <c r="A1455" s="21" t="str">
        <f>TEXT(TEXT(B1455,"yyyymmdd"),"00000000")&amp;TEXT(COUNTIF($B$2:B1455,B1455),"00")</f>
        <v>2024052702</v>
      </c>
      <c r="B1455" s="21">
        <f t="shared" ref="B1455" si="70">DATE(C1455,D1455,E1455)</f>
        <v>45439</v>
      </c>
      <c r="C1455" s="22">
        <v>2024</v>
      </c>
      <c r="D1455" s="23">
        <v>5</v>
      </c>
      <c r="E1455" s="24">
        <v>27</v>
      </c>
      <c r="F1455" s="42" t="s">
        <v>17</v>
      </c>
      <c r="G1455" s="42" t="s">
        <v>13</v>
      </c>
      <c r="H1455" s="42" t="s">
        <v>138</v>
      </c>
      <c r="I1455" s="42" t="s">
        <v>139</v>
      </c>
      <c r="J1455" s="10">
        <v>5000</v>
      </c>
      <c r="K1455" s="7">
        <v>-5000</v>
      </c>
      <c r="L1455" s="1" t="s">
        <v>619</v>
      </c>
    </row>
    <row r="1456" spans="1:13">
      <c r="A1456" s="21" t="str">
        <f>TEXT(TEXT(B1456,"yyyymmdd"),"00000000")&amp;TEXT(COUNTIF($B$2:B1456,B1456),"00")</f>
        <v>2024052703</v>
      </c>
      <c r="B1456" s="21">
        <f t="shared" ref="B1456" si="71">DATE(C1456,D1456,E1456)</f>
        <v>45439</v>
      </c>
      <c r="C1456" s="22">
        <v>2024</v>
      </c>
      <c r="D1456" s="23">
        <v>5</v>
      </c>
      <c r="E1456" s="24">
        <v>27</v>
      </c>
      <c r="F1456" s="42" t="s">
        <v>17</v>
      </c>
      <c r="G1456" s="42" t="s">
        <v>7</v>
      </c>
      <c r="H1456" s="42" t="s">
        <v>167</v>
      </c>
      <c r="I1456" s="42" t="s">
        <v>168</v>
      </c>
      <c r="J1456" s="10">
        <v>2300</v>
      </c>
      <c r="K1456" s="7">
        <v>-2300</v>
      </c>
      <c r="L1456" s="1" t="s">
        <v>748</v>
      </c>
      <c r="M1456" s="2" t="s">
        <v>1095</v>
      </c>
    </row>
    <row r="1457" spans="1:13">
      <c r="A1457" s="21" t="str">
        <f>TEXT(TEXT(B1457,"yyyymmdd"),"00000000")&amp;TEXT(COUNTIF($B$2:B1457,B1457),"00")</f>
        <v>2024052704</v>
      </c>
      <c r="B1457" s="21">
        <f t="shared" ref="B1457" si="72">DATE(C1457,D1457,E1457)</f>
        <v>45439</v>
      </c>
      <c r="C1457" s="22">
        <v>2024</v>
      </c>
      <c r="D1457" s="23">
        <v>5</v>
      </c>
      <c r="E1457" s="24">
        <v>27</v>
      </c>
      <c r="F1457" s="42" t="s">
        <v>17</v>
      </c>
      <c r="G1457" s="42" t="s">
        <v>13</v>
      </c>
      <c r="H1457" s="42" t="s">
        <v>138</v>
      </c>
      <c r="I1457" s="42" t="s">
        <v>139</v>
      </c>
      <c r="J1457" s="10">
        <v>9500</v>
      </c>
      <c r="K1457" s="7">
        <v>-9500</v>
      </c>
      <c r="L1457" s="1" t="s">
        <v>680</v>
      </c>
    </row>
    <row r="1458" spans="1:13">
      <c r="A1458" s="21" t="str">
        <f>TEXT(TEXT(B1458,"yyyymmdd"),"00000000")&amp;TEXT(COUNTIF($B$2:B1458,B1458),"00")</f>
        <v>2024052801</v>
      </c>
      <c r="B1458" s="21">
        <f t="shared" ref="B1458" si="73">DATE(C1458,D1458,E1458)</f>
        <v>45440</v>
      </c>
      <c r="C1458" s="22">
        <v>2024</v>
      </c>
      <c r="D1458" s="23">
        <v>5</v>
      </c>
      <c r="E1458" s="24">
        <v>28</v>
      </c>
      <c r="F1458" s="42" t="s">
        <v>17</v>
      </c>
      <c r="G1458" s="42" t="s">
        <v>13</v>
      </c>
      <c r="H1458" s="42" t="s">
        <v>138</v>
      </c>
      <c r="I1458" s="42" t="s">
        <v>139</v>
      </c>
      <c r="J1458" s="10">
        <v>8500</v>
      </c>
      <c r="K1458" s="7">
        <v>-8500</v>
      </c>
      <c r="L1458" s="1" t="s">
        <v>693</v>
      </c>
    </row>
    <row r="1459" spans="1:13">
      <c r="A1459" s="21" t="str">
        <f>TEXT(TEXT(B1459,"yyyymmdd"),"00000000")&amp;TEXT(COUNTIF($B$2:B1459,B1459),"00")</f>
        <v>2024052802</v>
      </c>
      <c r="B1459" s="21">
        <f t="shared" ref="B1459" si="74">DATE(C1459,D1459,E1459)</f>
        <v>45440</v>
      </c>
      <c r="C1459" s="22">
        <v>2024</v>
      </c>
      <c r="D1459" s="23">
        <v>5</v>
      </c>
      <c r="E1459" s="24">
        <v>28</v>
      </c>
      <c r="F1459" s="42" t="s">
        <v>17</v>
      </c>
      <c r="G1459" s="42" t="s">
        <v>7</v>
      </c>
      <c r="H1459" s="42" t="s">
        <v>167</v>
      </c>
      <c r="I1459" s="42" t="s">
        <v>168</v>
      </c>
      <c r="J1459" s="10">
        <v>2300</v>
      </c>
      <c r="K1459" s="7">
        <v>-2300</v>
      </c>
      <c r="L1459" s="1" t="s">
        <v>748</v>
      </c>
      <c r="M1459" s="2" t="s">
        <v>1095</v>
      </c>
    </row>
    <row r="1460" spans="1:13">
      <c r="A1460" s="21" t="str">
        <f>TEXT(TEXT(B1460,"yyyymmdd"),"00000000")&amp;TEXT(COUNTIF($B$2:B1460,B1460),"00")</f>
        <v>2024052901</v>
      </c>
      <c r="B1460" s="21">
        <f t="shared" ref="B1460" si="75">DATE(C1460,D1460,E1460)</f>
        <v>45441</v>
      </c>
      <c r="C1460" s="22">
        <v>2024</v>
      </c>
      <c r="D1460" s="23">
        <v>5</v>
      </c>
      <c r="E1460" s="24">
        <v>29</v>
      </c>
      <c r="F1460" s="42" t="s">
        <v>17</v>
      </c>
      <c r="G1460" s="42" t="s">
        <v>13</v>
      </c>
      <c r="H1460" s="42" t="s">
        <v>138</v>
      </c>
      <c r="I1460" s="42" t="s">
        <v>139</v>
      </c>
      <c r="J1460" s="10">
        <v>5000</v>
      </c>
      <c r="K1460" s="7">
        <v>-5000</v>
      </c>
      <c r="L1460" s="1" t="s">
        <v>619</v>
      </c>
    </row>
    <row r="1461" spans="1:13">
      <c r="A1461" s="21" t="str">
        <f>TEXT(TEXT(B1461,"yyyymmdd"),"00000000")&amp;TEXT(COUNTIF($B$2:B1461,B1461),"00")</f>
        <v>2024052902</v>
      </c>
      <c r="B1461" s="21">
        <f t="shared" ref="B1461" si="76">DATE(C1461,D1461,E1461)</f>
        <v>45441</v>
      </c>
      <c r="C1461" s="22">
        <v>2024</v>
      </c>
      <c r="D1461" s="23">
        <v>5</v>
      </c>
      <c r="E1461" s="24">
        <v>29</v>
      </c>
      <c r="F1461" s="42" t="s">
        <v>17</v>
      </c>
      <c r="G1461" s="42" t="s">
        <v>7</v>
      </c>
      <c r="H1461" s="42" t="s">
        <v>167</v>
      </c>
      <c r="I1461" s="42" t="s">
        <v>168</v>
      </c>
      <c r="J1461" s="10">
        <v>5000</v>
      </c>
      <c r="K1461" s="7">
        <v>-5000</v>
      </c>
      <c r="L1461" s="1" t="s">
        <v>332</v>
      </c>
      <c r="M1461" s="2" t="s">
        <v>1063</v>
      </c>
    </row>
    <row r="1462" spans="1:13">
      <c r="A1462" s="21" t="str">
        <f>TEXT(TEXT(B1462,"yyyymmdd"),"00000000")&amp;TEXT(COUNTIF($B$2:B1462,B1462),"00")</f>
        <v>2024052903</v>
      </c>
      <c r="B1462" s="21">
        <f t="shared" ref="B1462" si="77">DATE(C1462,D1462,E1462)</f>
        <v>45441</v>
      </c>
      <c r="C1462" s="22">
        <v>2024</v>
      </c>
      <c r="D1462" s="23">
        <v>5</v>
      </c>
      <c r="E1462" s="24">
        <v>29</v>
      </c>
      <c r="F1462" s="42" t="s">
        <v>17</v>
      </c>
      <c r="G1462" s="42" t="s">
        <v>7</v>
      </c>
      <c r="H1462" s="42" t="s">
        <v>155</v>
      </c>
      <c r="I1462" s="42" t="s">
        <v>221</v>
      </c>
      <c r="J1462" s="10">
        <v>44900</v>
      </c>
      <c r="K1462" s="7">
        <v>-44900</v>
      </c>
      <c r="L1462" s="1" t="s">
        <v>541</v>
      </c>
      <c r="M1462" s="2" t="s">
        <v>1096</v>
      </c>
    </row>
    <row r="1463" spans="1:13">
      <c r="A1463" s="21" t="str">
        <f>TEXT(TEXT(B1463,"yyyymmdd"),"00000000")&amp;TEXT(COUNTIF($B$2:B1463,B1463),"00")</f>
        <v>2024052904</v>
      </c>
      <c r="B1463" s="21">
        <f t="shared" ref="B1463" si="78">DATE(C1463,D1463,E1463)</f>
        <v>45441</v>
      </c>
      <c r="C1463" s="22">
        <v>2024</v>
      </c>
      <c r="D1463" s="23">
        <v>5</v>
      </c>
      <c r="E1463" s="24">
        <v>29</v>
      </c>
      <c r="F1463" s="42" t="s">
        <v>17</v>
      </c>
      <c r="G1463" s="42" t="s">
        <v>13</v>
      </c>
      <c r="H1463" s="42" t="s">
        <v>138</v>
      </c>
      <c r="I1463" s="42" t="s">
        <v>139</v>
      </c>
      <c r="J1463" s="10">
        <v>7500</v>
      </c>
      <c r="K1463" s="7">
        <v>-7500</v>
      </c>
      <c r="L1463" s="1" t="s">
        <v>673</v>
      </c>
    </row>
    <row r="1464" spans="1:13">
      <c r="A1464" s="21" t="str">
        <f>TEXT(TEXT(B1464,"yyyymmdd"),"00000000")&amp;TEXT(COUNTIF($B$2:B1464,B1464),"00")</f>
        <v>2024053001</v>
      </c>
      <c r="B1464" s="21">
        <f t="shared" ref="B1464" si="79">DATE(C1464,D1464,E1464)</f>
        <v>45442</v>
      </c>
      <c r="C1464" s="22">
        <v>2024</v>
      </c>
      <c r="D1464" s="23">
        <v>5</v>
      </c>
      <c r="E1464" s="24">
        <v>30</v>
      </c>
      <c r="F1464" s="42" t="s">
        <v>17</v>
      </c>
      <c r="G1464" s="42" t="s">
        <v>13</v>
      </c>
      <c r="H1464" s="42" t="s">
        <v>138</v>
      </c>
      <c r="I1464" s="42" t="s">
        <v>139</v>
      </c>
      <c r="J1464" s="10">
        <v>8500</v>
      </c>
      <c r="K1464" s="7">
        <v>-8500</v>
      </c>
      <c r="L1464" s="1" t="s">
        <v>738</v>
      </c>
    </row>
    <row r="1465" spans="1:13">
      <c r="A1465" s="21" t="str">
        <f>TEXT(TEXT(B1465,"yyyymmdd"),"00000000")&amp;TEXT(COUNTIF($B$2:B1465,B1465),"00")</f>
        <v>2024053002</v>
      </c>
      <c r="B1465" s="21">
        <f t="shared" ref="B1465" si="80">DATE(C1465,D1465,E1465)</f>
        <v>45442</v>
      </c>
      <c r="C1465" s="22">
        <v>2024</v>
      </c>
      <c r="D1465" s="23">
        <v>5</v>
      </c>
      <c r="E1465" s="24">
        <v>30</v>
      </c>
      <c r="F1465" s="42" t="s">
        <v>17</v>
      </c>
      <c r="G1465" s="42" t="s">
        <v>7</v>
      </c>
      <c r="H1465" s="42" t="s">
        <v>167</v>
      </c>
      <c r="I1465" s="42" t="s">
        <v>168</v>
      </c>
      <c r="J1465" s="10">
        <v>2300</v>
      </c>
      <c r="K1465" s="7">
        <v>-2300</v>
      </c>
      <c r="L1465" s="1" t="s">
        <v>748</v>
      </c>
      <c r="M1465" s="2" t="s">
        <v>1095</v>
      </c>
    </row>
    <row r="1466" spans="1:13">
      <c r="A1466" s="21" t="str">
        <f>TEXT(TEXT(B1466,"yyyymmdd"),"00000000")&amp;TEXT(COUNTIF($B$2:B1466,B1466),"00")</f>
        <v>2024053003</v>
      </c>
      <c r="B1466" s="21">
        <f t="shared" ref="B1466" si="81">DATE(C1466,D1466,E1466)</f>
        <v>45442</v>
      </c>
      <c r="C1466" s="22">
        <v>2024</v>
      </c>
      <c r="D1466" s="23">
        <v>5</v>
      </c>
      <c r="E1466" s="24">
        <v>30</v>
      </c>
      <c r="F1466" s="42" t="s">
        <v>17</v>
      </c>
      <c r="G1466" s="42" t="s">
        <v>170</v>
      </c>
      <c r="H1466" s="42" t="s">
        <v>155</v>
      </c>
      <c r="I1466" s="42" t="s">
        <v>156</v>
      </c>
      <c r="J1466" s="10">
        <v>3003</v>
      </c>
      <c r="K1466" s="7">
        <v>-3003</v>
      </c>
      <c r="L1466" s="1" t="s">
        <v>303</v>
      </c>
    </row>
    <row r="1467" spans="1:13">
      <c r="A1467" s="21" t="str">
        <f>TEXT(TEXT(B1467,"yyyymmdd"),"00000000")&amp;TEXT(COUNTIF($B$2:B1467,B1467),"00")</f>
        <v>2024053004</v>
      </c>
      <c r="B1467" s="21">
        <f t="shared" ref="B1467" si="82">DATE(C1467,D1467,E1467)</f>
        <v>45442</v>
      </c>
      <c r="C1467" s="22">
        <v>2024</v>
      </c>
      <c r="D1467" s="23">
        <v>5</v>
      </c>
      <c r="E1467" s="24">
        <v>30</v>
      </c>
      <c r="F1467" s="42" t="s">
        <v>17</v>
      </c>
      <c r="G1467" s="42" t="s">
        <v>7</v>
      </c>
      <c r="H1467" s="42" t="s">
        <v>110</v>
      </c>
      <c r="I1467" s="42" t="s">
        <v>124</v>
      </c>
      <c r="J1467" s="10">
        <v>3800</v>
      </c>
      <c r="K1467" s="7">
        <v>-3800</v>
      </c>
      <c r="L1467" s="1" t="s">
        <v>865</v>
      </c>
      <c r="M1467" s="2" t="s">
        <v>1097</v>
      </c>
    </row>
    <row r="1468" spans="1:13">
      <c r="A1468" s="21" t="str">
        <f>TEXT(TEXT(B1468,"yyyymmdd"),"00000000")&amp;TEXT(COUNTIF($B$2:B1468,B1468),"00")</f>
        <v>2024053101</v>
      </c>
      <c r="B1468" s="21">
        <f t="shared" ref="B1468" si="83">DATE(C1468,D1468,E1468)</f>
        <v>45443</v>
      </c>
      <c r="C1468" s="22">
        <v>2024</v>
      </c>
      <c r="D1468" s="23">
        <v>5</v>
      </c>
      <c r="E1468" s="24">
        <v>31</v>
      </c>
      <c r="F1468" s="42" t="s">
        <v>17</v>
      </c>
      <c r="G1468" s="42" t="s">
        <v>13</v>
      </c>
      <c r="H1468" s="42" t="s">
        <v>138</v>
      </c>
      <c r="I1468" s="42" t="s">
        <v>139</v>
      </c>
      <c r="J1468" s="10">
        <v>4600</v>
      </c>
      <c r="K1468" s="7">
        <v>-4600</v>
      </c>
      <c r="L1468" s="1" t="s">
        <v>300</v>
      </c>
    </row>
    <row r="1469" spans="1:13">
      <c r="A1469" s="21" t="str">
        <f>TEXT(TEXT(B1469,"yyyymmdd"),"00000000")&amp;TEXT(COUNTIF($B$2:B1469,B1469),"00")</f>
        <v>2024053102</v>
      </c>
      <c r="B1469" s="21">
        <f t="shared" ref="B1469" si="84">DATE(C1469,D1469,E1469)</f>
        <v>45443</v>
      </c>
      <c r="C1469" s="22">
        <v>2024</v>
      </c>
      <c r="D1469" s="23">
        <v>5</v>
      </c>
      <c r="E1469" s="24">
        <v>31</v>
      </c>
      <c r="F1469" s="42" t="s">
        <v>17</v>
      </c>
      <c r="G1469" s="42" t="s">
        <v>7</v>
      </c>
      <c r="H1469" s="42" t="s">
        <v>167</v>
      </c>
      <c r="I1469" s="42" t="s">
        <v>168</v>
      </c>
      <c r="J1469" s="10">
        <v>1800</v>
      </c>
      <c r="K1469" s="7">
        <v>-1800</v>
      </c>
      <c r="L1469" s="1" t="s">
        <v>748</v>
      </c>
      <c r="M1469" s="2" t="s">
        <v>1098</v>
      </c>
    </row>
    <row r="1470" spans="1:13">
      <c r="A1470" s="21" t="str">
        <f>TEXT(TEXT(B1470,"yyyymmdd"),"00000000")&amp;TEXT(COUNTIF($B$2:B1470,B1470),"00")</f>
        <v>2024053103</v>
      </c>
      <c r="B1470" s="21">
        <f t="shared" ref="B1470" si="85">DATE(C1470,D1470,E1470)</f>
        <v>45443</v>
      </c>
      <c r="C1470" s="22">
        <v>2024</v>
      </c>
      <c r="D1470" s="23">
        <v>5</v>
      </c>
      <c r="E1470" s="24">
        <v>31</v>
      </c>
      <c r="F1470" s="42" t="s">
        <v>17</v>
      </c>
      <c r="G1470" s="42" t="s">
        <v>13</v>
      </c>
      <c r="H1470" s="42" t="s">
        <v>138</v>
      </c>
      <c r="I1470" s="42" t="s">
        <v>139</v>
      </c>
      <c r="J1470" s="10">
        <v>10500</v>
      </c>
      <c r="K1470" s="7">
        <v>-10500</v>
      </c>
      <c r="L1470" s="1" t="s">
        <v>889</v>
      </c>
    </row>
    <row r="1471" spans="1:13">
      <c r="A1471" s="21" t="str">
        <f>TEXT(TEXT(B1471,"yyyymmdd"),"00000000")&amp;TEXT(COUNTIF($B$2:B1471,B1471),"00")</f>
        <v>2024060101</v>
      </c>
      <c r="B1471" s="21">
        <f t="shared" ref="B1471" si="86">DATE(C1471,D1471,E1471)</f>
        <v>45444</v>
      </c>
      <c r="C1471" s="22">
        <v>2024</v>
      </c>
      <c r="D1471" s="23">
        <v>6</v>
      </c>
      <c r="E1471" s="24">
        <v>1</v>
      </c>
      <c r="F1471" s="42" t="s">
        <v>17</v>
      </c>
      <c r="G1471" s="42" t="s">
        <v>13</v>
      </c>
      <c r="H1471" s="42" t="s">
        <v>113</v>
      </c>
      <c r="I1471" s="42" t="s">
        <v>171</v>
      </c>
      <c r="J1471" s="10">
        <v>15000</v>
      </c>
      <c r="K1471" s="7">
        <v>-15000</v>
      </c>
      <c r="L1471" s="1" t="s">
        <v>502</v>
      </c>
    </row>
    <row r="1472" spans="1:13">
      <c r="A1472" s="21" t="str">
        <f>TEXT(TEXT(B1472,"yyyymmdd"),"00000000")&amp;TEXT(COUNTIF($B$2:B1472,B1472),"00")</f>
        <v>2024060102</v>
      </c>
      <c r="B1472" s="21">
        <f t="shared" ref="B1472" si="87">DATE(C1472,D1472,E1472)</f>
        <v>45444</v>
      </c>
      <c r="C1472" s="22">
        <v>2024</v>
      </c>
      <c r="D1472" s="23">
        <v>6</v>
      </c>
      <c r="E1472" s="24">
        <v>1</v>
      </c>
      <c r="F1472" s="42" t="s">
        <v>17</v>
      </c>
      <c r="G1472" s="42" t="s">
        <v>151</v>
      </c>
      <c r="H1472" s="42" t="s">
        <v>151</v>
      </c>
      <c r="I1472" s="42" t="s">
        <v>152</v>
      </c>
      <c r="J1472" s="10">
        <v>-600000</v>
      </c>
      <c r="K1472" s="7">
        <v>600000</v>
      </c>
      <c r="L1472" s="1" t="s">
        <v>252</v>
      </c>
      <c r="M1472" s="2" t="s">
        <v>1099</v>
      </c>
    </row>
    <row r="1473" spans="1:13">
      <c r="A1473" s="21" t="str">
        <f>TEXT(TEXT(B1473,"yyyymmdd"),"00000000")&amp;TEXT(COUNTIF($B$2:B1473,B1473),"00")</f>
        <v>2024060301</v>
      </c>
      <c r="B1473" s="21">
        <f t="shared" ref="B1473" si="88">DATE(C1473,D1473,E1473)</f>
        <v>45446</v>
      </c>
      <c r="C1473" s="22">
        <v>2024</v>
      </c>
      <c r="D1473" s="23">
        <v>6</v>
      </c>
      <c r="E1473" s="24">
        <v>3</v>
      </c>
      <c r="F1473" s="42" t="s">
        <v>17</v>
      </c>
      <c r="G1473" s="42" t="s">
        <v>13</v>
      </c>
      <c r="H1473" s="42" t="s">
        <v>138</v>
      </c>
      <c r="I1473" s="42" t="s">
        <v>139</v>
      </c>
      <c r="J1473" s="10">
        <v>5000</v>
      </c>
      <c r="K1473" s="7">
        <v>-5000</v>
      </c>
      <c r="L1473" s="1" t="s">
        <v>619</v>
      </c>
    </row>
    <row r="1474" spans="1:13">
      <c r="A1474" s="21" t="str">
        <f>TEXT(TEXT(B1474,"yyyymmdd"),"00000000")&amp;TEXT(COUNTIF($B$2:B1474,B1474),"00")</f>
        <v>2024060302</v>
      </c>
      <c r="B1474" s="21">
        <f t="shared" ref="B1474" si="89">DATE(C1474,D1474,E1474)</f>
        <v>45446</v>
      </c>
      <c r="C1474" s="22">
        <v>2024</v>
      </c>
      <c r="D1474" s="23">
        <v>6</v>
      </c>
      <c r="E1474" s="24">
        <v>3</v>
      </c>
      <c r="F1474" s="42" t="s">
        <v>17</v>
      </c>
      <c r="G1474" s="42" t="s">
        <v>7</v>
      </c>
      <c r="H1474" s="42" t="s">
        <v>167</v>
      </c>
      <c r="I1474" s="42" t="s">
        <v>168</v>
      </c>
      <c r="J1474" s="10">
        <v>2300</v>
      </c>
      <c r="K1474" s="7">
        <v>-2300</v>
      </c>
      <c r="L1474" s="1" t="s">
        <v>748</v>
      </c>
      <c r="M1474" s="2" t="s">
        <v>1095</v>
      </c>
    </row>
    <row r="1475" spans="1:13">
      <c r="A1475" s="21" t="str">
        <f>TEXT(TEXT(B1475,"yyyymmdd"),"00000000")&amp;TEXT(COUNTIF($B$2:B1475,B1475),"00")</f>
        <v>2024060303</v>
      </c>
      <c r="B1475" s="21">
        <f t="shared" ref="B1475" si="90">DATE(C1475,D1475,E1475)</f>
        <v>45446</v>
      </c>
      <c r="C1475" s="22">
        <v>2024</v>
      </c>
      <c r="D1475" s="23">
        <v>6</v>
      </c>
      <c r="E1475" s="24">
        <v>3</v>
      </c>
      <c r="F1475" s="42" t="s">
        <v>17</v>
      </c>
      <c r="G1475" s="42" t="s">
        <v>13</v>
      </c>
      <c r="H1475" s="42" t="s">
        <v>138</v>
      </c>
      <c r="I1475" s="42" t="s">
        <v>139</v>
      </c>
      <c r="J1475" s="10">
        <v>4700</v>
      </c>
      <c r="K1475" s="7">
        <v>-4700</v>
      </c>
      <c r="L1475" s="1" t="s">
        <v>300</v>
      </c>
    </row>
    <row r="1476" spans="1:13">
      <c r="A1476" s="21" t="str">
        <f>TEXT(TEXT(B1476,"yyyymmdd"),"00000000")&amp;TEXT(COUNTIF($B$2:B1476,B1476),"00")</f>
        <v>2024060401</v>
      </c>
      <c r="B1476" s="21">
        <f t="shared" ref="B1476" si="91">DATE(C1476,D1476,E1476)</f>
        <v>45447</v>
      </c>
      <c r="C1476" s="22">
        <v>2024</v>
      </c>
      <c r="D1476" s="23">
        <v>6</v>
      </c>
      <c r="E1476" s="24">
        <v>4</v>
      </c>
      <c r="F1476" s="42" t="s">
        <v>17</v>
      </c>
      <c r="G1476" s="42" t="s">
        <v>13</v>
      </c>
      <c r="H1476" s="42" t="s">
        <v>138</v>
      </c>
      <c r="I1476" s="42" t="s">
        <v>139</v>
      </c>
      <c r="J1476" s="10">
        <v>5000</v>
      </c>
      <c r="K1476" s="7">
        <v>-5000</v>
      </c>
      <c r="L1476" s="1" t="s">
        <v>619</v>
      </c>
    </row>
    <row r="1477" spans="1:13">
      <c r="A1477" s="21" t="str">
        <f>TEXT(TEXT(B1477,"yyyymmdd"),"00000000")&amp;TEXT(COUNTIF($B$2:B1477,B1477),"00")</f>
        <v>2024060402</v>
      </c>
      <c r="B1477" s="21">
        <f t="shared" ref="B1477:B1481" si="92">DATE(C1477,D1477,E1477)</f>
        <v>45447</v>
      </c>
      <c r="C1477" s="22">
        <v>2024</v>
      </c>
      <c r="D1477" s="23">
        <v>6</v>
      </c>
      <c r="E1477" s="24">
        <v>4</v>
      </c>
      <c r="F1477" s="42" t="s">
        <v>17</v>
      </c>
      <c r="G1477" s="42" t="s">
        <v>7</v>
      </c>
      <c r="H1477" s="42" t="s">
        <v>167</v>
      </c>
      <c r="I1477" s="42" t="s">
        <v>168</v>
      </c>
      <c r="J1477" s="10">
        <v>2300</v>
      </c>
      <c r="K1477" s="7">
        <v>-2300</v>
      </c>
      <c r="L1477" s="1" t="s">
        <v>748</v>
      </c>
    </row>
    <row r="1478" spans="1:13">
      <c r="A1478" s="21" t="str">
        <f>TEXT(TEXT(B1478,"yyyymmdd"),"00000000")&amp;TEXT(COUNTIF($B$2:B1478,B1478),"00")</f>
        <v>2024060403</v>
      </c>
      <c r="B1478" s="21">
        <f t="shared" si="92"/>
        <v>45447</v>
      </c>
      <c r="C1478" s="22">
        <v>2024</v>
      </c>
      <c r="D1478" s="23">
        <v>6</v>
      </c>
      <c r="E1478" s="24">
        <v>4</v>
      </c>
      <c r="F1478" s="42" t="s">
        <v>17</v>
      </c>
      <c r="G1478" s="42" t="s">
        <v>13</v>
      </c>
      <c r="H1478" s="42" t="s">
        <v>138</v>
      </c>
      <c r="I1478" s="42" t="s">
        <v>139</v>
      </c>
      <c r="J1478" s="10">
        <v>8500</v>
      </c>
      <c r="K1478" s="7">
        <v>-8500</v>
      </c>
      <c r="L1478" s="1" t="s">
        <v>864</v>
      </c>
    </row>
    <row r="1479" spans="1:13">
      <c r="A1479" s="21" t="str">
        <f>TEXT(TEXT(B1479,"yyyymmdd"),"00000000")&amp;TEXT(COUNTIF($B$2:B1479,B1479),"00")</f>
        <v>2024060501</v>
      </c>
      <c r="B1479" s="21">
        <f t="shared" si="92"/>
        <v>45448</v>
      </c>
      <c r="C1479" s="22">
        <v>2024</v>
      </c>
      <c r="D1479" s="23">
        <v>6</v>
      </c>
      <c r="E1479" s="24">
        <v>5</v>
      </c>
      <c r="F1479" s="42" t="s">
        <v>17</v>
      </c>
      <c r="G1479" s="42" t="s">
        <v>13</v>
      </c>
      <c r="H1479" s="42" t="s">
        <v>138</v>
      </c>
      <c r="I1479" s="42" t="s">
        <v>139</v>
      </c>
      <c r="J1479" s="10">
        <v>5000</v>
      </c>
      <c r="K1479" s="7">
        <v>-5000</v>
      </c>
      <c r="L1479" s="1" t="s">
        <v>619</v>
      </c>
    </row>
    <row r="1480" spans="1:13">
      <c r="A1480" s="21" t="str">
        <f>TEXT(TEXT(B1480,"yyyymmdd"),"00000000")&amp;TEXT(COUNTIF($B$2:B1480,B1480),"00")</f>
        <v>2024060502</v>
      </c>
      <c r="B1480" s="21">
        <f t="shared" si="92"/>
        <v>45448</v>
      </c>
      <c r="C1480" s="22">
        <v>2024</v>
      </c>
      <c r="D1480" s="23">
        <v>6</v>
      </c>
      <c r="E1480" s="24">
        <v>5</v>
      </c>
      <c r="F1480" s="42" t="s">
        <v>17</v>
      </c>
      <c r="G1480" s="42" t="s">
        <v>13</v>
      </c>
      <c r="H1480" s="42" t="s">
        <v>138</v>
      </c>
      <c r="I1480" s="42" t="s">
        <v>139</v>
      </c>
      <c r="J1480" s="10">
        <v>13800</v>
      </c>
      <c r="K1480" s="7">
        <v>-13800</v>
      </c>
      <c r="L1480" s="1" t="s">
        <v>819</v>
      </c>
    </row>
    <row r="1481" spans="1:13">
      <c r="A1481" s="21" t="str">
        <f>TEXT(TEXT(B1481,"yyyymmdd"),"00000000")&amp;TEXT(COUNTIF($B$2:B1481,B1481),"00")</f>
        <v>2024060503</v>
      </c>
      <c r="B1481" s="21">
        <f t="shared" si="92"/>
        <v>45448</v>
      </c>
      <c r="C1481" s="22">
        <v>2024</v>
      </c>
      <c r="D1481" s="23">
        <v>6</v>
      </c>
      <c r="E1481" s="24">
        <v>5</v>
      </c>
      <c r="F1481" s="42" t="s">
        <v>17</v>
      </c>
      <c r="G1481" s="42" t="s">
        <v>7</v>
      </c>
      <c r="H1481" s="42" t="s">
        <v>173</v>
      </c>
      <c r="I1481" s="42" t="s">
        <v>207</v>
      </c>
      <c r="J1481" s="10">
        <v>13680</v>
      </c>
      <c r="K1481" s="7">
        <v>-13680</v>
      </c>
      <c r="L1481" s="1" t="s">
        <v>208</v>
      </c>
    </row>
    <row r="1482" spans="1:13">
      <c r="A1482" s="21" t="str">
        <f>TEXT(TEXT(B1482,"yyyymmdd"),"00000000")&amp;TEXT(COUNTIF($B$2:B1482,B1482),"00")</f>
        <v>2024060601</v>
      </c>
      <c r="B1482" s="21">
        <f t="shared" ref="B1482" si="93">DATE(C1482,D1482,E1482)</f>
        <v>45449</v>
      </c>
      <c r="C1482" s="22">
        <v>2024</v>
      </c>
      <c r="D1482" s="23">
        <v>6</v>
      </c>
      <c r="E1482" s="24">
        <v>6</v>
      </c>
      <c r="F1482" s="42" t="s">
        <v>17</v>
      </c>
      <c r="G1482" s="42" t="s">
        <v>13</v>
      </c>
      <c r="H1482" s="42" t="s">
        <v>138</v>
      </c>
      <c r="I1482" s="42" t="s">
        <v>139</v>
      </c>
      <c r="J1482" s="10">
        <v>9900</v>
      </c>
      <c r="K1482" s="7">
        <v>-9900</v>
      </c>
      <c r="L1482" s="1" t="s">
        <v>750</v>
      </c>
    </row>
    <row r="1483" spans="1:13">
      <c r="A1483" s="21" t="str">
        <f>TEXT(TEXT(B1483,"yyyymmdd"),"00000000")&amp;TEXT(COUNTIF($B$2:B1483,B1483),"00")</f>
        <v>2024060602</v>
      </c>
      <c r="B1483" s="21">
        <f t="shared" ref="B1483" si="94">DATE(C1483,D1483,E1483)</f>
        <v>45449</v>
      </c>
      <c r="C1483" s="22">
        <v>2024</v>
      </c>
      <c r="D1483" s="23">
        <v>6</v>
      </c>
      <c r="E1483" s="24">
        <v>6</v>
      </c>
      <c r="F1483" s="42" t="s">
        <v>17</v>
      </c>
      <c r="G1483" s="42" t="s">
        <v>13</v>
      </c>
      <c r="H1483" s="42" t="s">
        <v>138</v>
      </c>
      <c r="I1483" s="42" t="s">
        <v>139</v>
      </c>
      <c r="J1483" s="10">
        <v>6500</v>
      </c>
      <c r="K1483" s="7">
        <v>-6500</v>
      </c>
      <c r="L1483" s="1" t="s">
        <v>673</v>
      </c>
    </row>
    <row r="1484" spans="1:13">
      <c r="A1484" s="21" t="str">
        <f>TEXT(TEXT(B1484,"yyyymmdd"),"00000000")&amp;TEXT(COUNTIF($B$2:B1484,B1484),"00")</f>
        <v>2024060701</v>
      </c>
      <c r="B1484" s="21">
        <f t="shared" ref="B1484" si="95">DATE(C1484,D1484,E1484)</f>
        <v>45450</v>
      </c>
      <c r="C1484" s="22">
        <v>2024</v>
      </c>
      <c r="D1484" s="23">
        <v>6</v>
      </c>
      <c r="E1484" s="24">
        <v>7</v>
      </c>
      <c r="F1484" s="42" t="s">
        <v>17</v>
      </c>
      <c r="G1484" s="42" t="s">
        <v>13</v>
      </c>
      <c r="H1484" s="42" t="s">
        <v>138</v>
      </c>
      <c r="I1484" s="42" t="s">
        <v>139</v>
      </c>
      <c r="J1484" s="10">
        <v>5000</v>
      </c>
      <c r="K1484" s="7">
        <v>-5000</v>
      </c>
      <c r="L1484" s="1" t="s">
        <v>619</v>
      </c>
    </row>
    <row r="1485" spans="1:13">
      <c r="A1485" s="21" t="str">
        <f>TEXT(TEXT(B1485,"yyyymmdd"),"00000000")&amp;TEXT(COUNTIF($B$2:B1485,B1485),"00")</f>
        <v>2024060702</v>
      </c>
      <c r="B1485" s="21">
        <f t="shared" ref="B1485" si="96">DATE(C1485,D1485,E1485)</f>
        <v>45450</v>
      </c>
      <c r="C1485" s="22">
        <v>2024</v>
      </c>
      <c r="D1485" s="23">
        <v>6</v>
      </c>
      <c r="E1485" s="24">
        <v>7</v>
      </c>
      <c r="F1485" s="42" t="s">
        <v>17</v>
      </c>
      <c r="G1485" s="42" t="s">
        <v>7</v>
      </c>
      <c r="H1485" s="42" t="s">
        <v>167</v>
      </c>
      <c r="I1485" s="42" t="s">
        <v>168</v>
      </c>
      <c r="J1485" s="10">
        <v>2600</v>
      </c>
      <c r="K1485" s="7">
        <v>-2600</v>
      </c>
      <c r="L1485" s="1" t="s">
        <v>748</v>
      </c>
    </row>
    <row r="1486" spans="1:13">
      <c r="A1486" s="21" t="str">
        <f>TEXT(TEXT(B1486,"yyyymmdd"),"00000000")&amp;TEXT(COUNTIF($B$2:B1486,B1486),"00")</f>
        <v>2024060703</v>
      </c>
      <c r="B1486" s="21">
        <f t="shared" ref="B1486" si="97">DATE(C1486,D1486,E1486)</f>
        <v>45450</v>
      </c>
      <c r="C1486" s="22">
        <v>2024</v>
      </c>
      <c r="D1486" s="23">
        <v>6</v>
      </c>
      <c r="E1486" s="24">
        <v>7</v>
      </c>
      <c r="F1486" s="42" t="s">
        <v>17</v>
      </c>
      <c r="G1486" s="42" t="s">
        <v>13</v>
      </c>
      <c r="H1486" s="42" t="s">
        <v>138</v>
      </c>
      <c r="I1486" s="42" t="s">
        <v>139</v>
      </c>
      <c r="J1486" s="10">
        <v>8900</v>
      </c>
      <c r="K1486" s="7">
        <v>-8900</v>
      </c>
      <c r="L1486" s="1" t="s">
        <v>993</v>
      </c>
    </row>
    <row r="1487" spans="1:13">
      <c r="A1487" s="21" t="str">
        <f>TEXT(TEXT(B1487,"yyyymmdd"),"00000000")&amp;TEXT(COUNTIF($B$2:B1487,B1487),"00")</f>
        <v>2024060801</v>
      </c>
      <c r="B1487" s="21">
        <f t="shared" ref="B1487" si="98">DATE(C1487,D1487,E1487)</f>
        <v>45451</v>
      </c>
      <c r="C1487" s="22">
        <v>2024</v>
      </c>
      <c r="D1487" s="23">
        <v>6</v>
      </c>
      <c r="E1487" s="24">
        <v>8</v>
      </c>
      <c r="F1487" s="42" t="s">
        <v>17</v>
      </c>
      <c r="G1487" s="42" t="s">
        <v>7</v>
      </c>
      <c r="H1487" s="42" t="s">
        <v>110</v>
      </c>
      <c r="I1487" s="42" t="s">
        <v>120</v>
      </c>
      <c r="J1487" s="10">
        <v>3500</v>
      </c>
      <c r="K1487" s="7">
        <v>-3500</v>
      </c>
      <c r="L1487" s="1" t="s">
        <v>1100</v>
      </c>
      <c r="M1487" s="2" t="s">
        <v>1101</v>
      </c>
    </row>
    <row r="1488" spans="1:13">
      <c r="A1488" s="21" t="str">
        <f>TEXT(TEXT(B1488,"yyyymmdd"),"00000000")&amp;TEXT(COUNTIF($B$2:B1488,B1488),"00")</f>
        <v>2024060802</v>
      </c>
      <c r="B1488" s="21">
        <f t="shared" ref="B1488" si="99">DATE(C1488,D1488,E1488)</f>
        <v>45451</v>
      </c>
      <c r="C1488" s="22">
        <v>2024</v>
      </c>
      <c r="D1488" s="23">
        <v>6</v>
      </c>
      <c r="E1488" s="24">
        <v>8</v>
      </c>
      <c r="F1488" s="42" t="s">
        <v>17</v>
      </c>
      <c r="G1488" s="42" t="s">
        <v>7</v>
      </c>
      <c r="H1488" s="42" t="s">
        <v>167</v>
      </c>
      <c r="I1488" s="42" t="s">
        <v>168</v>
      </c>
      <c r="J1488" s="10">
        <v>2600</v>
      </c>
      <c r="K1488" s="7">
        <v>-2600</v>
      </c>
      <c r="L1488" s="1" t="s">
        <v>748</v>
      </c>
    </row>
    <row r="1489" spans="1:13">
      <c r="A1489" s="21" t="str">
        <f>TEXT(TEXT(B1489,"yyyymmdd"),"00000000")&amp;TEXT(COUNTIF($B$2:B1489,B1489),"00")</f>
        <v>2024060901</v>
      </c>
      <c r="B1489" s="21">
        <f t="shared" ref="B1489" si="100">DATE(C1489,D1489,E1489)</f>
        <v>45452</v>
      </c>
      <c r="C1489" s="22">
        <v>2024</v>
      </c>
      <c r="D1489" s="23">
        <v>6</v>
      </c>
      <c r="E1489" s="24">
        <v>9</v>
      </c>
      <c r="F1489" s="42" t="s">
        <v>17</v>
      </c>
      <c r="G1489" s="42" t="s">
        <v>13</v>
      </c>
      <c r="H1489" s="42" t="s">
        <v>138</v>
      </c>
      <c r="I1489" s="42" t="s">
        <v>139</v>
      </c>
      <c r="J1489" s="10">
        <v>6200</v>
      </c>
      <c r="K1489" s="7">
        <v>-6200</v>
      </c>
      <c r="L1489" s="1" t="s">
        <v>300</v>
      </c>
    </row>
    <row r="1490" spans="1:13">
      <c r="A1490" s="21" t="str">
        <f>TEXT(TEXT(B1490,"yyyymmdd"),"00000000")&amp;TEXT(COUNTIF($B$2:B1490,B1490),"00")</f>
        <v>2024060902</v>
      </c>
      <c r="B1490" s="21">
        <f t="shared" ref="B1490" si="101">DATE(C1490,D1490,E1490)</f>
        <v>45452</v>
      </c>
      <c r="C1490" s="22">
        <v>2024</v>
      </c>
      <c r="D1490" s="23">
        <v>6</v>
      </c>
      <c r="E1490" s="24">
        <v>9</v>
      </c>
      <c r="F1490" s="42" t="s">
        <v>17</v>
      </c>
      <c r="G1490" s="42" t="s">
        <v>13</v>
      </c>
      <c r="H1490" s="42" t="s">
        <v>138</v>
      </c>
      <c r="I1490" s="42" t="s">
        <v>139</v>
      </c>
      <c r="J1490" s="10">
        <v>6500</v>
      </c>
      <c r="K1490" s="7">
        <v>-6500</v>
      </c>
      <c r="L1490" s="1" t="s">
        <v>673</v>
      </c>
    </row>
    <row r="1491" spans="1:13">
      <c r="A1491" s="21" t="str">
        <f>TEXT(TEXT(B1491,"yyyymmdd"),"00000000")&amp;TEXT(COUNTIF($B$2:B1491,B1491),"00")</f>
        <v>2024061001</v>
      </c>
      <c r="B1491" s="21">
        <f t="shared" ref="B1491" si="102">DATE(C1491,D1491,E1491)</f>
        <v>45453</v>
      </c>
      <c r="C1491" s="22">
        <v>2024</v>
      </c>
      <c r="D1491" s="23">
        <v>6</v>
      </c>
      <c r="E1491" s="24">
        <v>10</v>
      </c>
      <c r="F1491" s="42" t="s">
        <v>17</v>
      </c>
      <c r="G1491" s="42" t="s">
        <v>13</v>
      </c>
      <c r="H1491" s="42" t="s">
        <v>138</v>
      </c>
      <c r="I1491" s="42" t="s">
        <v>139</v>
      </c>
      <c r="J1491" s="10">
        <v>5000</v>
      </c>
      <c r="K1491" s="7">
        <v>-5000</v>
      </c>
      <c r="L1491" s="1" t="s">
        <v>619</v>
      </c>
    </row>
    <row r="1492" spans="1:13">
      <c r="A1492" s="21" t="str">
        <f>TEXT(TEXT(B1492,"yyyymmdd"),"00000000")&amp;TEXT(COUNTIF($B$2:B1492,B1492),"00")</f>
        <v>2024061002</v>
      </c>
      <c r="B1492" s="21">
        <f t="shared" ref="B1492" si="103">DATE(C1492,D1492,E1492)</f>
        <v>45453</v>
      </c>
      <c r="C1492" s="22">
        <v>2024</v>
      </c>
      <c r="D1492" s="23">
        <v>6</v>
      </c>
      <c r="E1492" s="24">
        <v>10</v>
      </c>
      <c r="F1492" s="42" t="s">
        <v>17</v>
      </c>
      <c r="G1492" s="42" t="s">
        <v>7</v>
      </c>
      <c r="H1492" s="42" t="s">
        <v>167</v>
      </c>
      <c r="I1492" s="42" t="s">
        <v>168</v>
      </c>
      <c r="J1492" s="10">
        <v>1300</v>
      </c>
      <c r="K1492" s="7">
        <v>-1300</v>
      </c>
      <c r="L1492" s="1" t="s">
        <v>1112</v>
      </c>
    </row>
    <row r="1493" spans="1:13">
      <c r="A1493" s="21" t="str">
        <f>TEXT(TEXT(B1493,"yyyymmdd"),"00000000")&amp;TEXT(COUNTIF($B$2:B1493,B1493),"00")</f>
        <v>2024061003</v>
      </c>
      <c r="B1493" s="21">
        <f t="shared" ref="B1493" si="104">DATE(C1493,D1493,E1493)</f>
        <v>45453</v>
      </c>
      <c r="C1493" s="22">
        <v>2024</v>
      </c>
      <c r="D1493" s="23">
        <v>6</v>
      </c>
      <c r="E1493" s="24">
        <v>10</v>
      </c>
      <c r="F1493" s="42" t="s">
        <v>17</v>
      </c>
      <c r="G1493" s="42" t="s">
        <v>7</v>
      </c>
      <c r="H1493" s="42" t="s">
        <v>119</v>
      </c>
      <c r="I1493" s="42" t="s">
        <v>180</v>
      </c>
      <c r="J1493" s="10">
        <v>20000</v>
      </c>
      <c r="K1493" s="7">
        <v>-20000</v>
      </c>
      <c r="L1493" s="1" t="s">
        <v>181</v>
      </c>
      <c r="M1493" s="2" t="s">
        <v>1102</v>
      </c>
    </row>
    <row r="1494" spans="1:13">
      <c r="A1494" s="21" t="str">
        <f>TEXT(TEXT(B1494,"yyyymmdd"),"00000000")&amp;TEXT(COUNTIF($B$2:B1494,B1494),"00")</f>
        <v>2024061004</v>
      </c>
      <c r="B1494" s="21">
        <f t="shared" ref="B1494" si="105">DATE(C1494,D1494,E1494)</f>
        <v>45453</v>
      </c>
      <c r="C1494" s="22">
        <v>2024</v>
      </c>
      <c r="D1494" s="23">
        <v>6</v>
      </c>
      <c r="E1494" s="24">
        <v>10</v>
      </c>
      <c r="F1494" s="42" t="s">
        <v>17</v>
      </c>
      <c r="G1494" s="42" t="s">
        <v>13</v>
      </c>
      <c r="H1494" s="42" t="s">
        <v>138</v>
      </c>
      <c r="I1494" s="42" t="s">
        <v>139</v>
      </c>
      <c r="J1494" s="10">
        <v>10500</v>
      </c>
      <c r="K1494" s="7">
        <v>-10500</v>
      </c>
      <c r="L1494" s="1" t="s">
        <v>889</v>
      </c>
    </row>
    <row r="1495" spans="1:13">
      <c r="A1495" s="21" t="str">
        <f>TEXT(TEXT(B1495,"yyyymmdd"),"00000000")&amp;TEXT(COUNTIF($B$2:B1495,B1495),"00")</f>
        <v>2024061005</v>
      </c>
      <c r="B1495" s="21">
        <f t="shared" ref="B1495" si="106">DATE(C1495,D1495,E1495)</f>
        <v>45453</v>
      </c>
      <c r="C1495" s="22">
        <v>2024</v>
      </c>
      <c r="D1495" s="23">
        <v>6</v>
      </c>
      <c r="E1495" s="24">
        <v>10</v>
      </c>
      <c r="F1495" s="42" t="s">
        <v>17</v>
      </c>
      <c r="G1495" s="42" t="s">
        <v>7</v>
      </c>
      <c r="H1495" s="42" t="s">
        <v>167</v>
      </c>
      <c r="I1495" s="42" t="s">
        <v>168</v>
      </c>
      <c r="J1495" s="10">
        <v>1700</v>
      </c>
      <c r="K1495" s="7">
        <v>-1700</v>
      </c>
      <c r="L1495" s="1" t="s">
        <v>748</v>
      </c>
      <c r="M1495" s="2" t="s">
        <v>1103</v>
      </c>
    </row>
    <row r="1496" spans="1:13">
      <c r="A1496" s="21" t="str">
        <f>TEXT(TEXT(B1496,"yyyymmdd"),"00000000")&amp;TEXT(COUNTIF($B$2:B1496,B1496),"00")</f>
        <v>2024061006</v>
      </c>
      <c r="B1496" s="21">
        <f t="shared" ref="B1496" si="107">DATE(C1496,D1496,E1496)</f>
        <v>45453</v>
      </c>
      <c r="C1496" s="22">
        <v>2024</v>
      </c>
      <c r="D1496" s="23">
        <v>6</v>
      </c>
      <c r="E1496" s="24">
        <v>10</v>
      </c>
      <c r="F1496" s="42" t="s">
        <v>17</v>
      </c>
      <c r="G1496" s="42" t="s">
        <v>7</v>
      </c>
      <c r="H1496" s="42" t="s">
        <v>167</v>
      </c>
      <c r="I1496" s="42" t="s">
        <v>168</v>
      </c>
      <c r="J1496" s="10">
        <v>5500</v>
      </c>
      <c r="K1496" s="7">
        <v>-5500</v>
      </c>
      <c r="L1496" s="1" t="s">
        <v>532</v>
      </c>
      <c r="M1496" s="2" t="s">
        <v>672</v>
      </c>
    </row>
    <row r="1497" spans="1:13">
      <c r="A1497" s="21" t="str">
        <f>TEXT(TEXT(B1497,"yyyymmdd"),"00000000")&amp;TEXT(COUNTIF($B$2:B1497,B1497),"00")</f>
        <v>2024061007</v>
      </c>
      <c r="B1497" s="21">
        <f t="shared" ref="B1497" si="108">DATE(C1497,D1497,E1497)</f>
        <v>45453</v>
      </c>
      <c r="C1497" s="22">
        <v>2024</v>
      </c>
      <c r="D1497" s="23">
        <v>6</v>
      </c>
      <c r="E1497" s="24">
        <v>10</v>
      </c>
      <c r="F1497" s="42" t="s">
        <v>17</v>
      </c>
      <c r="G1497" s="42" t="s">
        <v>170</v>
      </c>
      <c r="H1497" s="42" t="s">
        <v>114</v>
      </c>
      <c r="I1497" s="42" t="s">
        <v>1007</v>
      </c>
      <c r="J1497" s="10">
        <v>15000</v>
      </c>
      <c r="K1497" s="7">
        <v>-15000</v>
      </c>
      <c r="L1497" s="1" t="s">
        <v>1023</v>
      </c>
    </row>
    <row r="1498" spans="1:13">
      <c r="A1498" s="21" t="str">
        <f>TEXT(TEXT(B1498,"yyyymmdd"),"00000000")&amp;TEXT(COUNTIF($B$2:B1498,B1498),"00")</f>
        <v>2024061101</v>
      </c>
      <c r="B1498" s="21">
        <f t="shared" ref="B1498" si="109">DATE(C1498,D1498,E1498)</f>
        <v>45454</v>
      </c>
      <c r="C1498" s="22">
        <v>2024</v>
      </c>
      <c r="D1498" s="23">
        <v>6</v>
      </c>
      <c r="E1498" s="24">
        <v>11</v>
      </c>
      <c r="F1498" s="42" t="s">
        <v>17</v>
      </c>
      <c r="G1498" s="42" t="s">
        <v>13</v>
      </c>
      <c r="H1498" s="42" t="s">
        <v>138</v>
      </c>
      <c r="I1498" s="42" t="s">
        <v>139</v>
      </c>
      <c r="J1498" s="10">
        <v>5000</v>
      </c>
      <c r="K1498" s="7">
        <v>-5000</v>
      </c>
      <c r="L1498" s="1" t="s">
        <v>619</v>
      </c>
    </row>
    <row r="1499" spans="1:13">
      <c r="A1499" s="21" t="str">
        <f>TEXT(TEXT(B1499,"yyyymmdd"),"00000000")&amp;TEXT(COUNTIF($B$2:B1499,B1499),"00")</f>
        <v>2024061102</v>
      </c>
      <c r="B1499" s="21">
        <f t="shared" ref="B1499" si="110">DATE(C1499,D1499,E1499)</f>
        <v>45454</v>
      </c>
      <c r="C1499" s="22">
        <v>2024</v>
      </c>
      <c r="D1499" s="23">
        <v>6</v>
      </c>
      <c r="E1499" s="24">
        <v>11</v>
      </c>
      <c r="F1499" s="42" t="s">
        <v>17</v>
      </c>
      <c r="G1499" s="42" t="s">
        <v>7</v>
      </c>
      <c r="H1499" s="42" t="s">
        <v>167</v>
      </c>
      <c r="I1499" s="42" t="s">
        <v>168</v>
      </c>
      <c r="J1499" s="10">
        <v>1300</v>
      </c>
      <c r="K1499" s="7">
        <v>-1300</v>
      </c>
      <c r="L1499" s="1" t="s">
        <v>748</v>
      </c>
    </row>
    <row r="1500" spans="1:13">
      <c r="A1500" s="21" t="str">
        <f>TEXT(TEXT(B1500,"yyyymmdd"),"00000000")&amp;TEXT(COUNTIF($B$2:B1500,B1500),"00")</f>
        <v>2024061103</v>
      </c>
      <c r="B1500" s="21">
        <f t="shared" ref="B1500" si="111">DATE(C1500,D1500,E1500)</f>
        <v>45454</v>
      </c>
      <c r="C1500" s="22">
        <v>2024</v>
      </c>
      <c r="D1500" s="23">
        <v>6</v>
      </c>
      <c r="E1500" s="24">
        <v>11</v>
      </c>
      <c r="F1500" s="42" t="s">
        <v>17</v>
      </c>
      <c r="G1500" s="42" t="s">
        <v>13</v>
      </c>
      <c r="H1500" s="42" t="s">
        <v>138</v>
      </c>
      <c r="I1500" s="42" t="s">
        <v>139</v>
      </c>
      <c r="J1500" s="10">
        <v>7500</v>
      </c>
      <c r="K1500" s="7">
        <v>-7500</v>
      </c>
      <c r="L1500" s="1" t="s">
        <v>677</v>
      </c>
    </row>
    <row r="1501" spans="1:13">
      <c r="A1501" s="21" t="str">
        <f>TEXT(TEXT(B1501,"yyyymmdd"),"00000000")&amp;TEXT(COUNTIF($B$2:B1501,B1501),"00")</f>
        <v>2024061104</v>
      </c>
      <c r="B1501" s="21">
        <f t="shared" ref="B1501" si="112">DATE(C1501,D1501,E1501)</f>
        <v>45454</v>
      </c>
      <c r="C1501" s="22">
        <v>2024</v>
      </c>
      <c r="D1501" s="23">
        <v>6</v>
      </c>
      <c r="E1501" s="24">
        <v>11</v>
      </c>
      <c r="F1501" s="42" t="s">
        <v>17</v>
      </c>
      <c r="G1501" s="42" t="s">
        <v>13</v>
      </c>
      <c r="H1501" s="42" t="s">
        <v>138</v>
      </c>
      <c r="I1501" s="42" t="s">
        <v>139</v>
      </c>
      <c r="J1501" s="10">
        <v>2700</v>
      </c>
      <c r="K1501" s="7">
        <v>-2700</v>
      </c>
      <c r="L1501" s="1" t="s">
        <v>300</v>
      </c>
    </row>
    <row r="1502" spans="1:13">
      <c r="A1502" s="21" t="str">
        <f>TEXT(TEXT(B1502,"yyyymmdd"),"00000000")&amp;TEXT(COUNTIF($B$2:B1502,B1502),"00")</f>
        <v>2024061105</v>
      </c>
      <c r="B1502" s="21">
        <f t="shared" ref="B1502" si="113">DATE(C1502,D1502,E1502)</f>
        <v>45454</v>
      </c>
      <c r="C1502" s="22">
        <v>2024</v>
      </c>
      <c r="D1502" s="23">
        <v>6</v>
      </c>
      <c r="E1502" s="24">
        <v>11</v>
      </c>
      <c r="F1502" s="42" t="s">
        <v>17</v>
      </c>
      <c r="G1502" s="42" t="s">
        <v>7</v>
      </c>
      <c r="H1502" s="42" t="s">
        <v>155</v>
      </c>
      <c r="I1502" s="42" t="s">
        <v>221</v>
      </c>
      <c r="J1502" s="10">
        <v>2000</v>
      </c>
      <c r="K1502" s="7">
        <v>-2000</v>
      </c>
      <c r="L1502" s="1" t="s">
        <v>1038</v>
      </c>
      <c r="M1502" s="2" t="s">
        <v>1104</v>
      </c>
    </row>
    <row r="1503" spans="1:13">
      <c r="A1503" s="21" t="str">
        <f>TEXT(TEXT(B1503,"yyyymmdd"),"00000000")&amp;TEXT(COUNTIF($B$2:B1503,B1503),"00")</f>
        <v>2024061201</v>
      </c>
      <c r="B1503" s="21">
        <f t="shared" ref="B1503" si="114">DATE(C1503,D1503,E1503)</f>
        <v>45455</v>
      </c>
      <c r="C1503" s="22">
        <v>2024</v>
      </c>
      <c r="D1503" s="23">
        <v>6</v>
      </c>
      <c r="E1503" s="24">
        <v>12</v>
      </c>
      <c r="F1503" s="42" t="s">
        <v>17</v>
      </c>
      <c r="G1503" s="42" t="s">
        <v>7</v>
      </c>
      <c r="H1503" s="42" t="s">
        <v>110</v>
      </c>
      <c r="I1503" s="42" t="s">
        <v>120</v>
      </c>
      <c r="J1503" s="10">
        <v>800</v>
      </c>
      <c r="K1503" s="7">
        <v>-800</v>
      </c>
      <c r="L1503" s="1" t="s">
        <v>162</v>
      </c>
      <c r="M1503" s="2" t="s">
        <v>1105</v>
      </c>
    </row>
    <row r="1504" spans="1:13">
      <c r="A1504" s="21" t="str">
        <f>TEXT(TEXT(B1504,"yyyymmdd"),"00000000")&amp;TEXT(COUNTIF($B$2:B1504,B1504),"00")</f>
        <v>2024061301</v>
      </c>
      <c r="B1504" s="21">
        <f t="shared" ref="B1504" si="115">DATE(C1504,D1504,E1504)</f>
        <v>45456</v>
      </c>
      <c r="C1504" s="22">
        <v>2024</v>
      </c>
      <c r="D1504" s="23">
        <v>6</v>
      </c>
      <c r="E1504" s="24">
        <v>13</v>
      </c>
      <c r="F1504" s="42" t="s">
        <v>17</v>
      </c>
      <c r="G1504" s="42" t="s">
        <v>13</v>
      </c>
      <c r="H1504" s="42" t="s">
        <v>138</v>
      </c>
      <c r="I1504" s="42" t="s">
        <v>139</v>
      </c>
      <c r="J1504" s="10">
        <v>10000</v>
      </c>
      <c r="K1504" s="7">
        <v>-10000</v>
      </c>
      <c r="L1504" s="1" t="s">
        <v>1068</v>
      </c>
    </row>
    <row r="1505" spans="1:13">
      <c r="A1505" s="21" t="str">
        <f>TEXT(TEXT(B1505,"yyyymmdd"),"00000000")&amp;TEXT(COUNTIF($B$2:B1505,B1505),"00")</f>
        <v>2024061302</v>
      </c>
      <c r="B1505" s="21">
        <f t="shared" ref="B1505" si="116">DATE(C1505,D1505,E1505)</f>
        <v>45456</v>
      </c>
      <c r="C1505" s="22">
        <v>2024</v>
      </c>
      <c r="D1505" s="23">
        <v>6</v>
      </c>
      <c r="E1505" s="24">
        <v>13</v>
      </c>
      <c r="F1505" s="42" t="s">
        <v>17</v>
      </c>
      <c r="G1505" s="42" t="s">
        <v>7</v>
      </c>
      <c r="H1505" s="42" t="s">
        <v>110</v>
      </c>
      <c r="I1505" s="42" t="s">
        <v>120</v>
      </c>
      <c r="J1505" s="10">
        <v>5500</v>
      </c>
      <c r="K1505" s="7">
        <v>-5500</v>
      </c>
      <c r="L1505" s="1" t="s">
        <v>1106</v>
      </c>
    </row>
    <row r="1506" spans="1:13">
      <c r="A1506" s="21" t="str">
        <f>TEXT(TEXT(B1506,"yyyymmdd"),"00000000")&amp;TEXT(COUNTIF($B$2:B1506,B1506),"00")</f>
        <v>2024061303</v>
      </c>
      <c r="B1506" s="21">
        <f t="shared" ref="B1506" si="117">DATE(C1506,D1506,E1506)</f>
        <v>45456</v>
      </c>
      <c r="C1506" s="22">
        <v>2024</v>
      </c>
      <c r="D1506" s="23">
        <v>6</v>
      </c>
      <c r="E1506" s="24">
        <v>13</v>
      </c>
      <c r="F1506" s="42" t="s">
        <v>17</v>
      </c>
      <c r="G1506" s="42" t="s">
        <v>13</v>
      </c>
      <c r="H1506" s="42" t="s">
        <v>138</v>
      </c>
      <c r="I1506" s="42" t="s">
        <v>139</v>
      </c>
      <c r="J1506" s="10">
        <v>9000</v>
      </c>
      <c r="K1506" s="7">
        <v>-9000</v>
      </c>
      <c r="L1506" s="1" t="s">
        <v>779</v>
      </c>
    </row>
    <row r="1507" spans="1:13">
      <c r="A1507" s="21" t="str">
        <f>TEXT(TEXT(B1507,"yyyymmdd"),"00000000")&amp;TEXT(COUNTIF($B$2:B1507,B1507),"00")</f>
        <v>2024061304</v>
      </c>
      <c r="B1507" s="21">
        <f t="shared" ref="B1507" si="118">DATE(C1507,D1507,E1507)</f>
        <v>45456</v>
      </c>
      <c r="C1507" s="22">
        <v>2024</v>
      </c>
      <c r="D1507" s="23">
        <v>6</v>
      </c>
      <c r="E1507" s="24">
        <v>13</v>
      </c>
      <c r="F1507" s="42" t="s">
        <v>17</v>
      </c>
      <c r="G1507" s="42" t="s">
        <v>7</v>
      </c>
      <c r="H1507" s="42" t="s">
        <v>110</v>
      </c>
      <c r="I1507" s="42" t="s">
        <v>124</v>
      </c>
      <c r="J1507" s="10">
        <v>10200</v>
      </c>
      <c r="K1507" s="7">
        <v>-10200</v>
      </c>
      <c r="L1507" s="1" t="s">
        <v>865</v>
      </c>
    </row>
    <row r="1508" spans="1:13">
      <c r="A1508" s="21" t="str">
        <f>TEXT(TEXT(B1508,"yyyymmdd"),"00000000")&amp;TEXT(COUNTIF($B$2:B1508,B1508),"00")</f>
        <v>2024061401</v>
      </c>
      <c r="B1508" s="21">
        <f t="shared" ref="B1508" si="119">DATE(C1508,D1508,E1508)</f>
        <v>45457</v>
      </c>
      <c r="C1508" s="22">
        <v>2024</v>
      </c>
      <c r="D1508" s="23">
        <v>6</v>
      </c>
      <c r="E1508" s="24">
        <v>14</v>
      </c>
      <c r="F1508" s="42" t="s">
        <v>17</v>
      </c>
      <c r="G1508" s="42" t="s">
        <v>7</v>
      </c>
      <c r="H1508" s="42" t="s">
        <v>110</v>
      </c>
      <c r="I1508" s="42" t="s">
        <v>124</v>
      </c>
      <c r="J1508" s="10">
        <v>1500</v>
      </c>
      <c r="K1508" s="7">
        <v>-1500</v>
      </c>
      <c r="L1508" s="1" t="s">
        <v>865</v>
      </c>
      <c r="M1508" s="2" t="s">
        <v>1107</v>
      </c>
    </row>
    <row r="1509" spans="1:13">
      <c r="A1509" s="21" t="str">
        <f>TEXT(TEXT(B1509,"yyyymmdd"),"00000000")&amp;TEXT(COUNTIF($B$2:B1509,B1509),"00")</f>
        <v>2024061402</v>
      </c>
      <c r="B1509" s="21">
        <f t="shared" ref="B1509" si="120">DATE(C1509,D1509,E1509)</f>
        <v>45457</v>
      </c>
      <c r="C1509" s="22">
        <v>2024</v>
      </c>
      <c r="D1509" s="23">
        <v>6</v>
      </c>
      <c r="E1509" s="24">
        <v>14</v>
      </c>
      <c r="F1509" s="42" t="s">
        <v>17</v>
      </c>
      <c r="G1509" s="42" t="s">
        <v>13</v>
      </c>
      <c r="H1509" s="42" t="s">
        <v>138</v>
      </c>
      <c r="I1509" s="42" t="s">
        <v>139</v>
      </c>
      <c r="J1509" s="10">
        <v>12000</v>
      </c>
      <c r="K1509" s="7">
        <v>-12000</v>
      </c>
      <c r="L1509" s="1" t="s">
        <v>1108</v>
      </c>
    </row>
    <row r="1510" spans="1:13">
      <c r="A1510" s="21" t="str">
        <f>TEXT(TEXT(B1510,"yyyymmdd"),"00000000")&amp;TEXT(COUNTIF($B$2:B1510,B1510),"00")</f>
        <v>2024061403</v>
      </c>
      <c r="B1510" s="21">
        <f t="shared" ref="B1510" si="121">DATE(C1510,D1510,E1510)</f>
        <v>45457</v>
      </c>
      <c r="C1510" s="22">
        <v>2024</v>
      </c>
      <c r="D1510" s="23">
        <v>6</v>
      </c>
      <c r="E1510" s="24">
        <v>14</v>
      </c>
      <c r="F1510" s="42" t="s">
        <v>17</v>
      </c>
      <c r="G1510" s="42" t="s">
        <v>7</v>
      </c>
      <c r="H1510" s="42" t="s">
        <v>167</v>
      </c>
      <c r="I1510" s="42" t="s">
        <v>129</v>
      </c>
      <c r="J1510" s="10">
        <v>7000</v>
      </c>
      <c r="K1510" s="7">
        <v>-7000</v>
      </c>
      <c r="L1510" s="1" t="s">
        <v>603</v>
      </c>
      <c r="M1510" s="2" t="s">
        <v>1109</v>
      </c>
    </row>
    <row r="1511" spans="1:13">
      <c r="A1511" s="21" t="str">
        <f>TEXT(TEXT(B1511,"yyyymmdd"),"00000000")&amp;TEXT(COUNTIF($B$2:B1511,B1511),"00")</f>
        <v>2024061404</v>
      </c>
      <c r="B1511" s="21">
        <f t="shared" ref="B1511" si="122">DATE(C1511,D1511,E1511)</f>
        <v>45457</v>
      </c>
      <c r="C1511" s="22">
        <v>2024</v>
      </c>
      <c r="D1511" s="23">
        <v>6</v>
      </c>
      <c r="E1511" s="24">
        <v>14</v>
      </c>
      <c r="F1511" s="42" t="s">
        <v>17</v>
      </c>
      <c r="G1511" s="42" t="s">
        <v>13</v>
      </c>
      <c r="H1511" s="42" t="s">
        <v>138</v>
      </c>
      <c r="I1511" s="42" t="s">
        <v>139</v>
      </c>
      <c r="J1511" s="10">
        <v>11900</v>
      </c>
      <c r="K1511" s="7">
        <v>-11900</v>
      </c>
      <c r="L1511" s="1" t="s">
        <v>867</v>
      </c>
    </row>
    <row r="1512" spans="1:13">
      <c r="A1512" s="21" t="str">
        <f>TEXT(TEXT(B1512,"yyyymmdd"),"00000000")&amp;TEXT(COUNTIF($B$2:B1512,B1512),"00")</f>
        <v>2024061405</v>
      </c>
      <c r="B1512" s="21">
        <f t="shared" ref="B1512" si="123">DATE(C1512,D1512,E1512)</f>
        <v>45457</v>
      </c>
      <c r="C1512" s="22">
        <v>2024</v>
      </c>
      <c r="D1512" s="23">
        <v>6</v>
      </c>
      <c r="E1512" s="24">
        <v>14</v>
      </c>
      <c r="F1512" s="42" t="s">
        <v>17</v>
      </c>
      <c r="G1512" s="42" t="s">
        <v>7</v>
      </c>
      <c r="H1512" s="42" t="s">
        <v>111</v>
      </c>
      <c r="I1512" s="42" t="s">
        <v>334</v>
      </c>
      <c r="J1512" s="10">
        <v>29000</v>
      </c>
      <c r="K1512" s="7">
        <v>-29000</v>
      </c>
      <c r="L1512" s="1" t="s">
        <v>868</v>
      </c>
      <c r="M1512" s="2" t="s">
        <v>1110</v>
      </c>
    </row>
    <row r="1513" spans="1:13">
      <c r="A1513" s="21" t="str">
        <f>TEXT(TEXT(B1513,"yyyymmdd"),"00000000")&amp;TEXT(COUNTIF($B$2:B1513,B1513),"00")</f>
        <v>2024061406</v>
      </c>
      <c r="B1513" s="21">
        <f t="shared" ref="B1513" si="124">DATE(C1513,D1513,E1513)</f>
        <v>45457</v>
      </c>
      <c r="C1513" s="22">
        <v>2024</v>
      </c>
      <c r="D1513" s="23">
        <v>6</v>
      </c>
      <c r="E1513" s="24">
        <v>14</v>
      </c>
      <c r="F1513" s="42" t="s">
        <v>17</v>
      </c>
      <c r="G1513" s="42" t="s">
        <v>7</v>
      </c>
      <c r="H1513" s="42" t="s">
        <v>116</v>
      </c>
      <c r="I1513" s="42" t="s">
        <v>225</v>
      </c>
      <c r="J1513" s="10">
        <v>2500</v>
      </c>
      <c r="K1513" s="7">
        <v>-2500</v>
      </c>
      <c r="L1513" s="1" t="s">
        <v>1111</v>
      </c>
    </row>
    <row r="1514" spans="1:13">
      <c r="A1514" s="21" t="str">
        <f>TEXT(TEXT(B1514,"yyyymmdd"),"00000000")&amp;TEXT(COUNTIF($B$2:B1514,B1514),"00")</f>
        <v>2024061501</v>
      </c>
      <c r="B1514" s="21">
        <f t="shared" ref="B1514" si="125">DATE(C1514,D1514,E1514)</f>
        <v>45458</v>
      </c>
      <c r="C1514" s="22">
        <v>2024</v>
      </c>
      <c r="D1514" s="23">
        <v>6</v>
      </c>
      <c r="E1514" s="24">
        <v>15</v>
      </c>
      <c r="F1514" s="42" t="s">
        <v>17</v>
      </c>
      <c r="G1514" s="42" t="s">
        <v>13</v>
      </c>
      <c r="H1514" s="42" t="s">
        <v>138</v>
      </c>
      <c r="I1514" s="42" t="s">
        <v>139</v>
      </c>
      <c r="J1514" s="10">
        <v>9000</v>
      </c>
      <c r="K1514" s="7">
        <v>-9000</v>
      </c>
      <c r="L1514" s="1" t="s">
        <v>821</v>
      </c>
    </row>
    <row r="1515" spans="1:13">
      <c r="A1515" s="21" t="str">
        <f>TEXT(TEXT(B1515,"yyyymmdd"),"00000000")&amp;TEXT(COUNTIF($B$2:B1515,B1515),"00")</f>
        <v>2024061502</v>
      </c>
      <c r="B1515" s="21">
        <f t="shared" ref="B1515" si="126">DATE(C1515,D1515,E1515)</f>
        <v>45458</v>
      </c>
      <c r="C1515" s="22">
        <v>2024</v>
      </c>
      <c r="D1515" s="23">
        <v>6</v>
      </c>
      <c r="E1515" s="24">
        <v>15</v>
      </c>
      <c r="F1515" s="42" t="s">
        <v>17</v>
      </c>
      <c r="G1515" s="42" t="s">
        <v>7</v>
      </c>
      <c r="H1515" s="42" t="s">
        <v>167</v>
      </c>
      <c r="I1515" s="42" t="s">
        <v>129</v>
      </c>
      <c r="J1515" s="10">
        <v>8000</v>
      </c>
      <c r="K1515" s="7">
        <v>-8000</v>
      </c>
      <c r="L1515" s="1" t="s">
        <v>603</v>
      </c>
      <c r="M1515" s="2" t="s">
        <v>1113</v>
      </c>
    </row>
    <row r="1516" spans="1:13">
      <c r="A1516" s="21" t="str">
        <f>TEXT(TEXT(B1516,"yyyymmdd"),"00000000")&amp;TEXT(COUNTIF($B$2:B1516,B1516),"00")</f>
        <v>2024061901</v>
      </c>
      <c r="B1516" s="21">
        <f t="shared" ref="B1516" si="127">DATE(C1516,D1516,E1516)</f>
        <v>45462</v>
      </c>
      <c r="C1516" s="22">
        <v>2024</v>
      </c>
      <c r="D1516" s="23">
        <v>6</v>
      </c>
      <c r="E1516" s="24">
        <v>19</v>
      </c>
      <c r="F1516" s="42" t="s">
        <v>498</v>
      </c>
      <c r="G1516" s="42" t="s">
        <v>7</v>
      </c>
      <c r="H1516" s="42" t="s">
        <v>119</v>
      </c>
      <c r="I1516" s="42" t="s">
        <v>180</v>
      </c>
      <c r="J1516" s="10">
        <v>105000</v>
      </c>
      <c r="K1516" s="7">
        <v>-105000</v>
      </c>
      <c r="L1516" s="1" t="s">
        <v>1114</v>
      </c>
      <c r="M1516" s="2" t="s">
        <v>1115</v>
      </c>
    </row>
    <row r="1517" spans="1:13">
      <c r="A1517" s="21" t="str">
        <f>TEXT(TEXT(B1517,"yyyymmdd"),"00000000")&amp;TEXT(COUNTIF($B$2:B1517,B1517),"00")</f>
        <v>2024061902</v>
      </c>
      <c r="B1517" s="21">
        <f t="shared" ref="B1517" si="128">DATE(C1517,D1517,E1517)</f>
        <v>45462</v>
      </c>
      <c r="C1517" s="22">
        <v>2024</v>
      </c>
      <c r="D1517" s="23">
        <v>6</v>
      </c>
      <c r="E1517" s="24">
        <v>19</v>
      </c>
      <c r="F1517" s="42" t="s">
        <v>498</v>
      </c>
      <c r="G1517" s="42" t="s">
        <v>7</v>
      </c>
      <c r="H1517" s="42" t="s">
        <v>117</v>
      </c>
      <c r="I1517" s="42" t="s">
        <v>468</v>
      </c>
      <c r="J1517" s="10">
        <v>543369</v>
      </c>
      <c r="K1517" s="7">
        <v>-543369</v>
      </c>
      <c r="L1517" s="1" t="s">
        <v>1116</v>
      </c>
      <c r="M1517" s="2" t="s">
        <v>1117</v>
      </c>
    </row>
    <row r="1518" spans="1:13">
      <c r="A1518" s="21" t="str">
        <f>TEXT(TEXT(B1518,"yyyymmdd"),"00000000")&amp;TEXT(COUNTIF($B$2:B1518,B1518),"00")</f>
        <v>2024061903</v>
      </c>
      <c r="B1518" s="21">
        <f t="shared" ref="B1518" si="129">DATE(C1518,D1518,E1518)</f>
        <v>45462</v>
      </c>
      <c r="C1518" s="22">
        <v>2024</v>
      </c>
      <c r="D1518" s="23">
        <v>6</v>
      </c>
      <c r="E1518" s="24">
        <v>19</v>
      </c>
      <c r="F1518" s="42" t="s">
        <v>17</v>
      </c>
      <c r="G1518" s="42" t="s">
        <v>13</v>
      </c>
      <c r="H1518" s="42" t="s">
        <v>138</v>
      </c>
      <c r="I1518" s="42" t="s">
        <v>139</v>
      </c>
      <c r="J1518" s="10">
        <v>12900</v>
      </c>
      <c r="K1518" s="7">
        <v>-12900</v>
      </c>
      <c r="L1518" s="1" t="s">
        <v>819</v>
      </c>
    </row>
    <row r="1519" spans="1:13">
      <c r="A1519" s="21" t="str">
        <f>TEXT(TEXT(B1519,"yyyymmdd"),"00000000")&amp;TEXT(COUNTIF($B$2:B1519,B1519),"00")</f>
        <v>2024061904</v>
      </c>
      <c r="B1519" s="21">
        <f t="shared" ref="B1519" si="130">DATE(C1519,D1519,E1519)</f>
        <v>45462</v>
      </c>
      <c r="C1519" s="22">
        <v>2024</v>
      </c>
      <c r="D1519" s="23">
        <v>6</v>
      </c>
      <c r="E1519" s="24">
        <v>19</v>
      </c>
      <c r="F1519" s="42" t="s">
        <v>17</v>
      </c>
      <c r="G1519" s="42" t="s">
        <v>170</v>
      </c>
      <c r="H1519" s="42" t="s">
        <v>114</v>
      </c>
      <c r="I1519" s="42" t="s">
        <v>1005</v>
      </c>
      <c r="J1519" s="10">
        <v>15800</v>
      </c>
      <c r="K1519" s="7">
        <v>-15800</v>
      </c>
      <c r="L1519" s="1" t="s">
        <v>1006</v>
      </c>
    </row>
    <row r="1520" spans="1:13">
      <c r="A1520" s="21" t="str">
        <f>TEXT(TEXT(B1520,"yyyymmdd"),"00000000")&amp;TEXT(COUNTIF($B$2:B1520,B1520),"00")</f>
        <v>2024062001</v>
      </c>
      <c r="B1520" s="21">
        <f t="shared" ref="B1520" si="131">DATE(C1520,D1520,E1520)</f>
        <v>45463</v>
      </c>
      <c r="C1520" s="22">
        <v>2024</v>
      </c>
      <c r="D1520" s="23">
        <v>6</v>
      </c>
      <c r="E1520" s="24">
        <v>20</v>
      </c>
      <c r="F1520" s="42" t="s">
        <v>17</v>
      </c>
      <c r="G1520" s="42" t="s">
        <v>13</v>
      </c>
      <c r="H1520" s="42" t="s">
        <v>138</v>
      </c>
      <c r="I1520" s="42" t="s">
        <v>139</v>
      </c>
      <c r="J1520" s="10">
        <v>9000</v>
      </c>
      <c r="K1520" s="7">
        <v>-9000</v>
      </c>
      <c r="L1520" s="1" t="s">
        <v>660</v>
      </c>
    </row>
    <row r="1521" spans="1:13">
      <c r="A1521" s="21" t="str">
        <f>TEXT(TEXT(B1521,"yyyymmdd"),"00000000")&amp;TEXT(COUNTIF($B$2:B1521,B1521),"00")</f>
        <v>2024062002</v>
      </c>
      <c r="B1521" s="21">
        <f t="shared" ref="B1521" si="132">DATE(C1521,D1521,E1521)</f>
        <v>45463</v>
      </c>
      <c r="C1521" s="22">
        <v>2024</v>
      </c>
      <c r="D1521" s="23">
        <v>6</v>
      </c>
      <c r="E1521" s="24">
        <v>20</v>
      </c>
      <c r="F1521" s="42" t="s">
        <v>17</v>
      </c>
      <c r="G1521" s="42" t="s">
        <v>13</v>
      </c>
      <c r="H1521" s="42" t="s">
        <v>138</v>
      </c>
      <c r="I1521" s="42" t="s">
        <v>139</v>
      </c>
      <c r="J1521" s="10">
        <v>3500</v>
      </c>
      <c r="K1521" s="7">
        <v>-3500</v>
      </c>
      <c r="L1521" s="1" t="s">
        <v>300</v>
      </c>
    </row>
    <row r="1522" spans="1:13">
      <c r="A1522" s="21" t="str">
        <f>TEXT(TEXT(B1522,"yyyymmdd"),"00000000")&amp;TEXT(COUNTIF($B$2:B1522,B1522),"00")</f>
        <v>2024062101</v>
      </c>
      <c r="B1522" s="21">
        <f t="shared" ref="B1522" si="133">DATE(C1522,D1522,E1522)</f>
        <v>45464</v>
      </c>
      <c r="C1522" s="22">
        <v>2024</v>
      </c>
      <c r="D1522" s="23">
        <v>6</v>
      </c>
      <c r="E1522" s="24">
        <v>21</v>
      </c>
      <c r="F1522" s="42" t="s">
        <v>17</v>
      </c>
      <c r="G1522" s="42" t="s">
        <v>7</v>
      </c>
      <c r="H1522" s="42" t="s">
        <v>119</v>
      </c>
      <c r="I1522" s="42" t="s">
        <v>180</v>
      </c>
      <c r="J1522" s="10">
        <v>2000</v>
      </c>
      <c r="K1522" s="7">
        <v>-2000</v>
      </c>
      <c r="L1522" s="1" t="s">
        <v>181</v>
      </c>
      <c r="M1522" s="2" t="s">
        <v>1119</v>
      </c>
    </row>
    <row r="1523" spans="1:13">
      <c r="A1523" s="21" t="str">
        <f>TEXT(TEXT(B1523,"yyyymmdd"),"00000000")&amp;TEXT(COUNTIF($B$2:B1523,B1523),"00")</f>
        <v>2024062401</v>
      </c>
      <c r="B1523" s="21">
        <f t="shared" ref="B1523" si="134">DATE(C1523,D1523,E1523)</f>
        <v>45467</v>
      </c>
      <c r="C1523" s="22">
        <v>2024</v>
      </c>
      <c r="D1523" s="23">
        <v>6</v>
      </c>
      <c r="E1523" s="24">
        <v>24</v>
      </c>
      <c r="F1523" s="42" t="s">
        <v>17</v>
      </c>
      <c r="G1523" s="42" t="s">
        <v>7</v>
      </c>
      <c r="H1523" s="42" t="s">
        <v>167</v>
      </c>
      <c r="I1523" s="42" t="s">
        <v>214</v>
      </c>
      <c r="J1523" s="10">
        <v>50000</v>
      </c>
      <c r="K1523" s="7">
        <v>-50000</v>
      </c>
      <c r="L1523" s="1" t="s">
        <v>215</v>
      </c>
      <c r="M1523" s="2" t="s">
        <v>1120</v>
      </c>
    </row>
    <row r="1524" spans="1:13">
      <c r="A1524" s="21" t="str">
        <f>TEXT(TEXT(B1524,"yyyymmdd"),"00000000")&amp;TEXT(COUNTIF($B$2:B1524,B1524),"00")</f>
        <v>2024062601</v>
      </c>
      <c r="B1524" s="21">
        <f t="shared" ref="B1524" si="135">DATE(C1524,D1524,E1524)</f>
        <v>45469</v>
      </c>
      <c r="C1524" s="22">
        <v>2024</v>
      </c>
      <c r="D1524" s="23">
        <v>6</v>
      </c>
      <c r="E1524" s="24">
        <v>26</v>
      </c>
      <c r="F1524" s="42" t="s">
        <v>17</v>
      </c>
      <c r="G1524" s="42" t="s">
        <v>13</v>
      </c>
      <c r="H1524" s="42" t="s">
        <v>138</v>
      </c>
      <c r="I1524" s="42" t="s">
        <v>139</v>
      </c>
      <c r="J1524" s="10">
        <v>7500</v>
      </c>
      <c r="K1524" s="7">
        <v>-7500</v>
      </c>
      <c r="L1524" s="1" t="s">
        <v>634</v>
      </c>
    </row>
    <row r="1525" spans="1:13">
      <c r="A1525" s="21" t="str">
        <f>TEXT(TEXT(B1525,"yyyymmdd"),"00000000")&amp;TEXT(COUNTIF($B$2:B1525,B1525),"00")</f>
        <v>2024062602</v>
      </c>
      <c r="B1525" s="21">
        <f t="shared" ref="B1525" si="136">DATE(C1525,D1525,E1525)</f>
        <v>45469</v>
      </c>
      <c r="C1525" s="22">
        <v>2024</v>
      </c>
      <c r="D1525" s="23">
        <v>6</v>
      </c>
      <c r="E1525" s="24">
        <v>26</v>
      </c>
      <c r="F1525" s="42" t="s">
        <v>17</v>
      </c>
      <c r="G1525" s="42" t="s">
        <v>13</v>
      </c>
      <c r="H1525" s="42" t="s">
        <v>167</v>
      </c>
      <c r="I1525" s="42" t="s">
        <v>214</v>
      </c>
      <c r="J1525" s="10">
        <v>39190</v>
      </c>
      <c r="K1525" s="7">
        <v>-39190</v>
      </c>
      <c r="L1525" s="1" t="s">
        <v>957</v>
      </c>
    </row>
    <row r="1526" spans="1:13">
      <c r="A1526" s="21" t="str">
        <f>TEXT(TEXT(B1526,"yyyymmdd"),"00000000")&amp;TEXT(COUNTIF($B$2:B1526,B1526),"00")</f>
        <v>2024062603</v>
      </c>
      <c r="B1526" s="21">
        <f t="shared" ref="B1526" si="137">DATE(C1526,D1526,E1526)</f>
        <v>45469</v>
      </c>
      <c r="C1526" s="22">
        <v>2024</v>
      </c>
      <c r="D1526" s="23">
        <v>6</v>
      </c>
      <c r="E1526" s="24">
        <v>26</v>
      </c>
      <c r="F1526" s="42" t="s">
        <v>17</v>
      </c>
      <c r="G1526" s="42" t="s">
        <v>7</v>
      </c>
      <c r="H1526" s="42" t="s">
        <v>167</v>
      </c>
      <c r="I1526" s="42" t="s">
        <v>214</v>
      </c>
      <c r="J1526" s="10">
        <v>20300</v>
      </c>
      <c r="K1526" s="7">
        <v>-20300</v>
      </c>
      <c r="L1526" s="1" t="s">
        <v>1001</v>
      </c>
    </row>
    <row r="1527" spans="1:13">
      <c r="A1527" s="21" t="str">
        <f>TEXT(TEXT(B1527,"yyyymmdd"),"00000000")&amp;TEXT(COUNTIF($B$2:B1527,B1527),"00")</f>
        <v>2024062701</v>
      </c>
      <c r="B1527" s="21">
        <f t="shared" ref="B1527" si="138">DATE(C1527,D1527,E1527)</f>
        <v>45470</v>
      </c>
      <c r="C1527" s="22">
        <v>2024</v>
      </c>
      <c r="D1527" s="23">
        <v>6</v>
      </c>
      <c r="E1527" s="24">
        <v>27</v>
      </c>
      <c r="F1527" s="42" t="s">
        <v>17</v>
      </c>
      <c r="G1527" s="42" t="s">
        <v>13</v>
      </c>
      <c r="H1527" s="42" t="s">
        <v>138</v>
      </c>
      <c r="I1527" s="42" t="s">
        <v>197</v>
      </c>
      <c r="J1527" s="10">
        <v>21900</v>
      </c>
      <c r="K1527" s="7">
        <v>-21900</v>
      </c>
      <c r="L1527" s="1" t="s">
        <v>1074</v>
      </c>
      <c r="M1527" s="2" t="s">
        <v>1121</v>
      </c>
    </row>
    <row r="1528" spans="1:13">
      <c r="A1528" s="21" t="str">
        <f>TEXT(TEXT(B1528,"yyyymmdd"),"00000000")&amp;TEXT(COUNTIF($B$2:B1528,B1528),"00")</f>
        <v>2024062702</v>
      </c>
      <c r="B1528" s="21">
        <f t="shared" ref="B1528" si="139">DATE(C1528,D1528,E1528)</f>
        <v>45470</v>
      </c>
      <c r="C1528" s="22">
        <v>2024</v>
      </c>
      <c r="D1528" s="23">
        <v>6</v>
      </c>
      <c r="E1528" s="24">
        <v>27</v>
      </c>
      <c r="F1528" s="42" t="s">
        <v>17</v>
      </c>
      <c r="G1528" s="42" t="s">
        <v>7</v>
      </c>
      <c r="H1528" s="42" t="s">
        <v>112</v>
      </c>
      <c r="I1528" s="42" t="s">
        <v>1123</v>
      </c>
      <c r="J1528" s="10">
        <v>62910</v>
      </c>
      <c r="K1528" s="7">
        <v>-62910</v>
      </c>
      <c r="L1528" s="1" t="s">
        <v>1122</v>
      </c>
      <c r="M1528" s="2" t="s">
        <v>1125</v>
      </c>
    </row>
    <row r="1529" spans="1:13">
      <c r="A1529" s="21" t="str">
        <f>TEXT(TEXT(B1529,"yyyymmdd"),"00000000")&amp;TEXT(COUNTIF($B$2:B1529,B1529),"00")</f>
        <v>2024062801</v>
      </c>
      <c r="B1529" s="21">
        <f t="shared" ref="B1529" si="140">DATE(C1529,D1529,E1529)</f>
        <v>45471</v>
      </c>
      <c r="C1529" s="22">
        <v>2024</v>
      </c>
      <c r="D1529" s="23">
        <v>6</v>
      </c>
      <c r="E1529" s="24">
        <v>28</v>
      </c>
      <c r="F1529" s="42" t="s">
        <v>17</v>
      </c>
      <c r="G1529" s="42" t="s">
        <v>7</v>
      </c>
      <c r="H1529" s="42" t="s">
        <v>116</v>
      </c>
      <c r="I1529" s="42" t="s">
        <v>128</v>
      </c>
      <c r="J1529" s="10">
        <v>12000</v>
      </c>
      <c r="K1529" s="7">
        <v>-12000</v>
      </c>
      <c r="L1529" s="1" t="s">
        <v>1126</v>
      </c>
    </row>
    <row r="1530" spans="1:13">
      <c r="A1530" s="21" t="str">
        <f>TEXT(TEXT(B1530,"yyyymmdd"),"00000000")&amp;TEXT(COUNTIF($B$2:B1530,B1530),"00")</f>
        <v>2024062802</v>
      </c>
      <c r="B1530" s="21">
        <f t="shared" ref="B1530" si="141">DATE(C1530,D1530,E1530)</f>
        <v>45471</v>
      </c>
      <c r="C1530" s="22">
        <v>2024</v>
      </c>
      <c r="D1530" s="23">
        <v>6</v>
      </c>
      <c r="E1530" s="24">
        <v>28</v>
      </c>
      <c r="F1530" s="42" t="s">
        <v>17</v>
      </c>
      <c r="G1530" s="42" t="s">
        <v>7</v>
      </c>
      <c r="H1530" s="42" t="s">
        <v>138</v>
      </c>
      <c r="I1530" s="42" t="s">
        <v>139</v>
      </c>
      <c r="J1530" s="10">
        <v>14800</v>
      </c>
      <c r="K1530" s="7">
        <v>-14800</v>
      </c>
      <c r="L1530" s="1" t="s">
        <v>1127</v>
      </c>
      <c r="M1530" s="2" t="s">
        <v>1128</v>
      </c>
    </row>
    <row r="1531" spans="1:13">
      <c r="A1531" s="21" t="str">
        <f>TEXT(TEXT(B1531,"yyyymmdd"),"00000000")&amp;TEXT(COUNTIF($B$2:B1531,B1531),"00")</f>
        <v>2024062901</v>
      </c>
      <c r="B1531" s="21">
        <f t="shared" ref="B1531" si="142">DATE(C1531,D1531,E1531)</f>
        <v>45472</v>
      </c>
      <c r="C1531" s="22">
        <v>2024</v>
      </c>
      <c r="D1531" s="23">
        <v>6</v>
      </c>
      <c r="E1531" s="24">
        <v>29</v>
      </c>
      <c r="F1531" s="42" t="s">
        <v>17</v>
      </c>
      <c r="G1531" s="42" t="s">
        <v>7</v>
      </c>
      <c r="H1531" s="42" t="s">
        <v>167</v>
      </c>
      <c r="I1531" s="42" t="s">
        <v>214</v>
      </c>
      <c r="J1531" s="10">
        <v>1000</v>
      </c>
      <c r="K1531" s="7">
        <v>-1000</v>
      </c>
      <c r="L1531" s="1" t="s">
        <v>603</v>
      </c>
      <c r="M1531" s="2" t="s">
        <v>849</v>
      </c>
    </row>
    <row r="1532" spans="1:13">
      <c r="A1532" s="21" t="str">
        <f>TEXT(TEXT(B1532,"yyyymmdd"),"00000000")&amp;TEXT(COUNTIF($B$2:B1532,B1532),"00")</f>
        <v>2024062902</v>
      </c>
      <c r="B1532" s="21">
        <f t="shared" ref="B1532" si="143">DATE(C1532,D1532,E1532)</f>
        <v>45472</v>
      </c>
      <c r="C1532" s="22">
        <v>2024</v>
      </c>
      <c r="D1532" s="23">
        <v>6</v>
      </c>
      <c r="E1532" s="24">
        <v>29</v>
      </c>
      <c r="F1532" s="42" t="s">
        <v>17</v>
      </c>
      <c r="G1532" s="42" t="s">
        <v>7</v>
      </c>
      <c r="H1532" s="42" t="s">
        <v>111</v>
      </c>
      <c r="I1532" s="42" t="s">
        <v>334</v>
      </c>
      <c r="J1532" s="10">
        <v>30500</v>
      </c>
      <c r="K1532" s="7">
        <v>-30500</v>
      </c>
      <c r="L1532" s="1" t="s">
        <v>1129</v>
      </c>
      <c r="M1532" s="2" t="s">
        <v>1130</v>
      </c>
    </row>
    <row r="1533" spans="1:13">
      <c r="A1533" s="21" t="str">
        <f>TEXT(TEXT(B1533,"yyyymmdd"),"00000000")&amp;TEXT(COUNTIF($B$2:B1533,B1533),"00")</f>
        <v>2024063001</v>
      </c>
      <c r="B1533" s="21">
        <f t="shared" ref="B1533" si="144">DATE(C1533,D1533,E1533)</f>
        <v>45473</v>
      </c>
      <c r="C1533" s="22">
        <v>2024</v>
      </c>
      <c r="D1533" s="23">
        <v>6</v>
      </c>
      <c r="E1533" s="24">
        <v>30</v>
      </c>
      <c r="F1533" s="42" t="s">
        <v>17</v>
      </c>
      <c r="G1533" s="42" t="s">
        <v>170</v>
      </c>
      <c r="H1533" s="42" t="s">
        <v>155</v>
      </c>
      <c r="I1533" s="42" t="s">
        <v>156</v>
      </c>
      <c r="J1533" s="10">
        <v>2938</v>
      </c>
      <c r="K1533" s="7">
        <v>-2938</v>
      </c>
      <c r="L1533" s="1" t="s">
        <v>303</v>
      </c>
    </row>
    <row r="1534" spans="1:13">
      <c r="A1534" s="21" t="str">
        <f>TEXT(TEXT(B1534,"yyyymmdd"),"00000000")&amp;TEXT(COUNTIF($B$2:B1534,B1534),"00")</f>
        <v>2024063002</v>
      </c>
      <c r="B1534" s="21">
        <f t="shared" ref="B1534" si="145">DATE(C1534,D1534,E1534)</f>
        <v>45473</v>
      </c>
      <c r="C1534" s="22">
        <v>2024</v>
      </c>
      <c r="D1534" s="23">
        <v>6</v>
      </c>
      <c r="E1534" s="24">
        <v>30</v>
      </c>
      <c r="F1534" s="42" t="s">
        <v>17</v>
      </c>
      <c r="G1534" s="42" t="s">
        <v>7</v>
      </c>
      <c r="H1534" s="42" t="s">
        <v>116</v>
      </c>
      <c r="I1534" s="42" t="s">
        <v>212</v>
      </c>
      <c r="J1534" s="10">
        <v>6000</v>
      </c>
      <c r="K1534" s="7">
        <v>-6000</v>
      </c>
      <c r="L1534" s="1" t="s">
        <v>1131</v>
      </c>
      <c r="M1534" s="2" t="s">
        <v>1132</v>
      </c>
    </row>
    <row r="1535" spans="1:13">
      <c r="A1535" s="21" t="str">
        <f>TEXT(TEXT(B1535,"yyyymmdd"),"00000000")&amp;TEXT(COUNTIF($B$2:B1535,B1535),"00")</f>
        <v>2024063003</v>
      </c>
      <c r="B1535" s="21">
        <f t="shared" ref="B1535" si="146">DATE(C1535,D1535,E1535)</f>
        <v>45473</v>
      </c>
      <c r="C1535" s="22">
        <v>2024</v>
      </c>
      <c r="D1535" s="23">
        <v>6</v>
      </c>
      <c r="E1535" s="24">
        <v>30</v>
      </c>
      <c r="F1535" s="42" t="s">
        <v>17</v>
      </c>
      <c r="G1535" s="42" t="s">
        <v>7</v>
      </c>
      <c r="H1535" s="42" t="s">
        <v>111</v>
      </c>
      <c r="I1535" s="42" t="s">
        <v>334</v>
      </c>
      <c r="J1535" s="10">
        <v>21400</v>
      </c>
      <c r="K1535" s="7">
        <v>-21400</v>
      </c>
      <c r="L1535" s="1" t="s">
        <v>1133</v>
      </c>
      <c r="M1535" s="2" t="s">
        <v>1134</v>
      </c>
    </row>
    <row r="1536" spans="1:13">
      <c r="A1536" s="21" t="str">
        <f>TEXT(TEXT(B1536,"yyyymmdd"),"00000000")&amp;TEXT(COUNTIF($B$2:B1536,B1536),"00")</f>
        <v>2024070101</v>
      </c>
      <c r="B1536" s="21">
        <f t="shared" ref="B1536" si="147">DATE(C1536,D1536,E1536)</f>
        <v>45474</v>
      </c>
      <c r="C1536" s="22">
        <v>2024</v>
      </c>
      <c r="D1536" s="23">
        <v>7</v>
      </c>
      <c r="E1536" s="24">
        <v>1</v>
      </c>
      <c r="F1536" s="42" t="s">
        <v>17</v>
      </c>
      <c r="G1536" s="42" t="s">
        <v>151</v>
      </c>
      <c r="H1536" s="42" t="s">
        <v>151</v>
      </c>
      <c r="I1536" s="42" t="s">
        <v>152</v>
      </c>
      <c r="J1536" s="10">
        <v>-600000</v>
      </c>
      <c r="K1536" s="7">
        <v>600000</v>
      </c>
      <c r="L1536" s="1" t="s">
        <v>1144</v>
      </c>
      <c r="M1536" s="2" t="s">
        <v>1145</v>
      </c>
    </row>
    <row r="1537" spans="1:13">
      <c r="A1537" s="21" t="str">
        <f>TEXT(TEXT(B1537,"yyyymmdd"),"00000000")&amp;TEXT(COUNTIF($B$2:B1537,B1537),"00")</f>
        <v>2024070301</v>
      </c>
      <c r="B1537" s="21">
        <f t="shared" ref="B1537" si="148">DATE(C1537,D1537,E1537)</f>
        <v>45476</v>
      </c>
      <c r="C1537" s="22">
        <v>2024</v>
      </c>
      <c r="D1537" s="23">
        <v>7</v>
      </c>
      <c r="E1537" s="24">
        <v>3</v>
      </c>
      <c r="F1537" s="42" t="s">
        <v>17</v>
      </c>
      <c r="G1537" s="42" t="s">
        <v>7</v>
      </c>
      <c r="H1537" s="42" t="s">
        <v>173</v>
      </c>
      <c r="I1537" s="42" t="s">
        <v>207</v>
      </c>
      <c r="J1537" s="10">
        <v>17560</v>
      </c>
      <c r="K1537" s="7">
        <v>-17560</v>
      </c>
      <c r="L1537" s="1" t="s">
        <v>208</v>
      </c>
    </row>
    <row r="1538" spans="1:13">
      <c r="A1538" s="21" t="str">
        <f>TEXT(TEXT(B1538,"yyyymmdd"),"00000000")&amp;TEXT(COUNTIF($B$2:B1538,B1538),"00")</f>
        <v>2024070401</v>
      </c>
      <c r="B1538" s="21">
        <f t="shared" ref="B1538" si="149">DATE(C1538,D1538,E1538)</f>
        <v>45477</v>
      </c>
      <c r="C1538" s="22">
        <v>2024</v>
      </c>
      <c r="D1538" s="23">
        <v>7</v>
      </c>
      <c r="E1538" s="24">
        <v>4</v>
      </c>
      <c r="F1538" s="42" t="s">
        <v>17</v>
      </c>
      <c r="G1538" s="42" t="s">
        <v>7</v>
      </c>
      <c r="H1538" s="42" t="s">
        <v>138</v>
      </c>
      <c r="I1538" s="42" t="s">
        <v>139</v>
      </c>
      <c r="J1538" s="10">
        <v>14400</v>
      </c>
      <c r="K1538" s="7">
        <v>-14400</v>
      </c>
      <c r="L1538" s="1" t="s">
        <v>1135</v>
      </c>
      <c r="M1538" s="2" t="s">
        <v>696</v>
      </c>
    </row>
    <row r="1539" spans="1:13">
      <c r="A1539" s="21" t="str">
        <f>TEXT(TEXT(B1539,"yyyymmdd"),"00000000")&amp;TEXT(COUNTIF($B$2:B1539,B1539),"00")</f>
        <v>2024070402</v>
      </c>
      <c r="B1539" s="21">
        <f t="shared" ref="B1539" si="150">DATE(C1539,D1539,E1539)</f>
        <v>45477</v>
      </c>
      <c r="C1539" s="22">
        <v>2024</v>
      </c>
      <c r="D1539" s="23">
        <v>7</v>
      </c>
      <c r="E1539" s="24">
        <v>4</v>
      </c>
      <c r="F1539" s="42" t="s">
        <v>17</v>
      </c>
      <c r="G1539" s="42" t="s">
        <v>7</v>
      </c>
      <c r="H1539" s="42" t="s">
        <v>116</v>
      </c>
      <c r="I1539" s="42" t="s">
        <v>212</v>
      </c>
      <c r="J1539" s="10">
        <v>3000</v>
      </c>
      <c r="K1539" s="7">
        <v>-3000</v>
      </c>
      <c r="L1539" s="1" t="s">
        <v>1136</v>
      </c>
    </row>
    <row r="1540" spans="1:13">
      <c r="A1540" s="21" t="str">
        <f>TEXT(TEXT(B1540,"yyyymmdd"),"00000000")&amp;TEXT(COUNTIF($B$2:B1540,B1540),"00")</f>
        <v>2024070403</v>
      </c>
      <c r="B1540" s="21">
        <f t="shared" ref="B1540" si="151">DATE(C1540,D1540,E1540)</f>
        <v>45477</v>
      </c>
      <c r="C1540" s="22">
        <v>2024</v>
      </c>
      <c r="D1540" s="23">
        <v>7</v>
      </c>
      <c r="E1540" s="24">
        <v>4</v>
      </c>
      <c r="F1540" s="42" t="s">
        <v>17</v>
      </c>
      <c r="G1540" s="42" t="s">
        <v>7</v>
      </c>
      <c r="H1540" s="42" t="s">
        <v>116</v>
      </c>
      <c r="I1540" s="42" t="s">
        <v>225</v>
      </c>
      <c r="J1540" s="10">
        <v>8600</v>
      </c>
      <c r="K1540" s="7">
        <v>-8600</v>
      </c>
      <c r="L1540" s="1" t="s">
        <v>583</v>
      </c>
    </row>
    <row r="1541" spans="1:13">
      <c r="A1541" s="21" t="str">
        <f>TEXT(TEXT(B1541,"yyyymmdd"),"00000000")&amp;TEXT(COUNTIF($B$2:B1541,B1541),"00")</f>
        <v>2024070404</v>
      </c>
      <c r="B1541" s="21">
        <f t="shared" ref="B1541" si="152">DATE(C1541,D1541,E1541)</f>
        <v>45477</v>
      </c>
      <c r="C1541" s="22">
        <v>2024</v>
      </c>
      <c r="D1541" s="23">
        <v>7</v>
      </c>
      <c r="E1541" s="24">
        <v>4</v>
      </c>
      <c r="F1541" s="42" t="s">
        <v>17</v>
      </c>
      <c r="G1541" s="42" t="s">
        <v>135</v>
      </c>
      <c r="H1541" s="42" t="s">
        <v>135</v>
      </c>
      <c r="I1541" s="42" t="s">
        <v>143</v>
      </c>
      <c r="J1541" s="10">
        <v>-10000</v>
      </c>
      <c r="K1541" s="7">
        <v>10000</v>
      </c>
      <c r="L1541" s="1" t="s">
        <v>165</v>
      </c>
    </row>
    <row r="1542" spans="1:13">
      <c r="A1542" s="21" t="str">
        <f>TEXT(TEXT(B1542,"yyyymmdd"),"00000000")&amp;TEXT(COUNTIF($B$2:B1542,B1542),"00")</f>
        <v>2024070405</v>
      </c>
      <c r="B1542" s="21">
        <f t="shared" ref="B1542" si="153">DATE(C1542,D1542,E1542)</f>
        <v>45477</v>
      </c>
      <c r="C1542" s="22">
        <v>2024</v>
      </c>
      <c r="D1542" s="23">
        <v>7</v>
      </c>
      <c r="E1542" s="24">
        <v>4</v>
      </c>
      <c r="F1542" s="42" t="s">
        <v>17</v>
      </c>
      <c r="G1542" s="42" t="s">
        <v>7</v>
      </c>
      <c r="H1542" s="42" t="s">
        <v>116</v>
      </c>
      <c r="I1542" s="42" t="s">
        <v>212</v>
      </c>
      <c r="J1542" s="10">
        <v>3000</v>
      </c>
      <c r="K1542" s="7">
        <v>-3000</v>
      </c>
      <c r="L1542" s="1" t="s">
        <v>1137</v>
      </c>
    </row>
    <row r="1543" spans="1:13">
      <c r="A1543" s="21" t="str">
        <f>TEXT(TEXT(B1543,"yyyymmdd"),"00000000")&amp;TEXT(COUNTIF($B$2:B1543,B1543),"00")</f>
        <v>2024070406</v>
      </c>
      <c r="B1543" s="21">
        <f t="shared" ref="B1543" si="154">DATE(C1543,D1543,E1543)</f>
        <v>45477</v>
      </c>
      <c r="C1543" s="22">
        <v>2024</v>
      </c>
      <c r="D1543" s="23">
        <v>7</v>
      </c>
      <c r="E1543" s="24">
        <v>4</v>
      </c>
      <c r="F1543" s="42" t="s">
        <v>17</v>
      </c>
      <c r="G1543" s="42" t="s">
        <v>7</v>
      </c>
      <c r="H1543" s="42" t="s">
        <v>111</v>
      </c>
      <c r="I1543" s="42" t="s">
        <v>334</v>
      </c>
      <c r="J1543" s="10">
        <v>23000</v>
      </c>
      <c r="K1543" s="7">
        <v>-23000</v>
      </c>
      <c r="L1543" s="1" t="s">
        <v>1138</v>
      </c>
      <c r="M1543" s="2" t="s">
        <v>1139</v>
      </c>
    </row>
    <row r="1544" spans="1:13">
      <c r="A1544" s="21" t="str">
        <f>TEXT(TEXT(B1544,"yyyymmdd"),"00000000")&amp;TEXT(COUNTIF($B$2:B1544,B1544),"00")</f>
        <v>2024070407</v>
      </c>
      <c r="B1544" s="21">
        <f t="shared" ref="B1544" si="155">DATE(C1544,D1544,E1544)</f>
        <v>45477</v>
      </c>
      <c r="C1544" s="22">
        <v>2024</v>
      </c>
      <c r="D1544" s="23">
        <v>7</v>
      </c>
      <c r="E1544" s="24">
        <v>4</v>
      </c>
      <c r="F1544" s="42" t="s">
        <v>17</v>
      </c>
      <c r="G1544" s="42" t="s">
        <v>11</v>
      </c>
      <c r="H1544" s="42" t="s">
        <v>99</v>
      </c>
      <c r="I1544" s="42" t="s">
        <v>11</v>
      </c>
      <c r="J1544" s="10">
        <v>-9440</v>
      </c>
      <c r="K1544" s="7">
        <v>9440</v>
      </c>
      <c r="L1544" s="1" t="s">
        <v>1140</v>
      </c>
      <c r="M1544" s="2" t="s">
        <v>1141</v>
      </c>
    </row>
    <row r="1545" spans="1:13">
      <c r="A1545" s="21" t="str">
        <f>TEXT(TEXT(B1545,"yyyymmdd"),"00000000")&amp;TEXT(COUNTIF($B$2:B1545,B1545),"00")</f>
        <v>2024070501</v>
      </c>
      <c r="B1545" s="21">
        <f t="shared" ref="B1545" si="156">DATE(C1545,D1545,E1545)</f>
        <v>45478</v>
      </c>
      <c r="C1545" s="22">
        <v>2024</v>
      </c>
      <c r="D1545" s="23">
        <v>7</v>
      </c>
      <c r="E1545" s="24">
        <v>5</v>
      </c>
      <c r="F1545" s="42" t="s">
        <v>17</v>
      </c>
      <c r="G1545" s="42" t="s">
        <v>7</v>
      </c>
      <c r="H1545" s="42" t="s">
        <v>110</v>
      </c>
      <c r="I1545" s="42" t="s">
        <v>120</v>
      </c>
      <c r="J1545" s="10">
        <v>2800</v>
      </c>
      <c r="K1545" s="7">
        <v>-2800</v>
      </c>
      <c r="L1545" s="1" t="s">
        <v>1142</v>
      </c>
    </row>
    <row r="1546" spans="1:13">
      <c r="A1546" s="21" t="str">
        <f>TEXT(TEXT(B1546,"yyyymmdd"),"00000000")&amp;TEXT(COUNTIF($B$2:B1546,B1546),"00")</f>
        <v>2024070601</v>
      </c>
      <c r="B1546" s="21">
        <f t="shared" ref="B1546" si="157">DATE(C1546,D1546,E1546)</f>
        <v>45479</v>
      </c>
      <c r="C1546" s="22">
        <v>2024</v>
      </c>
      <c r="D1546" s="23">
        <v>7</v>
      </c>
      <c r="E1546" s="24">
        <v>6</v>
      </c>
      <c r="F1546" s="42" t="s">
        <v>17</v>
      </c>
      <c r="G1546" s="42" t="s">
        <v>7</v>
      </c>
      <c r="H1546" s="42" t="s">
        <v>173</v>
      </c>
      <c r="I1546" s="42" t="s">
        <v>174</v>
      </c>
      <c r="J1546" s="10">
        <v>3460</v>
      </c>
      <c r="K1546" s="7">
        <v>-3460</v>
      </c>
      <c r="L1546" s="1" t="s">
        <v>694</v>
      </c>
      <c r="M1546" s="2" t="s">
        <v>1143</v>
      </c>
    </row>
    <row r="1547" spans="1:13">
      <c r="A1547" s="21" t="str">
        <f>TEXT(TEXT(B1547,"yyyymmdd"),"00000000")&amp;TEXT(COUNTIF($B$2:B1547,B1547),"00")</f>
        <v>2024070602</v>
      </c>
      <c r="B1547" s="21">
        <f t="shared" ref="B1547" si="158">DATE(C1547,D1547,E1547)</f>
        <v>45479</v>
      </c>
      <c r="C1547" s="22">
        <v>2024</v>
      </c>
      <c r="D1547" s="23">
        <v>7</v>
      </c>
      <c r="E1547" s="24">
        <v>6</v>
      </c>
      <c r="F1547" s="42" t="s">
        <v>17</v>
      </c>
      <c r="G1547" s="42" t="s">
        <v>13</v>
      </c>
      <c r="H1547" s="42" t="s">
        <v>113</v>
      </c>
      <c r="I1547" s="42" t="s">
        <v>171</v>
      </c>
      <c r="J1547" s="10">
        <v>15000</v>
      </c>
      <c r="K1547" s="7">
        <v>-15000</v>
      </c>
      <c r="L1547" s="1" t="s">
        <v>502</v>
      </c>
    </row>
    <row r="1548" spans="1:13">
      <c r="A1548" s="21" t="str">
        <f>TEXT(TEXT(B1548,"yyyymmdd"),"00000000")&amp;TEXT(COUNTIF($B$2:B1548,B1548),"00")</f>
        <v>2024070603</v>
      </c>
      <c r="B1548" s="21">
        <f t="shared" ref="B1548" si="159">DATE(C1548,D1548,E1548)</f>
        <v>45479</v>
      </c>
      <c r="C1548" s="22">
        <v>2024</v>
      </c>
      <c r="D1548" s="23">
        <v>7</v>
      </c>
      <c r="E1548" s="24">
        <v>6</v>
      </c>
      <c r="F1548" s="42" t="s">
        <v>17</v>
      </c>
      <c r="G1548" s="42" t="s">
        <v>7</v>
      </c>
      <c r="H1548" s="42" t="s">
        <v>110</v>
      </c>
      <c r="I1548" s="42" t="s">
        <v>120</v>
      </c>
      <c r="J1548" s="10">
        <v>3700</v>
      </c>
      <c r="K1548" s="7">
        <v>-3700</v>
      </c>
      <c r="L1548" s="1" t="s">
        <v>807</v>
      </c>
    </row>
    <row r="1549" spans="1:13">
      <c r="A1549" s="21" t="str">
        <f>TEXT(TEXT(B1549,"yyyymmdd"),"00000000")&amp;TEXT(COUNTIF($B$2:B1549,B1549),"00")</f>
        <v>2024070801</v>
      </c>
      <c r="B1549" s="21">
        <f t="shared" ref="B1549" si="160">DATE(C1549,D1549,E1549)</f>
        <v>45481</v>
      </c>
      <c r="C1549" s="22">
        <v>2024</v>
      </c>
      <c r="D1549" s="23">
        <v>7</v>
      </c>
      <c r="E1549" s="24">
        <v>8</v>
      </c>
      <c r="F1549" s="42" t="s">
        <v>17</v>
      </c>
      <c r="G1549" s="42" t="s">
        <v>7</v>
      </c>
      <c r="H1549" s="42" t="s">
        <v>167</v>
      </c>
      <c r="I1549" s="42" t="s">
        <v>168</v>
      </c>
      <c r="J1549" s="10">
        <v>2950</v>
      </c>
      <c r="K1549" s="7">
        <v>-2950</v>
      </c>
      <c r="L1549" s="1" t="s">
        <v>532</v>
      </c>
      <c r="M1549" s="2" t="s">
        <v>672</v>
      </c>
    </row>
    <row r="1550" spans="1:13">
      <c r="A1550" s="21" t="str">
        <f>TEXT(TEXT(B1550,"yyyymmdd"),"00000000")&amp;TEXT(COUNTIF($B$2:B1550,B1550),"00")</f>
        <v>2024070901</v>
      </c>
      <c r="B1550" s="21">
        <f t="shared" ref="B1550" si="161">DATE(C1550,D1550,E1550)</f>
        <v>45482</v>
      </c>
      <c r="C1550" s="22">
        <v>2024</v>
      </c>
      <c r="D1550" s="23">
        <v>7</v>
      </c>
      <c r="E1550" s="24">
        <v>9</v>
      </c>
      <c r="F1550" s="42" t="s">
        <v>17</v>
      </c>
      <c r="G1550" s="42" t="s">
        <v>135</v>
      </c>
      <c r="H1550" s="42" t="s">
        <v>135</v>
      </c>
      <c r="I1550" s="42" t="s">
        <v>143</v>
      </c>
      <c r="J1550" s="10">
        <v>-1</v>
      </c>
      <c r="K1550" s="7">
        <v>1</v>
      </c>
      <c r="L1550" s="1" t="s">
        <v>496</v>
      </c>
    </row>
    <row r="1551" spans="1:13">
      <c r="A1551" s="21" t="str">
        <f>TEXT(TEXT(B1551,"yyyymmdd"),"00000000")&amp;TEXT(COUNTIF($B$2:B1551,B1551),"00")</f>
        <v>2024070902</v>
      </c>
      <c r="B1551" s="21">
        <f t="shared" ref="B1551" si="162">DATE(C1551,D1551,E1551)</f>
        <v>45482</v>
      </c>
      <c r="C1551" s="22">
        <v>2024</v>
      </c>
      <c r="D1551" s="23">
        <v>7</v>
      </c>
      <c r="E1551" s="24">
        <v>9</v>
      </c>
      <c r="F1551" s="42" t="s">
        <v>17</v>
      </c>
      <c r="G1551" s="42" t="s">
        <v>7</v>
      </c>
      <c r="H1551" s="42" t="s">
        <v>138</v>
      </c>
      <c r="I1551" s="42" t="s">
        <v>139</v>
      </c>
      <c r="J1551" s="10">
        <v>5000</v>
      </c>
      <c r="K1551" s="7">
        <v>-5000</v>
      </c>
      <c r="L1551" s="1" t="s">
        <v>1146</v>
      </c>
    </row>
    <row r="1552" spans="1:13">
      <c r="A1552" s="21" t="str">
        <f>TEXT(TEXT(B1552,"yyyymmdd"),"00000000")&amp;TEXT(COUNTIF($B$2:B1552,B1552),"00")</f>
        <v>2024070903</v>
      </c>
      <c r="B1552" s="21">
        <f t="shared" ref="B1552" si="163">DATE(C1552,D1552,E1552)</f>
        <v>45482</v>
      </c>
      <c r="C1552" s="22">
        <v>2024</v>
      </c>
      <c r="D1552" s="23">
        <v>7</v>
      </c>
      <c r="E1552" s="24">
        <v>9</v>
      </c>
      <c r="F1552" s="42" t="s">
        <v>17</v>
      </c>
      <c r="G1552" s="42" t="s">
        <v>7</v>
      </c>
      <c r="H1552" s="42" t="s">
        <v>110</v>
      </c>
      <c r="I1552" s="42" t="s">
        <v>120</v>
      </c>
      <c r="J1552" s="10">
        <v>9900</v>
      </c>
      <c r="K1552" s="7">
        <v>-9900</v>
      </c>
      <c r="L1552" s="1" t="s">
        <v>651</v>
      </c>
    </row>
    <row r="1553" spans="1:13">
      <c r="A1553" s="21" t="str">
        <f>TEXT(TEXT(B1553,"yyyymmdd"),"00000000")&amp;TEXT(COUNTIF($B$2:B1553,B1553),"00")</f>
        <v>2024070904</v>
      </c>
      <c r="B1553" s="21">
        <f t="shared" ref="B1553" si="164">DATE(C1553,D1553,E1553)</f>
        <v>45482</v>
      </c>
      <c r="C1553" s="22">
        <v>2024</v>
      </c>
      <c r="D1553" s="23">
        <v>7</v>
      </c>
      <c r="E1553" s="24">
        <v>9</v>
      </c>
      <c r="F1553" s="42" t="s">
        <v>17</v>
      </c>
      <c r="G1553" s="42" t="s">
        <v>7</v>
      </c>
      <c r="H1553" s="42" t="s">
        <v>117</v>
      </c>
      <c r="I1553" s="42" t="s">
        <v>453</v>
      </c>
      <c r="J1553" s="10">
        <v>12600</v>
      </c>
      <c r="K1553" s="7">
        <v>-12600</v>
      </c>
      <c r="L1553" s="1" t="s">
        <v>754</v>
      </c>
    </row>
    <row r="1554" spans="1:13">
      <c r="A1554" s="21" t="str">
        <f>TEXT(TEXT(B1554,"yyyymmdd"),"00000000")&amp;TEXT(COUNTIF($B$2:B1554,B1554),"00")</f>
        <v>2024071001</v>
      </c>
      <c r="B1554" s="21">
        <f t="shared" ref="B1554" si="165">DATE(C1554,D1554,E1554)</f>
        <v>45483</v>
      </c>
      <c r="C1554" s="22">
        <v>2024</v>
      </c>
      <c r="D1554" s="23">
        <v>7</v>
      </c>
      <c r="E1554" s="24">
        <v>10</v>
      </c>
      <c r="F1554" s="42" t="s">
        <v>17</v>
      </c>
      <c r="G1554" s="42" t="s">
        <v>13</v>
      </c>
      <c r="H1554" s="42" t="s">
        <v>167</v>
      </c>
      <c r="I1554" s="42" t="s">
        <v>214</v>
      </c>
      <c r="J1554" s="10">
        <v>30060</v>
      </c>
      <c r="K1554" s="7">
        <v>-30060</v>
      </c>
      <c r="L1554" s="1" t="s">
        <v>957</v>
      </c>
    </row>
    <row r="1555" spans="1:13">
      <c r="A1555" s="21" t="str">
        <f>TEXT(TEXT(B1555,"yyyymmdd"),"00000000")&amp;TEXT(COUNTIF($B$2:B1555,B1555),"00")</f>
        <v>2024071002</v>
      </c>
      <c r="B1555" s="21">
        <f t="shared" ref="B1555" si="166">DATE(C1555,D1555,E1555)</f>
        <v>45483</v>
      </c>
      <c r="C1555" s="22">
        <v>2024</v>
      </c>
      <c r="D1555" s="23">
        <v>7</v>
      </c>
      <c r="E1555" s="24">
        <v>10</v>
      </c>
      <c r="F1555" s="42" t="s">
        <v>17</v>
      </c>
      <c r="G1555" s="42" t="s">
        <v>7</v>
      </c>
      <c r="H1555" s="42" t="s">
        <v>167</v>
      </c>
      <c r="I1555" s="42" t="s">
        <v>168</v>
      </c>
      <c r="J1555" s="10">
        <v>4400</v>
      </c>
      <c r="K1555" s="7">
        <v>-4400</v>
      </c>
      <c r="L1555" s="1" t="s">
        <v>845</v>
      </c>
      <c r="M1555" s="2" t="s">
        <v>1147</v>
      </c>
    </row>
    <row r="1556" spans="1:13">
      <c r="A1556" s="21" t="str">
        <f>TEXT(TEXT(B1556,"yyyymmdd"),"00000000")&amp;TEXT(COUNTIF($B$2:B1556,B1556),"00")</f>
        <v>2024071003</v>
      </c>
      <c r="B1556" s="21">
        <f t="shared" ref="B1556" si="167">DATE(C1556,D1556,E1556)</f>
        <v>45483</v>
      </c>
      <c r="C1556" s="22">
        <v>2024</v>
      </c>
      <c r="D1556" s="23">
        <v>7</v>
      </c>
      <c r="E1556" s="24">
        <v>10</v>
      </c>
      <c r="F1556" s="42" t="s">
        <v>17</v>
      </c>
      <c r="G1556" s="42" t="s">
        <v>170</v>
      </c>
      <c r="H1556" s="42" t="s">
        <v>114</v>
      </c>
      <c r="I1556" s="42" t="s">
        <v>1007</v>
      </c>
      <c r="J1556" s="10">
        <v>8170</v>
      </c>
      <c r="K1556" s="7">
        <v>-8170</v>
      </c>
      <c r="L1556" s="1" t="s">
        <v>1023</v>
      </c>
    </row>
    <row r="1557" spans="1:13">
      <c r="A1557" s="21" t="str">
        <f>TEXT(TEXT(B1557,"yyyymmdd"),"00000000")&amp;TEXT(COUNTIF($B$2:B1557,B1557),"00")</f>
        <v>2024071101</v>
      </c>
      <c r="B1557" s="21">
        <f t="shared" ref="B1557" si="168">DATE(C1557,D1557,E1557)</f>
        <v>45484</v>
      </c>
      <c r="C1557" s="22">
        <v>2024</v>
      </c>
      <c r="D1557" s="23">
        <v>7</v>
      </c>
      <c r="E1557" s="24">
        <v>11</v>
      </c>
      <c r="F1557" s="42" t="s">
        <v>17</v>
      </c>
      <c r="G1557" s="42" t="s">
        <v>7</v>
      </c>
      <c r="H1557" s="42" t="s">
        <v>110</v>
      </c>
      <c r="I1557" s="42" t="s">
        <v>120</v>
      </c>
      <c r="J1557" s="10">
        <v>1100</v>
      </c>
      <c r="K1557" s="7">
        <v>-1100</v>
      </c>
      <c r="L1557" s="1" t="s">
        <v>712</v>
      </c>
      <c r="M1557" s="2" t="s">
        <v>1148</v>
      </c>
    </row>
    <row r="1558" spans="1:13">
      <c r="A1558" s="21" t="str">
        <f>TEXT(TEXT(B1558,"yyyymmdd"),"00000000")&amp;TEXT(COUNTIF($B$2:B1558,B1558),"00")</f>
        <v>2024071201</v>
      </c>
      <c r="B1558" s="21">
        <f t="shared" ref="B1558" si="169">DATE(C1558,D1558,E1558)</f>
        <v>45485</v>
      </c>
      <c r="C1558" s="22">
        <v>2024</v>
      </c>
      <c r="D1558" s="23">
        <v>7</v>
      </c>
      <c r="E1558" s="24">
        <v>12</v>
      </c>
      <c r="F1558" s="42" t="s">
        <v>17</v>
      </c>
      <c r="G1558" s="42" t="s">
        <v>7</v>
      </c>
      <c r="H1558" s="42" t="s">
        <v>138</v>
      </c>
      <c r="I1558" s="42" t="s">
        <v>139</v>
      </c>
      <c r="J1558" s="10">
        <v>13000</v>
      </c>
      <c r="K1558" s="7">
        <v>-13000</v>
      </c>
      <c r="L1558" s="1" t="s">
        <v>1149</v>
      </c>
    </row>
    <row r="1559" spans="1:13">
      <c r="A1559" s="21" t="str">
        <f>TEXT(TEXT(B1559,"yyyymmdd"),"00000000")&amp;TEXT(COUNTIF($B$2:B1559,B1559),"00")</f>
        <v>2024071202</v>
      </c>
      <c r="B1559" s="21">
        <f t="shared" ref="B1559" si="170">DATE(C1559,D1559,E1559)</f>
        <v>45485</v>
      </c>
      <c r="C1559" s="22">
        <v>2024</v>
      </c>
      <c r="D1559" s="23">
        <v>7</v>
      </c>
      <c r="E1559" s="24">
        <v>12</v>
      </c>
      <c r="F1559" s="42" t="s">
        <v>17</v>
      </c>
      <c r="G1559" s="42" t="s">
        <v>7</v>
      </c>
      <c r="H1559" s="42" t="s">
        <v>116</v>
      </c>
      <c r="I1559" s="42" t="s">
        <v>212</v>
      </c>
      <c r="J1559" s="10">
        <v>18500</v>
      </c>
      <c r="K1559" s="7">
        <v>-18500</v>
      </c>
      <c r="L1559" s="1" t="s">
        <v>1150</v>
      </c>
    </row>
    <row r="1560" spans="1:13">
      <c r="A1560" s="21" t="str">
        <f>TEXT(TEXT(B1560,"yyyymmdd"),"00000000")&amp;TEXT(COUNTIF($B$2:B1560,B1560),"00")</f>
        <v>2024071203</v>
      </c>
      <c r="B1560" s="21">
        <f t="shared" ref="B1560" si="171">DATE(C1560,D1560,E1560)</f>
        <v>45485</v>
      </c>
      <c r="C1560" s="22">
        <v>2024</v>
      </c>
      <c r="D1560" s="23">
        <v>7</v>
      </c>
      <c r="E1560" s="24">
        <v>12</v>
      </c>
      <c r="F1560" s="42" t="s">
        <v>17</v>
      </c>
      <c r="G1560" s="42" t="s">
        <v>7</v>
      </c>
      <c r="H1560" s="42" t="s">
        <v>116</v>
      </c>
      <c r="I1560" s="42" t="s">
        <v>212</v>
      </c>
      <c r="J1560" s="10">
        <v>17800</v>
      </c>
      <c r="K1560" s="7">
        <v>-17800</v>
      </c>
      <c r="L1560" s="1" t="s">
        <v>1151</v>
      </c>
    </row>
    <row r="1561" spans="1:13">
      <c r="A1561" s="21" t="str">
        <f>TEXT(TEXT(B1561,"yyyymmdd"),"00000000")&amp;TEXT(COUNTIF($B$2:B1561,B1561),"00")</f>
        <v>2024071401</v>
      </c>
      <c r="B1561" s="21">
        <f t="shared" ref="B1561" si="172">DATE(C1561,D1561,E1561)</f>
        <v>45487</v>
      </c>
      <c r="C1561" s="22">
        <v>2024</v>
      </c>
      <c r="D1561" s="23">
        <v>7</v>
      </c>
      <c r="E1561" s="24">
        <v>14</v>
      </c>
      <c r="F1561" s="42" t="s">
        <v>17</v>
      </c>
      <c r="G1561" s="42" t="s">
        <v>135</v>
      </c>
      <c r="H1561" s="42" t="s">
        <v>135</v>
      </c>
      <c r="I1561" s="42" t="s">
        <v>152</v>
      </c>
      <c r="J1561" s="10">
        <v>-295000</v>
      </c>
      <c r="K1561" s="7">
        <v>295000</v>
      </c>
      <c r="L1561" s="1" t="s">
        <v>252</v>
      </c>
      <c r="M1561" s="2" t="s">
        <v>1152</v>
      </c>
    </row>
    <row r="1562" spans="1:13">
      <c r="A1562" s="21" t="str">
        <f>TEXT(TEXT(B1562,"yyyymmdd"),"00000000")&amp;TEXT(COUNTIF($B$2:B1562,B1562),"00")</f>
        <v>2024071402</v>
      </c>
      <c r="B1562" s="21">
        <f t="shared" ref="B1562" si="173">DATE(C1562,D1562,E1562)</f>
        <v>45487</v>
      </c>
      <c r="C1562" s="22">
        <v>2024</v>
      </c>
      <c r="D1562" s="23">
        <v>7</v>
      </c>
      <c r="E1562" s="24">
        <v>14</v>
      </c>
      <c r="F1562" s="42" t="s">
        <v>17</v>
      </c>
      <c r="G1562" s="42" t="s">
        <v>7</v>
      </c>
      <c r="H1562" s="42" t="s">
        <v>110</v>
      </c>
      <c r="I1562" s="42" t="s">
        <v>120</v>
      </c>
      <c r="J1562" s="10">
        <v>5800</v>
      </c>
      <c r="K1562" s="7">
        <v>-5800</v>
      </c>
      <c r="L1562" s="1" t="s">
        <v>1142</v>
      </c>
    </row>
    <row r="1563" spans="1:13">
      <c r="A1563" s="21" t="str">
        <f>TEXT(TEXT(B1563,"yyyymmdd"),"00000000")&amp;TEXT(COUNTIF($B$2:B1563,B1563),"00")</f>
        <v>2024071403</v>
      </c>
      <c r="B1563" s="21">
        <f t="shared" ref="B1563" si="174">DATE(C1563,D1563,E1563)</f>
        <v>45487</v>
      </c>
      <c r="C1563" s="22">
        <v>2024</v>
      </c>
      <c r="D1563" s="23">
        <v>7</v>
      </c>
      <c r="E1563" s="24">
        <v>14</v>
      </c>
      <c r="F1563" s="42" t="s">
        <v>498</v>
      </c>
      <c r="G1563" s="42" t="s">
        <v>11</v>
      </c>
      <c r="H1563" s="42" t="s">
        <v>99</v>
      </c>
      <c r="I1563" s="42" t="s">
        <v>11</v>
      </c>
      <c r="J1563" s="10">
        <v>-1800000</v>
      </c>
      <c r="K1563" s="7">
        <v>1800000</v>
      </c>
      <c r="L1563" s="1" t="s">
        <v>1153</v>
      </c>
    </row>
    <row r="1564" spans="1:13">
      <c r="A1564" s="21" t="str">
        <f>TEXT(TEXT(B1564,"yyyymmdd"),"00000000")&amp;TEXT(COUNTIF($B$2:B1564,B1564),"00")</f>
        <v>2024071501</v>
      </c>
      <c r="B1564" s="21">
        <f t="shared" ref="B1564" si="175">DATE(C1564,D1564,E1564)</f>
        <v>45488</v>
      </c>
      <c r="C1564" s="22">
        <v>2024</v>
      </c>
      <c r="D1564" s="23">
        <v>7</v>
      </c>
      <c r="E1564" s="24">
        <v>15</v>
      </c>
      <c r="F1564" s="42" t="s">
        <v>498</v>
      </c>
      <c r="G1564" s="42" t="s">
        <v>7</v>
      </c>
      <c r="H1564" s="42" t="s">
        <v>117</v>
      </c>
      <c r="I1564" s="42" t="s">
        <v>450</v>
      </c>
      <c r="J1564" s="10">
        <v>50600</v>
      </c>
      <c r="K1564" s="7">
        <v>-50600</v>
      </c>
      <c r="L1564" s="1" t="s">
        <v>1154</v>
      </c>
    </row>
    <row r="1565" spans="1:13">
      <c r="A1565" s="21" t="str">
        <f>TEXT(TEXT(B1565,"yyyymmdd"),"00000000")&amp;TEXT(COUNTIF($B$2:B1565,B1565),"00")</f>
        <v>2024071502</v>
      </c>
      <c r="B1565" s="21">
        <f t="shared" ref="B1565" si="176">DATE(C1565,D1565,E1565)</f>
        <v>45488</v>
      </c>
      <c r="C1565" s="22">
        <v>2024</v>
      </c>
      <c r="D1565" s="23">
        <v>7</v>
      </c>
      <c r="E1565" s="24">
        <v>15</v>
      </c>
      <c r="F1565" s="42" t="s">
        <v>498</v>
      </c>
      <c r="G1565" s="42" t="s">
        <v>7</v>
      </c>
      <c r="H1565" s="42" t="s">
        <v>117</v>
      </c>
      <c r="I1565" s="42" t="s">
        <v>168</v>
      </c>
      <c r="J1565" s="10">
        <v>2200</v>
      </c>
      <c r="K1565" s="7">
        <v>-2200</v>
      </c>
      <c r="L1565" s="1" t="s">
        <v>845</v>
      </c>
      <c r="M1565" s="2" t="s">
        <v>1155</v>
      </c>
    </row>
    <row r="1566" spans="1:13">
      <c r="A1566" s="21" t="str">
        <f>TEXT(TEXT(B1566,"yyyymmdd"),"00000000")&amp;TEXT(COUNTIF($B$2:B1566,B1566),"00")</f>
        <v>2024071503</v>
      </c>
      <c r="B1566" s="21">
        <f t="shared" ref="B1566" si="177">DATE(C1566,D1566,E1566)</f>
        <v>45488</v>
      </c>
      <c r="C1566" s="22">
        <v>2024</v>
      </c>
      <c r="D1566" s="23">
        <v>7</v>
      </c>
      <c r="E1566" s="24">
        <v>15</v>
      </c>
      <c r="F1566" s="42" t="s">
        <v>498</v>
      </c>
      <c r="G1566" s="42" t="s">
        <v>7</v>
      </c>
      <c r="H1566" s="42" t="s">
        <v>117</v>
      </c>
      <c r="I1566" s="42" t="s">
        <v>450</v>
      </c>
      <c r="J1566" s="10">
        <v>267800</v>
      </c>
      <c r="K1566" s="7">
        <v>-267800</v>
      </c>
      <c r="L1566" s="1" t="s">
        <v>1156</v>
      </c>
    </row>
    <row r="1567" spans="1:13">
      <c r="A1567" s="21" t="str">
        <f>TEXT(TEXT(B1567,"yyyymmdd"),"00000000")&amp;TEXT(COUNTIF($B$2:B1567,B1567),"00")</f>
        <v>2024071504</v>
      </c>
      <c r="B1567" s="21">
        <f t="shared" ref="B1567" si="178">DATE(C1567,D1567,E1567)</f>
        <v>45488</v>
      </c>
      <c r="C1567" s="22">
        <v>2024</v>
      </c>
      <c r="D1567" s="23">
        <v>7</v>
      </c>
      <c r="E1567" s="24">
        <v>15</v>
      </c>
      <c r="F1567" s="42" t="s">
        <v>498</v>
      </c>
      <c r="G1567" s="42" t="s">
        <v>7</v>
      </c>
      <c r="H1567" s="42" t="s">
        <v>117</v>
      </c>
      <c r="I1567" s="42" t="s">
        <v>453</v>
      </c>
      <c r="J1567" s="10">
        <v>110000</v>
      </c>
      <c r="K1567" s="7">
        <v>-110000</v>
      </c>
      <c r="L1567" s="1" t="s">
        <v>930</v>
      </c>
    </row>
    <row r="1568" spans="1:13">
      <c r="A1568" s="21" t="str">
        <f>TEXT(TEXT(B1568,"yyyymmdd"),"00000000")&amp;TEXT(COUNTIF($B$2:B1568,B1568),"00")</f>
        <v>2024071505</v>
      </c>
      <c r="B1568" s="21">
        <f t="shared" ref="B1568" si="179">DATE(C1568,D1568,E1568)</f>
        <v>45488</v>
      </c>
      <c r="C1568" s="22">
        <v>2024</v>
      </c>
      <c r="D1568" s="23">
        <v>7</v>
      </c>
      <c r="E1568" s="24">
        <v>15</v>
      </c>
      <c r="F1568" s="42" t="s">
        <v>498</v>
      </c>
      <c r="G1568" s="42" t="s">
        <v>7</v>
      </c>
      <c r="H1568" s="42" t="s">
        <v>117</v>
      </c>
      <c r="I1568" s="42" t="s">
        <v>453</v>
      </c>
      <c r="J1568" s="10">
        <v>9810</v>
      </c>
      <c r="K1568" s="7">
        <v>-9810</v>
      </c>
      <c r="L1568" s="1" t="s">
        <v>1159</v>
      </c>
      <c r="M1568" s="2" t="s">
        <v>1160</v>
      </c>
    </row>
    <row r="1569" spans="1:13">
      <c r="A1569" s="21" t="str">
        <f>TEXT(TEXT(B1569,"yyyymmdd"),"00000000")&amp;TEXT(COUNTIF($B$2:B1569,B1569),"00")</f>
        <v>2024071601</v>
      </c>
      <c r="B1569" s="21">
        <f t="shared" ref="B1569" si="180">DATE(C1569,D1569,E1569)</f>
        <v>45489</v>
      </c>
      <c r="C1569" s="22">
        <v>2024</v>
      </c>
      <c r="D1569" s="23">
        <v>7</v>
      </c>
      <c r="E1569" s="24">
        <v>16</v>
      </c>
      <c r="F1569" s="42" t="s">
        <v>498</v>
      </c>
      <c r="G1569" s="42" t="s">
        <v>7</v>
      </c>
      <c r="H1569" s="42" t="s">
        <v>117</v>
      </c>
      <c r="I1569" s="42" t="s">
        <v>453</v>
      </c>
      <c r="J1569" s="10">
        <v>56260</v>
      </c>
      <c r="K1569" s="7">
        <v>-56260</v>
      </c>
      <c r="L1569" s="1" t="s">
        <v>1157</v>
      </c>
      <c r="M1569" s="2" t="s">
        <v>1158</v>
      </c>
    </row>
    <row r="1570" spans="1:13">
      <c r="A1570" s="21" t="str">
        <f>TEXT(TEXT(B1570,"yyyymmdd"),"00000000")&amp;TEXT(COUNTIF($B$2:B1570,B1570),"00")</f>
        <v>2024071801</v>
      </c>
      <c r="B1570" s="21">
        <f t="shared" ref="B1570" si="181">DATE(C1570,D1570,E1570)</f>
        <v>45491</v>
      </c>
      <c r="C1570" s="22">
        <v>2024</v>
      </c>
      <c r="D1570" s="23">
        <v>7</v>
      </c>
      <c r="E1570" s="24">
        <v>18</v>
      </c>
      <c r="F1570" s="42" t="s">
        <v>498</v>
      </c>
      <c r="G1570" s="42" t="s">
        <v>7</v>
      </c>
      <c r="H1570" s="42" t="s">
        <v>117</v>
      </c>
      <c r="I1570" s="42" t="s">
        <v>468</v>
      </c>
      <c r="J1570" s="10">
        <v>107000</v>
      </c>
      <c r="K1570" s="7">
        <v>-107000</v>
      </c>
      <c r="L1570" s="1" t="s">
        <v>1161</v>
      </c>
    </row>
    <row r="1571" spans="1:13">
      <c r="A1571" s="21" t="str">
        <f>TEXT(TEXT(B1571,"yyyymmdd"),"00000000")&amp;TEXT(COUNTIF($B$2:B1571,B1571),"00")</f>
        <v>2024071901</v>
      </c>
      <c r="B1571" s="21">
        <f t="shared" ref="B1571" si="182">DATE(C1571,D1571,E1571)</f>
        <v>45492</v>
      </c>
      <c r="C1571" s="22">
        <v>2024</v>
      </c>
      <c r="D1571" s="23">
        <v>7</v>
      </c>
      <c r="E1571" s="24">
        <v>19</v>
      </c>
      <c r="F1571" s="42" t="s">
        <v>498</v>
      </c>
      <c r="G1571" s="42" t="s">
        <v>7</v>
      </c>
      <c r="H1571" s="42" t="s">
        <v>117</v>
      </c>
      <c r="I1571" s="42" t="s">
        <v>468</v>
      </c>
      <c r="J1571" s="10">
        <v>641880</v>
      </c>
      <c r="K1571" s="7">
        <v>-641880</v>
      </c>
      <c r="L1571" s="1" t="s">
        <v>1162</v>
      </c>
      <c r="M1571" s="2" t="s">
        <v>1163</v>
      </c>
    </row>
    <row r="1572" spans="1:13">
      <c r="A1572" s="21" t="str">
        <f>TEXT(TEXT(B1572,"yyyymmdd"),"00000000")&amp;TEXT(COUNTIF($B$2:B1572,B1572),"00")</f>
        <v>2024071902</v>
      </c>
      <c r="B1572" s="21">
        <f t="shared" ref="B1572" si="183">DATE(C1572,D1572,E1572)</f>
        <v>45492</v>
      </c>
      <c r="C1572" s="22">
        <v>2024</v>
      </c>
      <c r="D1572" s="23">
        <v>7</v>
      </c>
      <c r="E1572" s="24">
        <v>19</v>
      </c>
      <c r="F1572" s="42" t="s">
        <v>17</v>
      </c>
      <c r="G1572" s="42" t="s">
        <v>11</v>
      </c>
      <c r="H1572" s="42" t="s">
        <v>99</v>
      </c>
      <c r="I1572" s="42" t="s">
        <v>11</v>
      </c>
      <c r="J1572" s="10">
        <v>-800</v>
      </c>
      <c r="K1572" s="7">
        <v>800</v>
      </c>
      <c r="L1572" s="1" t="s">
        <v>1164</v>
      </c>
      <c r="M1572" s="2" t="s">
        <v>1174</v>
      </c>
    </row>
    <row r="1573" spans="1:13">
      <c r="A1573" s="21" t="str">
        <f>TEXT(TEXT(B1573,"yyyymmdd"),"00000000")&amp;TEXT(COUNTIF($B$2:B1573,B1573),"00")</f>
        <v>2024072001</v>
      </c>
      <c r="B1573" s="21">
        <f t="shared" ref="B1573" si="184">DATE(C1573,D1573,E1573)</f>
        <v>45493</v>
      </c>
      <c r="C1573" s="22">
        <v>2024</v>
      </c>
      <c r="D1573" s="23">
        <v>7</v>
      </c>
      <c r="E1573" s="24">
        <v>20</v>
      </c>
      <c r="F1573" s="42" t="s">
        <v>17</v>
      </c>
      <c r="G1573" s="42" t="s">
        <v>13</v>
      </c>
      <c r="H1573" s="42" t="s">
        <v>138</v>
      </c>
      <c r="I1573" s="42" t="s">
        <v>139</v>
      </c>
      <c r="J1573" s="10">
        <v>6700</v>
      </c>
      <c r="K1573" s="7">
        <v>-6700</v>
      </c>
      <c r="L1573" s="1" t="s">
        <v>300</v>
      </c>
      <c r="M1573" s="2" t="s">
        <v>1165</v>
      </c>
    </row>
    <row r="1574" spans="1:13">
      <c r="A1574" s="21" t="str">
        <f>TEXT(TEXT(B1574,"yyyymmdd"),"00000000")&amp;TEXT(COUNTIF($B$2:B1574,B1574),"00")</f>
        <v>2024072002</v>
      </c>
      <c r="B1574" s="21">
        <f t="shared" ref="B1574" si="185">DATE(C1574,D1574,E1574)</f>
        <v>45493</v>
      </c>
      <c r="C1574" s="22">
        <v>2024</v>
      </c>
      <c r="D1574" s="23">
        <v>7</v>
      </c>
      <c r="E1574" s="24">
        <v>20</v>
      </c>
      <c r="F1574" s="42" t="s">
        <v>17</v>
      </c>
      <c r="G1574" s="42" t="s">
        <v>13</v>
      </c>
      <c r="H1574" s="42" t="s">
        <v>138</v>
      </c>
      <c r="I1574" s="42" t="s">
        <v>139</v>
      </c>
      <c r="J1574" s="10">
        <v>9000</v>
      </c>
      <c r="K1574" s="7">
        <v>-9000</v>
      </c>
      <c r="L1574" s="1" t="s">
        <v>660</v>
      </c>
    </row>
    <row r="1575" spans="1:13">
      <c r="A1575" s="21" t="str">
        <f>TEXT(TEXT(B1575,"yyyymmdd"),"00000000")&amp;TEXT(COUNTIF($B$2:B1575,B1575),"00")</f>
        <v>2024072003</v>
      </c>
      <c r="B1575" s="21">
        <f t="shared" ref="B1575" si="186">DATE(C1575,D1575,E1575)</f>
        <v>45493</v>
      </c>
      <c r="C1575" s="22">
        <v>2024</v>
      </c>
      <c r="D1575" s="23">
        <v>7</v>
      </c>
      <c r="E1575" s="24">
        <v>20</v>
      </c>
      <c r="F1575" s="42" t="s">
        <v>17</v>
      </c>
      <c r="G1575" s="42" t="s">
        <v>7</v>
      </c>
      <c r="H1575" s="42" t="s">
        <v>167</v>
      </c>
      <c r="I1575" s="42" t="s">
        <v>168</v>
      </c>
      <c r="J1575" s="10">
        <v>4150</v>
      </c>
      <c r="K1575" s="7">
        <v>-4150</v>
      </c>
      <c r="L1575" s="1" t="s">
        <v>532</v>
      </c>
      <c r="M1575" s="2" t="s">
        <v>1166</v>
      </c>
    </row>
    <row r="1576" spans="1:13">
      <c r="A1576" s="21" t="str">
        <f>TEXT(TEXT(B1576,"yyyymmdd"),"00000000")&amp;TEXT(COUNTIF($B$2:B1576,B1576),"00")</f>
        <v>2024072101</v>
      </c>
      <c r="B1576" s="21">
        <f t="shared" ref="B1576" si="187">DATE(C1576,D1576,E1576)</f>
        <v>45494</v>
      </c>
      <c r="C1576" s="22">
        <v>2024</v>
      </c>
      <c r="D1576" s="23">
        <v>7</v>
      </c>
      <c r="E1576" s="24">
        <v>21</v>
      </c>
      <c r="F1576" s="42" t="s">
        <v>17</v>
      </c>
      <c r="G1576" s="42" t="s">
        <v>7</v>
      </c>
      <c r="H1576" s="42" t="s">
        <v>111</v>
      </c>
      <c r="I1576" s="42" t="s">
        <v>334</v>
      </c>
      <c r="J1576" s="10">
        <v>31566</v>
      </c>
      <c r="K1576" s="7">
        <v>-31566</v>
      </c>
      <c r="L1576" s="1" t="s">
        <v>1167</v>
      </c>
      <c r="M1576" s="2" t="s">
        <v>782</v>
      </c>
    </row>
    <row r="1577" spans="1:13">
      <c r="A1577" s="21" t="str">
        <f>TEXT(TEXT(B1577,"yyyymmdd"),"00000000")&amp;TEXT(COUNTIF($B$2:B1577,B1577),"00")</f>
        <v>2024072102</v>
      </c>
      <c r="B1577" s="21">
        <f t="shared" ref="B1577" si="188">DATE(C1577,D1577,E1577)</f>
        <v>45494</v>
      </c>
      <c r="C1577" s="22">
        <v>2024</v>
      </c>
      <c r="D1577" s="23">
        <v>7</v>
      </c>
      <c r="E1577" s="24">
        <v>21</v>
      </c>
      <c r="F1577" s="42" t="s">
        <v>17</v>
      </c>
      <c r="G1577" s="42" t="s">
        <v>7</v>
      </c>
      <c r="H1577" s="42" t="s">
        <v>167</v>
      </c>
      <c r="I1577" s="42" t="s">
        <v>168</v>
      </c>
      <c r="J1577" s="10">
        <v>5500</v>
      </c>
      <c r="K1577" s="7">
        <v>-5500</v>
      </c>
      <c r="L1577" s="1" t="s">
        <v>532</v>
      </c>
      <c r="M1577" s="2" t="s">
        <v>1168</v>
      </c>
    </row>
    <row r="1578" spans="1:13">
      <c r="A1578" s="21" t="str">
        <f>TEXT(TEXT(B1578,"yyyymmdd"),"00000000")&amp;TEXT(COUNTIF($B$2:B1578,B1578),"00")</f>
        <v>2024072201</v>
      </c>
      <c r="B1578" s="21">
        <f t="shared" ref="B1578" si="189">DATE(C1578,D1578,E1578)</f>
        <v>45495</v>
      </c>
      <c r="C1578" s="22">
        <v>2024</v>
      </c>
      <c r="D1578" s="23">
        <v>7</v>
      </c>
      <c r="E1578" s="24">
        <v>22</v>
      </c>
      <c r="F1578" s="42" t="s">
        <v>17</v>
      </c>
      <c r="G1578" s="42" t="s">
        <v>7</v>
      </c>
      <c r="H1578" s="42" t="s">
        <v>110</v>
      </c>
      <c r="I1578" s="42" t="s">
        <v>122</v>
      </c>
      <c r="J1578" s="10">
        <v>1800</v>
      </c>
      <c r="K1578" s="7">
        <v>-1800</v>
      </c>
      <c r="L1578" s="1" t="s">
        <v>1169</v>
      </c>
      <c r="M1578" s="2" t="s">
        <v>1170</v>
      </c>
    </row>
    <row r="1579" spans="1:13">
      <c r="A1579" s="21" t="str">
        <f>TEXT(TEXT(B1579,"yyyymmdd"),"00000000")&amp;TEXT(COUNTIF($B$2:B1579,B1579),"00")</f>
        <v>2024072103</v>
      </c>
      <c r="B1579" s="21">
        <f t="shared" ref="B1579" si="190">DATE(C1579,D1579,E1579)</f>
        <v>45494</v>
      </c>
      <c r="C1579" s="22">
        <v>2024</v>
      </c>
      <c r="D1579" s="23">
        <v>7</v>
      </c>
      <c r="E1579" s="24">
        <v>21</v>
      </c>
      <c r="F1579" s="42" t="s">
        <v>17</v>
      </c>
      <c r="G1579" s="42" t="s">
        <v>7</v>
      </c>
      <c r="H1579" s="42" t="s">
        <v>167</v>
      </c>
      <c r="I1579" s="42" t="s">
        <v>168</v>
      </c>
      <c r="J1579" s="10">
        <v>2950</v>
      </c>
      <c r="K1579" s="7">
        <v>-2950</v>
      </c>
      <c r="L1579" s="1" t="s">
        <v>532</v>
      </c>
      <c r="M1579" s="2" t="s">
        <v>672</v>
      </c>
    </row>
    <row r="1580" spans="1:13">
      <c r="A1580" s="21" t="str">
        <f>TEXT(TEXT(B1580,"yyyymmdd"),"00000000")&amp;TEXT(COUNTIF($B$2:B1580,B1580),"00")</f>
        <v>2024072301</v>
      </c>
      <c r="B1580" s="21">
        <f t="shared" ref="B1580" si="191">DATE(C1580,D1580,E1580)</f>
        <v>45496</v>
      </c>
      <c r="C1580" s="22">
        <v>2024</v>
      </c>
      <c r="D1580" s="23">
        <v>7</v>
      </c>
      <c r="E1580" s="24">
        <v>23</v>
      </c>
      <c r="F1580" s="42" t="s">
        <v>17</v>
      </c>
      <c r="G1580" s="42" t="s">
        <v>7</v>
      </c>
      <c r="H1580" s="42" t="s">
        <v>138</v>
      </c>
      <c r="I1580" s="42" t="s">
        <v>197</v>
      </c>
      <c r="J1580" s="10">
        <v>7000</v>
      </c>
      <c r="K1580" s="7">
        <v>-7000</v>
      </c>
      <c r="L1580" s="1" t="s">
        <v>198</v>
      </c>
      <c r="M1580" s="2" t="s">
        <v>1171</v>
      </c>
    </row>
    <row r="1581" spans="1:13">
      <c r="A1581" s="21" t="str">
        <f>TEXT(TEXT(B1581,"yyyymmdd"),"00000000")&amp;TEXT(COUNTIF($B$2:B1581,B1581),"00")</f>
        <v>2024072801</v>
      </c>
      <c r="B1581" s="21">
        <f t="shared" ref="B1581" si="192">DATE(C1581,D1581,E1581)</f>
        <v>45501</v>
      </c>
      <c r="C1581" s="22">
        <v>2024</v>
      </c>
      <c r="D1581" s="23">
        <v>7</v>
      </c>
      <c r="E1581" s="24">
        <v>28</v>
      </c>
      <c r="F1581" s="42" t="s">
        <v>17</v>
      </c>
      <c r="G1581" s="42" t="s">
        <v>7</v>
      </c>
      <c r="H1581" s="42" t="s">
        <v>110</v>
      </c>
      <c r="I1581" s="42" t="s">
        <v>120</v>
      </c>
      <c r="J1581" s="10">
        <v>10000</v>
      </c>
      <c r="K1581" s="7">
        <v>-10000</v>
      </c>
      <c r="L1581" s="1" t="s">
        <v>480</v>
      </c>
    </row>
    <row r="1582" spans="1:13">
      <c r="A1582" s="21" t="str">
        <f>TEXT(TEXT(B1582,"yyyymmdd"),"00000000")&amp;TEXT(COUNTIF($B$2:B1582,B1582),"00")</f>
        <v>2024072802</v>
      </c>
      <c r="B1582" s="21">
        <f t="shared" ref="B1582" si="193">DATE(C1582,D1582,E1582)</f>
        <v>45501</v>
      </c>
      <c r="C1582" s="22">
        <v>2024</v>
      </c>
      <c r="D1582" s="23">
        <v>7</v>
      </c>
      <c r="E1582" s="24">
        <v>28</v>
      </c>
      <c r="F1582" s="42" t="s">
        <v>17</v>
      </c>
      <c r="G1582" s="42" t="s">
        <v>7</v>
      </c>
      <c r="H1582" s="42" t="s">
        <v>167</v>
      </c>
      <c r="I1582" s="42" t="s">
        <v>168</v>
      </c>
      <c r="J1582" s="10">
        <v>2950</v>
      </c>
      <c r="K1582" s="7">
        <v>-2950</v>
      </c>
      <c r="L1582" s="1" t="s">
        <v>532</v>
      </c>
      <c r="M1582" s="2" t="s">
        <v>672</v>
      </c>
    </row>
    <row r="1583" spans="1:13">
      <c r="A1583" s="21" t="str">
        <f>TEXT(TEXT(B1583,"yyyymmdd"),"00000000")&amp;TEXT(COUNTIF($B$2:B1583,B1583),"00")</f>
        <v>2024072901</v>
      </c>
      <c r="B1583" s="21">
        <f t="shared" ref="B1583" si="194">DATE(C1583,D1583,E1583)</f>
        <v>45502</v>
      </c>
      <c r="C1583" s="22">
        <v>2024</v>
      </c>
      <c r="D1583" s="23">
        <v>7</v>
      </c>
      <c r="E1583" s="24">
        <v>29</v>
      </c>
      <c r="F1583" s="42" t="s">
        <v>17</v>
      </c>
      <c r="G1583" s="42" t="s">
        <v>7</v>
      </c>
      <c r="H1583" s="42" t="s">
        <v>138</v>
      </c>
      <c r="I1583" s="42" t="s">
        <v>139</v>
      </c>
      <c r="J1583" s="10">
        <v>5000</v>
      </c>
      <c r="K1583" s="7">
        <v>-5000</v>
      </c>
      <c r="L1583" s="1" t="s">
        <v>1175</v>
      </c>
      <c r="M1583" s="2" t="s">
        <v>1176</v>
      </c>
    </row>
    <row r="1584" spans="1:13">
      <c r="A1584" s="21" t="str">
        <f>TEXT(TEXT(B1584,"yyyymmdd"),"00000000")&amp;TEXT(COUNTIF($B$2:B1584,B1584),"00")</f>
        <v>2024073001</v>
      </c>
      <c r="B1584" s="21">
        <f t="shared" ref="B1584" si="195">DATE(C1584,D1584,E1584)</f>
        <v>45503</v>
      </c>
      <c r="C1584" s="22">
        <v>2024</v>
      </c>
      <c r="D1584" s="23">
        <v>7</v>
      </c>
      <c r="E1584" s="24">
        <v>30</v>
      </c>
      <c r="F1584" s="42" t="s">
        <v>17</v>
      </c>
      <c r="G1584" s="42" t="s">
        <v>170</v>
      </c>
      <c r="H1584" s="42" t="s">
        <v>155</v>
      </c>
      <c r="I1584" s="42" t="s">
        <v>156</v>
      </c>
      <c r="J1584" s="10">
        <v>2891</v>
      </c>
      <c r="K1584" s="7">
        <v>-2891</v>
      </c>
      <c r="L1584" s="1" t="s">
        <v>303</v>
      </c>
    </row>
    <row r="1585" spans="1:13">
      <c r="A1585" s="21" t="str">
        <f>TEXT(TEXT(B1585,"yyyymmdd"),"00000000")&amp;TEXT(COUNTIF($B$2:B1585,B1585),"00")</f>
        <v>2024073002</v>
      </c>
      <c r="B1585" s="21">
        <f t="shared" ref="B1585" si="196">DATE(C1585,D1585,E1585)</f>
        <v>45503</v>
      </c>
      <c r="C1585" s="22">
        <v>2024</v>
      </c>
      <c r="D1585" s="23">
        <v>7</v>
      </c>
      <c r="E1585" s="24">
        <v>30</v>
      </c>
      <c r="F1585" s="42" t="s">
        <v>17</v>
      </c>
      <c r="G1585" s="42" t="s">
        <v>7</v>
      </c>
      <c r="H1585" s="42" t="s">
        <v>115</v>
      </c>
      <c r="I1585" s="42" t="s">
        <v>953</v>
      </c>
      <c r="J1585" s="10">
        <v>20000</v>
      </c>
      <c r="K1585" s="7">
        <v>-20000</v>
      </c>
      <c r="L1585" s="1" t="s">
        <v>954</v>
      </c>
    </row>
    <row r="1586" spans="1:13">
      <c r="A1586" s="21" t="str">
        <f>TEXT(TEXT(B1586,"yyyymmdd"),"00000000")&amp;TEXT(COUNTIF($B$2:B1586,B1586),"00")</f>
        <v>2024073003</v>
      </c>
      <c r="B1586" s="21">
        <f t="shared" ref="B1586" si="197">DATE(C1586,D1586,E1586)</f>
        <v>45503</v>
      </c>
      <c r="C1586" s="22">
        <v>2024</v>
      </c>
      <c r="D1586" s="23">
        <v>7</v>
      </c>
      <c r="E1586" s="24">
        <v>30</v>
      </c>
      <c r="F1586" s="42" t="s">
        <v>17</v>
      </c>
      <c r="G1586" s="42" t="s">
        <v>7</v>
      </c>
      <c r="H1586" s="42" t="s">
        <v>115</v>
      </c>
      <c r="I1586" s="42" t="s">
        <v>630</v>
      </c>
      <c r="J1586" s="10">
        <v>20000</v>
      </c>
      <c r="K1586" s="7">
        <v>-20000</v>
      </c>
      <c r="L1586" s="1" t="s">
        <v>956</v>
      </c>
    </row>
    <row r="1587" spans="1:13">
      <c r="A1587" s="21" t="str">
        <f>TEXT(TEXT(B1587,"yyyymmdd"),"00000000")&amp;TEXT(COUNTIF($B$2:B1587,B1587),"00")</f>
        <v>2024073004</v>
      </c>
      <c r="B1587" s="21">
        <f t="shared" ref="B1587" si="198">DATE(C1587,D1587,E1587)</f>
        <v>45503</v>
      </c>
      <c r="C1587" s="22">
        <v>2024</v>
      </c>
      <c r="D1587" s="23">
        <v>7</v>
      </c>
      <c r="E1587" s="24">
        <v>30</v>
      </c>
      <c r="F1587" s="42" t="s">
        <v>17</v>
      </c>
      <c r="G1587" s="42" t="s">
        <v>13</v>
      </c>
      <c r="H1587" s="42" t="s">
        <v>138</v>
      </c>
      <c r="I1587" s="42" t="s">
        <v>139</v>
      </c>
      <c r="J1587" s="10">
        <v>12500</v>
      </c>
      <c r="K1587" s="7">
        <v>-12500</v>
      </c>
      <c r="L1587" s="1" t="s">
        <v>661</v>
      </c>
    </row>
    <row r="1588" spans="1:13">
      <c r="A1588" s="21" t="str">
        <f>TEXT(TEXT(B1588,"yyyymmdd"),"00000000")&amp;TEXT(COUNTIF($B$2:B1588,B1588),"00")</f>
        <v>2024073005</v>
      </c>
      <c r="B1588" s="21">
        <f t="shared" ref="B1588" si="199">DATE(C1588,D1588,E1588)</f>
        <v>45503</v>
      </c>
      <c r="C1588" s="22">
        <v>2024</v>
      </c>
      <c r="D1588" s="23">
        <v>7</v>
      </c>
      <c r="E1588" s="24">
        <v>30</v>
      </c>
      <c r="F1588" s="42" t="s">
        <v>17</v>
      </c>
      <c r="G1588" s="42" t="s">
        <v>7</v>
      </c>
      <c r="H1588" s="42" t="s">
        <v>167</v>
      </c>
      <c r="I1588" s="42" t="s">
        <v>168</v>
      </c>
      <c r="J1588" s="10">
        <v>1100</v>
      </c>
      <c r="K1588" s="7">
        <v>-1100</v>
      </c>
      <c r="L1588" s="1" t="s">
        <v>532</v>
      </c>
      <c r="M1588" s="2" t="s">
        <v>763</v>
      </c>
    </row>
    <row r="1589" spans="1:13">
      <c r="A1589" s="21" t="str">
        <f>TEXT(TEXT(B1589,"yyyymmdd"),"00000000")&amp;TEXT(COUNTIF($B$2:B1589,B1589),"00")</f>
        <v>2024073101</v>
      </c>
      <c r="B1589" s="21">
        <f t="shared" ref="B1589" si="200">DATE(C1589,D1589,E1589)</f>
        <v>45504</v>
      </c>
      <c r="C1589" s="22">
        <v>2024</v>
      </c>
      <c r="D1589" s="23">
        <v>7</v>
      </c>
      <c r="E1589" s="24">
        <v>31</v>
      </c>
      <c r="F1589" s="42" t="s">
        <v>17</v>
      </c>
      <c r="G1589" s="42" t="s">
        <v>7</v>
      </c>
      <c r="H1589" s="42" t="s">
        <v>110</v>
      </c>
      <c r="I1589" s="42" t="s">
        <v>120</v>
      </c>
      <c r="J1589" s="10">
        <v>2800</v>
      </c>
      <c r="K1589" s="7">
        <v>-2800</v>
      </c>
      <c r="L1589" s="1" t="s">
        <v>1142</v>
      </c>
    </row>
    <row r="1590" spans="1:13">
      <c r="A1590" s="21" t="str">
        <f>TEXT(TEXT(B1590,"yyyymmdd"),"00000000")&amp;TEXT(COUNTIF($B$2:B1590,B1590),"00")</f>
        <v>2024073102</v>
      </c>
      <c r="B1590" s="21">
        <f t="shared" ref="B1590" si="201">DATE(C1590,D1590,E1590)</f>
        <v>45504</v>
      </c>
      <c r="C1590" s="22">
        <v>2024</v>
      </c>
      <c r="D1590" s="23">
        <v>7</v>
      </c>
      <c r="E1590" s="24">
        <v>31</v>
      </c>
      <c r="F1590" s="42" t="s">
        <v>17</v>
      </c>
      <c r="G1590" s="42" t="s">
        <v>7</v>
      </c>
      <c r="H1590" s="42" t="s">
        <v>119</v>
      </c>
      <c r="I1590" s="42" t="s">
        <v>180</v>
      </c>
      <c r="J1590" s="10">
        <v>2000</v>
      </c>
      <c r="K1590" s="7">
        <v>-2000</v>
      </c>
      <c r="L1590" s="1" t="s">
        <v>887</v>
      </c>
    </row>
    <row r="1591" spans="1:13">
      <c r="A1591" s="21" t="str">
        <f>TEXT(TEXT(B1591,"yyyymmdd"),"00000000")&amp;TEXT(COUNTIF($B$2:B1591,B1591),"00")</f>
        <v>2024073103</v>
      </c>
      <c r="B1591" s="21">
        <f t="shared" ref="B1591" si="202">DATE(C1591,D1591,E1591)</f>
        <v>45504</v>
      </c>
      <c r="C1591" s="22">
        <v>2024</v>
      </c>
      <c r="D1591" s="23">
        <v>7</v>
      </c>
      <c r="E1591" s="24">
        <v>31</v>
      </c>
      <c r="F1591" s="42" t="s">
        <v>17</v>
      </c>
      <c r="G1591" s="42" t="s">
        <v>7</v>
      </c>
      <c r="H1591" s="42" t="s">
        <v>138</v>
      </c>
      <c r="I1591" s="42" t="s">
        <v>139</v>
      </c>
      <c r="J1591" s="10">
        <v>4000</v>
      </c>
      <c r="K1591" s="7">
        <v>-4000</v>
      </c>
      <c r="L1591" s="1" t="s">
        <v>1177</v>
      </c>
    </row>
    <row r="1592" spans="1:13">
      <c r="A1592" s="21" t="str">
        <f>TEXT(TEXT(B1592,"yyyymmdd"),"00000000")&amp;TEXT(COUNTIF($B$2:B1592,B1592),"00")</f>
        <v>2024073104</v>
      </c>
      <c r="B1592" s="21">
        <f t="shared" ref="B1592" si="203">DATE(C1592,D1592,E1592)</f>
        <v>45504</v>
      </c>
      <c r="C1592" s="22">
        <v>2024</v>
      </c>
      <c r="D1592" s="23">
        <v>7</v>
      </c>
      <c r="E1592" s="24">
        <v>31</v>
      </c>
      <c r="F1592" s="42" t="s">
        <v>17</v>
      </c>
      <c r="G1592" s="42" t="s">
        <v>7</v>
      </c>
      <c r="H1592" s="42" t="s">
        <v>116</v>
      </c>
      <c r="I1592" s="42" t="s">
        <v>225</v>
      </c>
      <c r="J1592" s="10">
        <v>2000</v>
      </c>
      <c r="K1592" s="7">
        <v>-2000</v>
      </c>
      <c r="L1592" s="1" t="s">
        <v>1178</v>
      </c>
      <c r="M1592" s="2" t="s">
        <v>1179</v>
      </c>
    </row>
    <row r="1593" spans="1:13">
      <c r="A1593" s="21" t="str">
        <f>TEXT(TEXT(B1593,"yyyymmdd"),"00000000")&amp;TEXT(COUNTIF($B$2:B1593,B1593),"00")</f>
        <v>2024073105</v>
      </c>
      <c r="B1593" s="21">
        <f t="shared" ref="B1593" si="204">DATE(C1593,D1593,E1593)</f>
        <v>45504</v>
      </c>
      <c r="C1593" s="22">
        <v>2024</v>
      </c>
      <c r="D1593" s="23">
        <v>7</v>
      </c>
      <c r="E1593" s="24">
        <v>31</v>
      </c>
      <c r="F1593" s="42" t="s">
        <v>17</v>
      </c>
      <c r="G1593" s="42" t="s">
        <v>7</v>
      </c>
      <c r="H1593" s="42" t="s">
        <v>138</v>
      </c>
      <c r="I1593" s="42" t="s">
        <v>139</v>
      </c>
      <c r="J1593" s="10">
        <v>10900</v>
      </c>
      <c r="K1593" s="7">
        <v>-10900</v>
      </c>
      <c r="L1593" s="1" t="s">
        <v>1180</v>
      </c>
    </row>
    <row r="1594" spans="1:13">
      <c r="A1594" s="21" t="str">
        <f>TEXT(TEXT(B1594,"yyyymmdd"),"00000000")&amp;TEXT(COUNTIF($B$2:B1594,B1594),"00")</f>
        <v>2024073106</v>
      </c>
      <c r="B1594" s="21">
        <f t="shared" ref="B1594" si="205">DATE(C1594,D1594,E1594)</f>
        <v>45504</v>
      </c>
      <c r="C1594" s="22">
        <v>2024</v>
      </c>
      <c r="D1594" s="23">
        <v>7</v>
      </c>
      <c r="E1594" s="24">
        <v>31</v>
      </c>
      <c r="F1594" s="42" t="s">
        <v>17</v>
      </c>
      <c r="G1594" s="42" t="s">
        <v>7</v>
      </c>
      <c r="H1594" s="42" t="s">
        <v>167</v>
      </c>
      <c r="I1594" s="42" t="s">
        <v>168</v>
      </c>
      <c r="J1594" s="10">
        <v>5450</v>
      </c>
      <c r="K1594" s="7">
        <v>-5450</v>
      </c>
      <c r="L1594" s="1" t="s">
        <v>532</v>
      </c>
      <c r="M1594" s="2" t="s">
        <v>1181</v>
      </c>
    </row>
    <row r="1595" spans="1:13">
      <c r="A1595" s="21" t="str">
        <f>TEXT(TEXT(B1595,"yyyymmdd"),"00000000")&amp;TEXT(COUNTIF($B$2:B1595,B1595),"00")</f>
        <v>2024080101</v>
      </c>
      <c r="B1595" s="21">
        <f t="shared" ref="B1595" si="206">DATE(C1595,D1595,E1595)</f>
        <v>45505</v>
      </c>
      <c r="C1595" s="22">
        <v>2024</v>
      </c>
      <c r="D1595" s="23">
        <v>8</v>
      </c>
      <c r="E1595" s="24">
        <v>1</v>
      </c>
      <c r="F1595" s="42" t="s">
        <v>17</v>
      </c>
      <c r="G1595" s="42" t="s">
        <v>151</v>
      </c>
      <c r="H1595" s="42" t="s">
        <v>151</v>
      </c>
      <c r="I1595" s="42" t="s">
        <v>152</v>
      </c>
      <c r="J1595" s="10">
        <v>-600000</v>
      </c>
      <c r="K1595" s="7">
        <v>600000</v>
      </c>
      <c r="L1595" s="1" t="s">
        <v>252</v>
      </c>
    </row>
    <row r="1596" spans="1:13">
      <c r="A1596" s="21" t="str">
        <f>TEXT(TEXT(B1596,"yyyymmdd"),"00000000")&amp;TEXT(COUNTIF($B$2:B1596,B1596),"00")</f>
        <v>2024080102</v>
      </c>
      <c r="B1596" s="21">
        <f t="shared" ref="B1596" si="207">DATE(C1596,D1596,E1596)</f>
        <v>45505</v>
      </c>
      <c r="C1596" s="22">
        <v>2024</v>
      </c>
      <c r="D1596" s="23">
        <v>8</v>
      </c>
      <c r="E1596" s="24">
        <v>1</v>
      </c>
      <c r="F1596" s="42" t="s">
        <v>17</v>
      </c>
      <c r="G1596" s="42" t="s">
        <v>7</v>
      </c>
      <c r="H1596" s="42" t="s">
        <v>116</v>
      </c>
      <c r="I1596" s="42" t="s">
        <v>217</v>
      </c>
      <c r="J1596" s="10">
        <v>4500</v>
      </c>
      <c r="K1596" s="7">
        <v>-4500</v>
      </c>
      <c r="L1596" s="1" t="s">
        <v>1182</v>
      </c>
      <c r="M1596" s="2" t="s">
        <v>1183</v>
      </c>
    </row>
    <row r="1597" spans="1:13">
      <c r="A1597" s="21" t="str">
        <f>TEXT(TEXT(B1597,"yyyymmdd"),"00000000")&amp;TEXT(COUNTIF($B$2:B1597,B1597),"00")</f>
        <v>2024080103</v>
      </c>
      <c r="B1597" s="21">
        <f t="shared" ref="B1597" si="208">DATE(C1597,D1597,E1597)</f>
        <v>45505</v>
      </c>
      <c r="C1597" s="22">
        <v>2024</v>
      </c>
      <c r="D1597" s="23">
        <v>8</v>
      </c>
      <c r="E1597" s="24">
        <v>1</v>
      </c>
      <c r="F1597" s="42" t="s">
        <v>17</v>
      </c>
      <c r="G1597" s="42" t="s">
        <v>135</v>
      </c>
      <c r="H1597" s="42" t="s">
        <v>135</v>
      </c>
      <c r="I1597" s="42" t="s">
        <v>152</v>
      </c>
      <c r="J1597" s="10">
        <v>-100000</v>
      </c>
      <c r="K1597" s="7">
        <v>100000</v>
      </c>
      <c r="L1597" s="1" t="s">
        <v>1184</v>
      </c>
    </row>
    <row r="1598" spans="1:13">
      <c r="A1598" s="21" t="str">
        <f>TEXT(TEXT(B1598,"yyyymmdd"),"00000000")&amp;TEXT(COUNTIF($B$2:B1598,B1598),"00")</f>
        <v>2024080201</v>
      </c>
      <c r="B1598" s="21">
        <f t="shared" ref="B1598" si="209">DATE(C1598,D1598,E1598)</f>
        <v>45506</v>
      </c>
      <c r="C1598" s="22">
        <v>2024</v>
      </c>
      <c r="D1598" s="23">
        <v>8</v>
      </c>
      <c r="E1598" s="24">
        <v>2</v>
      </c>
      <c r="F1598" s="42" t="s">
        <v>17</v>
      </c>
      <c r="G1598" s="42" t="s">
        <v>7</v>
      </c>
      <c r="H1598" s="42" t="s">
        <v>112</v>
      </c>
      <c r="I1598" s="42" t="s">
        <v>1185</v>
      </c>
      <c r="J1598" s="10">
        <v>40100</v>
      </c>
      <c r="K1598" s="7">
        <v>-40100</v>
      </c>
      <c r="L1598" s="1" t="s">
        <v>1186</v>
      </c>
      <c r="M1598" s="2" t="s">
        <v>1187</v>
      </c>
    </row>
    <row r="1599" spans="1:13">
      <c r="A1599" s="21" t="str">
        <f>TEXT(TEXT(B1599,"yyyymmdd"),"00000000")&amp;TEXT(COUNTIF($B$2:B1599,B1599),"00")</f>
        <v>2024080202</v>
      </c>
      <c r="B1599" s="21">
        <f t="shared" ref="B1599" si="210">DATE(C1599,D1599,E1599)</f>
        <v>45506</v>
      </c>
      <c r="C1599" s="22">
        <v>2024</v>
      </c>
      <c r="D1599" s="23">
        <v>8</v>
      </c>
      <c r="E1599" s="24">
        <v>2</v>
      </c>
      <c r="F1599" s="42" t="s">
        <v>17</v>
      </c>
      <c r="G1599" s="42" t="s">
        <v>7</v>
      </c>
      <c r="H1599" s="42" t="s">
        <v>138</v>
      </c>
      <c r="I1599" s="42" t="s">
        <v>139</v>
      </c>
      <c r="J1599" s="10">
        <v>27000</v>
      </c>
      <c r="K1599" s="7">
        <v>-27000</v>
      </c>
      <c r="L1599" s="1" t="s">
        <v>1188</v>
      </c>
    </row>
    <row r="1600" spans="1:13">
      <c r="A1600" s="21" t="str">
        <f>TEXT(TEXT(B1600,"yyyymmdd"),"00000000")&amp;TEXT(COUNTIF($B$2:B1600,B1600),"00")</f>
        <v>2024080203</v>
      </c>
      <c r="B1600" s="21">
        <f t="shared" ref="B1600" si="211">DATE(C1600,D1600,E1600)</f>
        <v>45506</v>
      </c>
      <c r="C1600" s="22">
        <v>2024</v>
      </c>
      <c r="D1600" s="23">
        <v>8</v>
      </c>
      <c r="E1600" s="24">
        <v>2</v>
      </c>
      <c r="F1600" s="42" t="s">
        <v>17</v>
      </c>
      <c r="G1600" s="42" t="s">
        <v>7</v>
      </c>
      <c r="H1600" s="42" t="s">
        <v>138</v>
      </c>
      <c r="I1600" s="42" t="s">
        <v>139</v>
      </c>
      <c r="J1600" s="10">
        <v>19500</v>
      </c>
      <c r="K1600" s="7">
        <v>-19500</v>
      </c>
      <c r="L1600" s="1" t="s">
        <v>1189</v>
      </c>
      <c r="M1600" s="2" t="s">
        <v>1190</v>
      </c>
    </row>
    <row r="1601" spans="1:13">
      <c r="A1601" s="21" t="str">
        <f>TEXT(TEXT(B1601,"yyyymmdd"),"00000000")&amp;TEXT(COUNTIF($B$2:B1601,B1601),"00")</f>
        <v>2024080204</v>
      </c>
      <c r="B1601" s="21">
        <f t="shared" ref="B1601" si="212">DATE(C1601,D1601,E1601)</f>
        <v>45506</v>
      </c>
      <c r="C1601" s="22">
        <v>2024</v>
      </c>
      <c r="D1601" s="23">
        <v>8</v>
      </c>
      <c r="E1601" s="24">
        <v>2</v>
      </c>
      <c r="F1601" s="42" t="s">
        <v>17</v>
      </c>
      <c r="G1601" s="42" t="s">
        <v>7</v>
      </c>
      <c r="H1601" s="42" t="s">
        <v>110</v>
      </c>
      <c r="I1601" s="42" t="s">
        <v>120</v>
      </c>
      <c r="J1601" s="10">
        <v>2000</v>
      </c>
      <c r="K1601" s="7">
        <v>-2000</v>
      </c>
      <c r="L1601" s="1" t="s">
        <v>1191</v>
      </c>
      <c r="M1601" s="2" t="s">
        <v>1192</v>
      </c>
    </row>
    <row r="1602" spans="1:13">
      <c r="A1602" s="21" t="str">
        <f>TEXT(TEXT(B1602,"yyyymmdd"),"00000000")&amp;TEXT(COUNTIF($B$2:B1602,B1602),"00")</f>
        <v>2024080301</v>
      </c>
      <c r="B1602" s="21">
        <f t="shared" ref="B1602" si="213">DATE(C1602,D1602,E1602)</f>
        <v>45507</v>
      </c>
      <c r="C1602" s="22">
        <v>2024</v>
      </c>
      <c r="D1602" s="23">
        <v>8</v>
      </c>
      <c r="E1602" s="24">
        <v>3</v>
      </c>
      <c r="F1602" s="42" t="s">
        <v>17</v>
      </c>
      <c r="G1602" s="42" t="s">
        <v>7</v>
      </c>
      <c r="H1602" s="42" t="s">
        <v>119</v>
      </c>
      <c r="I1602" s="42" t="s">
        <v>180</v>
      </c>
      <c r="J1602" s="10">
        <v>22500</v>
      </c>
      <c r="K1602" s="7">
        <v>-22500</v>
      </c>
      <c r="L1602" s="1" t="s">
        <v>1087</v>
      </c>
    </row>
    <row r="1603" spans="1:13">
      <c r="A1603" s="21" t="str">
        <f>TEXT(TEXT(B1603,"yyyymmdd"),"00000000")&amp;TEXT(COUNTIF($B$2:B1603,B1603),"00")</f>
        <v>2024080302</v>
      </c>
      <c r="B1603" s="21">
        <f t="shared" ref="B1603" si="214">DATE(C1603,D1603,E1603)</f>
        <v>45507</v>
      </c>
      <c r="C1603" s="22">
        <v>2024</v>
      </c>
      <c r="D1603" s="23">
        <v>8</v>
      </c>
      <c r="E1603" s="24">
        <v>3</v>
      </c>
      <c r="F1603" s="42" t="s">
        <v>17</v>
      </c>
      <c r="G1603" s="42" t="s">
        <v>13</v>
      </c>
      <c r="H1603" s="42" t="s">
        <v>167</v>
      </c>
      <c r="I1603" s="42" t="s">
        <v>214</v>
      </c>
      <c r="J1603" s="10">
        <v>25440</v>
      </c>
      <c r="K1603" s="7">
        <v>-25440</v>
      </c>
      <c r="L1603" s="1" t="s">
        <v>957</v>
      </c>
    </row>
    <row r="1604" spans="1:13">
      <c r="A1604" s="21" t="str">
        <f>TEXT(TEXT(B1604,"yyyymmdd"),"00000000")&amp;TEXT(COUNTIF($B$2:B1604,B1604),"00")</f>
        <v>2024080401</v>
      </c>
      <c r="B1604" s="21">
        <f t="shared" ref="B1604" si="215">DATE(C1604,D1604,E1604)</f>
        <v>45508</v>
      </c>
      <c r="C1604" s="22">
        <v>2024</v>
      </c>
      <c r="D1604" s="23">
        <v>8</v>
      </c>
      <c r="E1604" s="24">
        <v>4</v>
      </c>
      <c r="F1604" s="42" t="s">
        <v>17</v>
      </c>
      <c r="G1604" s="42" t="s">
        <v>7</v>
      </c>
      <c r="H1604" s="42" t="s">
        <v>155</v>
      </c>
      <c r="I1604" s="42" t="s">
        <v>156</v>
      </c>
      <c r="J1604" s="10">
        <v>30616</v>
      </c>
      <c r="K1604" s="7">
        <v>-30616</v>
      </c>
      <c r="L1604" s="1" t="s">
        <v>1193</v>
      </c>
      <c r="M1604" s="2" t="s">
        <v>1194</v>
      </c>
    </row>
    <row r="1605" spans="1:13">
      <c r="A1605" s="21" t="str">
        <f>TEXT(TEXT(B1605,"yyyymmdd"),"00000000")&amp;TEXT(COUNTIF($B$2:B1605,B1605),"00")</f>
        <v>2024080402</v>
      </c>
      <c r="B1605" s="21">
        <f t="shared" ref="B1605" si="216">DATE(C1605,D1605,E1605)</f>
        <v>45508</v>
      </c>
      <c r="C1605" s="22">
        <v>2024</v>
      </c>
      <c r="D1605" s="23">
        <v>8</v>
      </c>
      <c r="E1605" s="24">
        <v>4</v>
      </c>
      <c r="F1605" s="42" t="s">
        <v>17</v>
      </c>
      <c r="G1605" s="42" t="s">
        <v>7</v>
      </c>
      <c r="H1605" s="42" t="s">
        <v>173</v>
      </c>
      <c r="I1605" s="42" t="s">
        <v>207</v>
      </c>
      <c r="J1605" s="10">
        <v>40850</v>
      </c>
      <c r="K1605" s="7">
        <v>-40850</v>
      </c>
      <c r="L1605" s="1" t="s">
        <v>208</v>
      </c>
    </row>
    <row r="1606" spans="1:13">
      <c r="A1606" s="21" t="str">
        <f>TEXT(TEXT(B1606,"yyyymmdd"),"00000000")&amp;TEXT(COUNTIF($B$2:B1606,B1606),"00")</f>
        <v>2024080501</v>
      </c>
      <c r="B1606" s="21">
        <f t="shared" ref="B1606" si="217">DATE(C1606,D1606,E1606)</f>
        <v>45509</v>
      </c>
      <c r="C1606" s="22">
        <v>2024</v>
      </c>
      <c r="D1606" s="23">
        <v>8</v>
      </c>
      <c r="E1606" s="24">
        <v>5</v>
      </c>
      <c r="F1606" s="42" t="s">
        <v>17</v>
      </c>
      <c r="G1606" s="42" t="s">
        <v>7</v>
      </c>
      <c r="H1606" s="42" t="s">
        <v>116</v>
      </c>
      <c r="I1606" s="42" t="s">
        <v>212</v>
      </c>
      <c r="J1606" s="10">
        <v>5000</v>
      </c>
      <c r="K1606" s="7">
        <v>-5000</v>
      </c>
      <c r="L1606" s="1" t="s">
        <v>230</v>
      </c>
    </row>
    <row r="1607" spans="1:13">
      <c r="A1607" s="21" t="str">
        <f>TEXT(TEXT(B1607,"yyyymmdd"),"00000000")&amp;TEXT(COUNTIF($B$2:B1607,B1607),"00")</f>
        <v>2024080601</v>
      </c>
      <c r="B1607" s="21">
        <f t="shared" ref="B1607" si="218">DATE(C1607,D1607,E1607)</f>
        <v>45510</v>
      </c>
      <c r="C1607" s="22">
        <v>2024</v>
      </c>
      <c r="D1607" s="23">
        <v>8</v>
      </c>
      <c r="E1607" s="24">
        <v>6</v>
      </c>
      <c r="F1607" s="42" t="s">
        <v>17</v>
      </c>
      <c r="G1607" s="42" t="s">
        <v>170</v>
      </c>
      <c r="H1607" s="42" t="s">
        <v>155</v>
      </c>
      <c r="I1607" s="42" t="s">
        <v>156</v>
      </c>
      <c r="J1607" s="10">
        <v>69</v>
      </c>
      <c r="K1607" s="7">
        <v>-69</v>
      </c>
      <c r="L1607" s="1" t="s">
        <v>1195</v>
      </c>
    </row>
    <row r="1608" spans="1:13">
      <c r="A1608" s="21" t="str">
        <f>TEXT(TEXT(B1608,"yyyymmdd"),"00000000")&amp;TEXT(COUNTIF($B$2:B1608,B1608),"00")</f>
        <v>2024080602</v>
      </c>
      <c r="B1608" s="21">
        <f t="shared" ref="B1608" si="219">DATE(C1608,D1608,E1608)</f>
        <v>45510</v>
      </c>
      <c r="C1608" s="22">
        <v>2024</v>
      </c>
      <c r="D1608" s="23">
        <v>8</v>
      </c>
      <c r="E1608" s="24">
        <v>6</v>
      </c>
      <c r="F1608" s="42" t="s">
        <v>17</v>
      </c>
      <c r="G1608" s="42" t="s">
        <v>7</v>
      </c>
      <c r="H1608" s="42" t="s">
        <v>173</v>
      </c>
      <c r="I1608" s="42" t="s">
        <v>174</v>
      </c>
      <c r="J1608" s="10">
        <v>1840</v>
      </c>
      <c r="K1608" s="7">
        <v>-1840</v>
      </c>
      <c r="L1608" s="1" t="s">
        <v>694</v>
      </c>
    </row>
    <row r="1609" spans="1:13">
      <c r="A1609" s="21" t="str">
        <f>TEXT(TEXT(B1609,"yyyymmdd"),"00000000")&amp;TEXT(COUNTIF($B$2:B1609,B1609),"00")</f>
        <v>2024080603</v>
      </c>
      <c r="B1609" s="21">
        <f t="shared" ref="B1609" si="220">DATE(C1609,D1609,E1609)</f>
        <v>45510</v>
      </c>
      <c r="C1609" s="22">
        <v>2024</v>
      </c>
      <c r="D1609" s="23">
        <v>8</v>
      </c>
      <c r="E1609" s="24">
        <v>6</v>
      </c>
      <c r="F1609" s="42" t="s">
        <v>17</v>
      </c>
      <c r="G1609" s="42" t="s">
        <v>13</v>
      </c>
      <c r="H1609" s="42" t="s">
        <v>113</v>
      </c>
      <c r="I1609" s="42" t="s">
        <v>171</v>
      </c>
      <c r="J1609" s="10">
        <v>15000</v>
      </c>
      <c r="K1609" s="7">
        <v>-15000</v>
      </c>
      <c r="L1609" s="1" t="s">
        <v>502</v>
      </c>
    </row>
    <row r="1610" spans="1:13">
      <c r="A1610" s="21" t="str">
        <f>TEXT(TEXT(B1610,"yyyymmdd"),"00000000")&amp;TEXT(COUNTIF($B$2:B1610,B1610),"00")</f>
        <v>2024080701</v>
      </c>
      <c r="B1610" s="21">
        <f t="shared" ref="B1610" si="221">DATE(C1610,D1610,E1610)</f>
        <v>45511</v>
      </c>
      <c r="C1610" s="22">
        <v>2024</v>
      </c>
      <c r="D1610" s="23">
        <v>8</v>
      </c>
      <c r="E1610" s="24">
        <v>7</v>
      </c>
      <c r="F1610" s="42" t="s">
        <v>17</v>
      </c>
      <c r="G1610" s="42" t="s">
        <v>13</v>
      </c>
      <c r="H1610" s="42" t="s">
        <v>138</v>
      </c>
      <c r="I1610" s="42" t="s">
        <v>139</v>
      </c>
      <c r="J1610" s="10">
        <v>7500</v>
      </c>
      <c r="K1610" s="7">
        <v>-7500</v>
      </c>
      <c r="L1610" s="1" t="s">
        <v>693</v>
      </c>
    </row>
    <row r="1611" spans="1:13">
      <c r="A1611" s="21" t="str">
        <f>TEXT(TEXT(B1611,"yyyymmdd"),"00000000")&amp;TEXT(COUNTIF($B$2:B1611,B1611),"00")</f>
        <v>2024080702</v>
      </c>
      <c r="B1611" s="21">
        <f t="shared" ref="B1611" si="222">DATE(C1611,D1611,E1611)</f>
        <v>45511</v>
      </c>
      <c r="C1611" s="22">
        <v>2024</v>
      </c>
      <c r="D1611" s="23">
        <v>8</v>
      </c>
      <c r="E1611" s="24">
        <v>7</v>
      </c>
      <c r="F1611" s="42" t="s">
        <v>17</v>
      </c>
      <c r="G1611" s="42" t="s">
        <v>7</v>
      </c>
      <c r="H1611" s="42" t="s">
        <v>167</v>
      </c>
      <c r="I1611" s="42" t="s">
        <v>168</v>
      </c>
      <c r="J1611" s="10">
        <v>300</v>
      </c>
      <c r="K1611" s="7">
        <v>-300</v>
      </c>
      <c r="L1611" s="1" t="s">
        <v>748</v>
      </c>
      <c r="M1611" s="2" t="s">
        <v>1196</v>
      </c>
    </row>
    <row r="1612" spans="1:13">
      <c r="A1612" s="21" t="str">
        <f>TEXT(TEXT(B1612,"yyyymmdd"),"00000000")&amp;TEXT(COUNTIF($B$2:B1612,B1612),"00")</f>
        <v>2024080801</v>
      </c>
      <c r="B1612" s="21">
        <f t="shared" ref="B1612" si="223">DATE(C1612,D1612,E1612)</f>
        <v>45512</v>
      </c>
      <c r="C1612" s="22">
        <v>2024</v>
      </c>
      <c r="D1612" s="23">
        <v>8</v>
      </c>
      <c r="E1612" s="24">
        <v>8</v>
      </c>
      <c r="F1612" s="42" t="s">
        <v>17</v>
      </c>
      <c r="G1612" s="42" t="s">
        <v>13</v>
      </c>
      <c r="H1612" s="42" t="s">
        <v>138</v>
      </c>
      <c r="I1612" s="42" t="s">
        <v>139</v>
      </c>
      <c r="J1612" s="10">
        <v>11000</v>
      </c>
      <c r="K1612" s="7">
        <v>-11000</v>
      </c>
      <c r="L1612" s="1" t="s">
        <v>1197</v>
      </c>
    </row>
    <row r="1613" spans="1:13">
      <c r="A1613" s="21" t="str">
        <f>TEXT(TEXT(B1613,"yyyymmdd"),"00000000")&amp;TEXT(COUNTIF($B$2:B1613,B1613),"00")</f>
        <v>2024080802</v>
      </c>
      <c r="B1613" s="21">
        <f t="shared" ref="B1613" si="224">DATE(C1613,D1613,E1613)</f>
        <v>45512</v>
      </c>
      <c r="C1613" s="22">
        <v>2024</v>
      </c>
      <c r="D1613" s="23">
        <v>8</v>
      </c>
      <c r="E1613" s="24">
        <v>8</v>
      </c>
      <c r="F1613" s="42" t="s">
        <v>17</v>
      </c>
      <c r="G1613" s="42" t="s">
        <v>13</v>
      </c>
      <c r="H1613" s="42" t="s">
        <v>167</v>
      </c>
      <c r="I1613" s="42" t="s">
        <v>214</v>
      </c>
      <c r="J1613" s="10">
        <v>15060</v>
      </c>
      <c r="K1613" s="7">
        <v>-15060</v>
      </c>
      <c r="L1613" s="1" t="s">
        <v>957</v>
      </c>
    </row>
    <row r="1614" spans="1:13">
      <c r="A1614" s="21" t="str">
        <f>TEXT(TEXT(B1614,"yyyymmdd"),"00000000")&amp;TEXT(COUNTIF($B$2:B1614,B1614),"00")</f>
        <v>2024080803</v>
      </c>
      <c r="B1614" s="21">
        <f t="shared" ref="B1614" si="225">DATE(C1614,D1614,E1614)</f>
        <v>45512</v>
      </c>
      <c r="C1614" s="22">
        <v>2024</v>
      </c>
      <c r="D1614" s="23">
        <v>8</v>
      </c>
      <c r="E1614" s="24">
        <v>8</v>
      </c>
      <c r="F1614" s="42" t="s">
        <v>17</v>
      </c>
      <c r="G1614" s="42" t="s">
        <v>170</v>
      </c>
      <c r="H1614" s="42" t="s">
        <v>114</v>
      </c>
      <c r="I1614" s="42" t="s">
        <v>1007</v>
      </c>
      <c r="J1614" s="10">
        <v>12140</v>
      </c>
      <c r="K1614" s="7">
        <v>-12140</v>
      </c>
      <c r="L1614" s="1" t="s">
        <v>1023</v>
      </c>
    </row>
    <row r="1615" spans="1:13">
      <c r="A1615" s="21" t="str">
        <f>TEXT(TEXT(B1615,"yyyymmdd"),"00000000")&amp;TEXT(COUNTIF($B$2:B1615,B1615),"00")</f>
        <v>2024080901</v>
      </c>
      <c r="B1615" s="21">
        <f t="shared" ref="B1615" si="226">DATE(C1615,D1615,E1615)</f>
        <v>45513</v>
      </c>
      <c r="C1615" s="22">
        <v>2024</v>
      </c>
      <c r="D1615" s="23">
        <v>8</v>
      </c>
      <c r="E1615" s="24">
        <v>9</v>
      </c>
      <c r="F1615" s="42" t="s">
        <v>17</v>
      </c>
      <c r="G1615" s="42" t="s">
        <v>7</v>
      </c>
      <c r="H1615" s="42" t="s">
        <v>138</v>
      </c>
      <c r="I1615" s="42" t="s">
        <v>139</v>
      </c>
      <c r="J1615" s="10">
        <v>13150</v>
      </c>
      <c r="K1615" s="7">
        <v>-13150</v>
      </c>
      <c r="L1615" s="1" t="s">
        <v>867</v>
      </c>
    </row>
    <row r="1616" spans="1:13">
      <c r="A1616" s="21" t="str">
        <f>TEXT(TEXT(B1616,"yyyymmdd"),"00000000")&amp;TEXT(COUNTIF($B$2:B1616,B1616),"00")</f>
        <v>2024080902</v>
      </c>
      <c r="B1616" s="21">
        <f t="shared" ref="B1616" si="227">DATE(C1616,D1616,E1616)</f>
        <v>45513</v>
      </c>
      <c r="C1616" s="22">
        <v>2024</v>
      </c>
      <c r="D1616" s="23">
        <v>8</v>
      </c>
      <c r="E1616" s="24">
        <v>9</v>
      </c>
      <c r="F1616" s="42" t="s">
        <v>17</v>
      </c>
      <c r="G1616" s="42" t="s">
        <v>7</v>
      </c>
      <c r="H1616" s="42" t="s">
        <v>110</v>
      </c>
      <c r="I1616" s="42" t="s">
        <v>120</v>
      </c>
      <c r="J1616" s="10">
        <v>5500</v>
      </c>
      <c r="K1616" s="7">
        <v>-5500</v>
      </c>
      <c r="L1616" s="1" t="s">
        <v>769</v>
      </c>
    </row>
    <row r="1617" spans="1:13">
      <c r="A1617" s="21" t="str">
        <f>TEXT(TEXT(B1617,"yyyymmdd"),"00000000")&amp;TEXT(COUNTIF($B$2:B1617,B1617),"00")</f>
        <v>2024080903</v>
      </c>
      <c r="B1617" s="21">
        <f t="shared" ref="B1617" si="228">DATE(C1617,D1617,E1617)</f>
        <v>45513</v>
      </c>
      <c r="C1617" s="22">
        <v>2024</v>
      </c>
      <c r="D1617" s="23">
        <v>8</v>
      </c>
      <c r="E1617" s="24">
        <v>9</v>
      </c>
      <c r="F1617" s="42" t="s">
        <v>17</v>
      </c>
      <c r="G1617" s="42" t="s">
        <v>7</v>
      </c>
      <c r="H1617" s="42" t="s">
        <v>138</v>
      </c>
      <c r="I1617" s="42" t="s">
        <v>139</v>
      </c>
      <c r="J1617" s="10">
        <v>13750</v>
      </c>
      <c r="K1617" s="7">
        <v>-13750</v>
      </c>
      <c r="L1617" s="1" t="s">
        <v>1198</v>
      </c>
    </row>
    <row r="1618" spans="1:13">
      <c r="A1618" s="21" t="str">
        <f>TEXT(TEXT(B1618,"yyyymmdd"),"00000000")&amp;TEXT(COUNTIF($B$2:B1618,B1618),"00")</f>
        <v>2024080904</v>
      </c>
      <c r="B1618" s="21">
        <f t="shared" ref="B1618" si="229">DATE(C1618,D1618,E1618)</f>
        <v>45513</v>
      </c>
      <c r="C1618" s="22">
        <v>2024</v>
      </c>
      <c r="D1618" s="23">
        <v>8</v>
      </c>
      <c r="E1618" s="24">
        <v>9</v>
      </c>
      <c r="F1618" s="42" t="s">
        <v>17</v>
      </c>
      <c r="G1618" s="42" t="s">
        <v>7</v>
      </c>
      <c r="H1618" s="42" t="s">
        <v>116</v>
      </c>
      <c r="I1618" s="42" t="s">
        <v>225</v>
      </c>
      <c r="J1618" s="10">
        <v>5000</v>
      </c>
      <c r="K1618" s="7">
        <v>-5000</v>
      </c>
      <c r="L1618" s="1" t="s">
        <v>1199</v>
      </c>
    </row>
    <row r="1619" spans="1:13">
      <c r="A1619" s="21" t="str">
        <f>TEXT(TEXT(B1619,"yyyymmdd"),"00000000")&amp;TEXT(COUNTIF($B$2:B1619,B1619),"00")</f>
        <v>2024081001</v>
      </c>
      <c r="B1619" s="21">
        <f t="shared" ref="B1619" si="230">DATE(C1619,D1619,E1619)</f>
        <v>45514</v>
      </c>
      <c r="C1619" s="22">
        <v>2024</v>
      </c>
      <c r="D1619" s="23">
        <v>8</v>
      </c>
      <c r="E1619" s="24">
        <v>10</v>
      </c>
      <c r="F1619" s="42" t="s">
        <v>17</v>
      </c>
      <c r="G1619" s="42" t="s">
        <v>135</v>
      </c>
      <c r="H1619" s="42" t="s">
        <v>135</v>
      </c>
      <c r="I1619" s="42" t="s">
        <v>190</v>
      </c>
      <c r="J1619" s="10">
        <v>-125</v>
      </c>
      <c r="K1619" s="7">
        <v>125</v>
      </c>
      <c r="L1619" s="1" t="s">
        <v>210</v>
      </c>
    </row>
    <row r="1620" spans="1:13">
      <c r="A1620" s="21" t="str">
        <f>TEXT(TEXT(B1620,"yyyymmdd"),"00000000")&amp;TEXT(COUNTIF($B$2:B1620,B1620),"00")</f>
        <v>2024081002</v>
      </c>
      <c r="B1620" s="21">
        <f t="shared" ref="B1620" si="231">DATE(C1620,D1620,E1620)</f>
        <v>45514</v>
      </c>
      <c r="C1620" s="22">
        <v>2024</v>
      </c>
      <c r="D1620" s="23">
        <v>8</v>
      </c>
      <c r="E1620" s="24">
        <v>10</v>
      </c>
      <c r="F1620" s="42" t="s">
        <v>17</v>
      </c>
      <c r="G1620" s="42" t="s">
        <v>7</v>
      </c>
      <c r="H1620" s="42" t="s">
        <v>119</v>
      </c>
      <c r="I1620" s="42" t="s">
        <v>180</v>
      </c>
      <c r="J1620" s="10">
        <v>4900</v>
      </c>
      <c r="K1620" s="7">
        <v>-4900</v>
      </c>
      <c r="L1620" s="1" t="s">
        <v>181</v>
      </c>
      <c r="M1620" s="2" t="s">
        <v>1200</v>
      </c>
    </row>
    <row r="1621" spans="1:13">
      <c r="A1621" s="21" t="str">
        <f>TEXT(TEXT(B1621,"yyyymmdd"),"00000000")&amp;TEXT(COUNTIF($B$2:B1621,B1621),"00")</f>
        <v>2024081301</v>
      </c>
      <c r="B1621" s="21">
        <f t="shared" ref="B1621" si="232">DATE(C1621,D1621,E1621)</f>
        <v>45517</v>
      </c>
      <c r="C1621" s="22">
        <v>2024</v>
      </c>
      <c r="D1621" s="23">
        <v>8</v>
      </c>
      <c r="E1621" s="24">
        <v>13</v>
      </c>
      <c r="F1621" s="42" t="s">
        <v>17</v>
      </c>
      <c r="G1621" s="42" t="s">
        <v>7</v>
      </c>
      <c r="H1621" s="42" t="s">
        <v>116</v>
      </c>
      <c r="I1621" s="42" t="s">
        <v>404</v>
      </c>
      <c r="J1621" s="10">
        <v>4000</v>
      </c>
      <c r="K1621" s="7">
        <v>-4000</v>
      </c>
      <c r="L1621" s="1" t="s">
        <v>1201</v>
      </c>
      <c r="M1621" s="2" t="s">
        <v>1202</v>
      </c>
    </row>
    <row r="1622" spans="1:13">
      <c r="A1622" s="21" t="str">
        <f>TEXT(TEXT(B1622,"yyyymmdd"),"00000000")&amp;TEXT(COUNTIF($B$2:B1622,B1622),"00")</f>
        <v>2024081401</v>
      </c>
      <c r="B1622" s="21">
        <f t="shared" ref="B1622" si="233">DATE(C1622,D1622,E1622)</f>
        <v>45518</v>
      </c>
      <c r="C1622" s="22">
        <v>2024</v>
      </c>
      <c r="D1622" s="23">
        <v>8</v>
      </c>
      <c r="E1622" s="24">
        <v>14</v>
      </c>
      <c r="F1622" s="42" t="s">
        <v>17</v>
      </c>
      <c r="G1622" s="42" t="s">
        <v>13</v>
      </c>
      <c r="H1622" s="42" t="s">
        <v>138</v>
      </c>
      <c r="I1622" s="42" t="s">
        <v>139</v>
      </c>
      <c r="J1622" s="10">
        <v>7000</v>
      </c>
      <c r="K1622" s="7">
        <v>-7000</v>
      </c>
      <c r="L1622" s="1" t="s">
        <v>300</v>
      </c>
    </row>
    <row r="1623" spans="1:13">
      <c r="A1623" s="21" t="str">
        <f>TEXT(TEXT(B1623,"yyyymmdd"),"00000000")&amp;TEXT(COUNTIF($B$2:B1623,B1623),"00")</f>
        <v>2024081402</v>
      </c>
      <c r="B1623" s="21">
        <f t="shared" ref="B1623" si="234">DATE(C1623,D1623,E1623)</f>
        <v>45518</v>
      </c>
      <c r="C1623" s="22">
        <v>2024</v>
      </c>
      <c r="D1623" s="23">
        <v>8</v>
      </c>
      <c r="E1623" s="24">
        <v>14</v>
      </c>
      <c r="F1623" s="42" t="s">
        <v>17</v>
      </c>
      <c r="G1623" s="42" t="s">
        <v>7</v>
      </c>
      <c r="H1623" s="42" t="s">
        <v>167</v>
      </c>
      <c r="I1623" s="42" t="s">
        <v>168</v>
      </c>
      <c r="J1623" s="10">
        <v>3200</v>
      </c>
      <c r="K1623" s="7">
        <v>-3200</v>
      </c>
      <c r="L1623" s="1" t="s">
        <v>532</v>
      </c>
      <c r="M1623" s="2" t="s">
        <v>1203</v>
      </c>
    </row>
    <row r="1624" spans="1:13">
      <c r="A1624" s="21" t="str">
        <f>TEXT(TEXT(B1624,"yyyymmdd"),"00000000")&amp;TEXT(COUNTIF($B$2:B1624,B1624),"00")</f>
        <v>2024081701</v>
      </c>
      <c r="B1624" s="21">
        <f t="shared" ref="B1624" si="235">DATE(C1624,D1624,E1624)</f>
        <v>45521</v>
      </c>
      <c r="C1624" s="22">
        <v>2024</v>
      </c>
      <c r="D1624" s="23">
        <v>8</v>
      </c>
      <c r="E1624" s="24">
        <v>17</v>
      </c>
      <c r="F1624" s="42" t="s">
        <v>17</v>
      </c>
      <c r="G1624" s="42" t="s">
        <v>7</v>
      </c>
      <c r="H1624" s="42" t="s">
        <v>116</v>
      </c>
      <c r="I1624" s="42" t="s">
        <v>217</v>
      </c>
      <c r="J1624" s="10">
        <v>19500</v>
      </c>
      <c r="K1624" s="7">
        <v>-19500</v>
      </c>
      <c r="L1624" s="1" t="s">
        <v>218</v>
      </c>
    </row>
    <row r="1625" spans="1:13">
      <c r="A1625" s="21" t="str">
        <f>TEXT(TEXT(B1625,"yyyymmdd"),"00000000")&amp;TEXT(COUNTIF($B$2:B1625,B1625),"00")</f>
        <v>2024082001</v>
      </c>
      <c r="B1625" s="21">
        <f t="shared" ref="B1625" si="236">DATE(C1625,D1625,E1625)</f>
        <v>45524</v>
      </c>
      <c r="C1625" s="22">
        <v>2024</v>
      </c>
      <c r="D1625" s="23">
        <v>8</v>
      </c>
      <c r="E1625" s="24">
        <v>20</v>
      </c>
      <c r="F1625" s="42" t="s">
        <v>17</v>
      </c>
      <c r="G1625" s="42" t="s">
        <v>7</v>
      </c>
      <c r="H1625" s="42" t="s">
        <v>115</v>
      </c>
      <c r="I1625" s="42" t="s">
        <v>630</v>
      </c>
      <c r="J1625" s="10">
        <v>8000</v>
      </c>
      <c r="K1625" s="7">
        <v>-8000</v>
      </c>
      <c r="L1625" s="1" t="s">
        <v>631</v>
      </c>
    </row>
    <row r="1626" spans="1:13">
      <c r="A1626" s="21" t="str">
        <f>TEXT(TEXT(B1626,"yyyymmdd"),"00000000")&amp;TEXT(COUNTIF($B$2:B1626,B1626),"00")</f>
        <v>2024082002</v>
      </c>
      <c r="B1626" s="21">
        <f t="shared" ref="B1626" si="237">DATE(C1626,D1626,E1626)</f>
        <v>45524</v>
      </c>
      <c r="C1626" s="22">
        <v>2024</v>
      </c>
      <c r="D1626" s="23">
        <v>8</v>
      </c>
      <c r="E1626" s="24">
        <v>20</v>
      </c>
      <c r="F1626" s="42" t="s">
        <v>17</v>
      </c>
      <c r="G1626" s="42" t="s">
        <v>13</v>
      </c>
      <c r="H1626" s="42" t="s">
        <v>138</v>
      </c>
      <c r="I1626" s="42" t="s">
        <v>139</v>
      </c>
      <c r="J1626" s="10">
        <v>4700</v>
      </c>
      <c r="K1626" s="7">
        <v>-4700</v>
      </c>
      <c r="L1626" s="1" t="s">
        <v>300</v>
      </c>
    </row>
    <row r="1627" spans="1:13">
      <c r="A1627" s="21" t="str">
        <f>TEXT(TEXT(B1627,"yyyymmdd"),"00000000")&amp;TEXT(COUNTIF($B$2:B1627,B1627),"00")</f>
        <v>2024082003</v>
      </c>
      <c r="B1627" s="21">
        <f t="shared" ref="B1627" si="238">DATE(C1627,D1627,E1627)</f>
        <v>45524</v>
      </c>
      <c r="C1627" s="22">
        <v>2024</v>
      </c>
      <c r="D1627" s="23">
        <v>8</v>
      </c>
      <c r="E1627" s="24">
        <v>20</v>
      </c>
      <c r="F1627" s="42" t="s">
        <v>17</v>
      </c>
      <c r="G1627" s="42" t="s">
        <v>13</v>
      </c>
      <c r="H1627" s="42" t="s">
        <v>167</v>
      </c>
      <c r="I1627" s="42" t="s">
        <v>214</v>
      </c>
      <c r="J1627" s="10">
        <v>13240</v>
      </c>
      <c r="K1627" s="7">
        <v>-13240</v>
      </c>
      <c r="L1627" s="1" t="s">
        <v>957</v>
      </c>
    </row>
    <row r="1628" spans="1:13">
      <c r="A1628" s="21" t="str">
        <f>TEXT(TEXT(B1628,"yyyymmdd"),"00000000")&amp;TEXT(COUNTIF($B$2:B1628,B1628),"00")</f>
        <v>2024082101</v>
      </c>
      <c r="B1628" s="21">
        <f t="shared" ref="B1628" si="239">DATE(C1628,D1628,E1628)</f>
        <v>45525</v>
      </c>
      <c r="C1628" s="22">
        <v>2024</v>
      </c>
      <c r="D1628" s="23">
        <v>8</v>
      </c>
      <c r="E1628" s="24">
        <v>21</v>
      </c>
      <c r="F1628" s="42" t="s">
        <v>17</v>
      </c>
      <c r="G1628" s="42" t="s">
        <v>7</v>
      </c>
      <c r="H1628" s="42" t="s">
        <v>116</v>
      </c>
      <c r="I1628" s="42" t="s">
        <v>217</v>
      </c>
      <c r="J1628" s="10">
        <v>1500</v>
      </c>
      <c r="K1628" s="7">
        <v>-1500</v>
      </c>
      <c r="L1628" s="1" t="s">
        <v>218</v>
      </c>
    </row>
    <row r="1629" spans="1:13">
      <c r="A1629" s="21" t="str">
        <f>TEXT(TEXT(B1629,"yyyymmdd"),"00000000")&amp;TEXT(COUNTIF($B$2:B1629,B1629),"00")</f>
        <v>2024082102</v>
      </c>
      <c r="B1629" s="21">
        <f t="shared" ref="B1629" si="240">DATE(C1629,D1629,E1629)</f>
        <v>45525</v>
      </c>
      <c r="C1629" s="22">
        <v>2024</v>
      </c>
      <c r="D1629" s="23">
        <v>8</v>
      </c>
      <c r="E1629" s="24">
        <v>21</v>
      </c>
      <c r="F1629" s="42" t="s">
        <v>17</v>
      </c>
      <c r="G1629" s="42" t="s">
        <v>7</v>
      </c>
      <c r="H1629" s="42" t="s">
        <v>167</v>
      </c>
      <c r="I1629" s="42" t="s">
        <v>608</v>
      </c>
      <c r="J1629" s="10">
        <v>6500</v>
      </c>
      <c r="K1629" s="7">
        <v>-6500</v>
      </c>
      <c r="L1629" s="1" t="s">
        <v>1204</v>
      </c>
      <c r="M1629" s="2" t="s">
        <v>1205</v>
      </c>
    </row>
    <row r="1630" spans="1:13">
      <c r="A1630" s="21" t="str">
        <f>TEXT(TEXT(B1630,"yyyymmdd"),"00000000")&amp;TEXT(COUNTIF($B$2:B1630,B1630),"00")</f>
        <v>2024082103</v>
      </c>
      <c r="B1630" s="21">
        <f t="shared" ref="B1630" si="241">DATE(C1630,D1630,E1630)</f>
        <v>45525</v>
      </c>
      <c r="C1630" s="22">
        <v>2024</v>
      </c>
      <c r="D1630" s="23">
        <v>8</v>
      </c>
      <c r="E1630" s="24">
        <v>21</v>
      </c>
      <c r="F1630" s="42" t="s">
        <v>17</v>
      </c>
      <c r="G1630" s="42" t="s">
        <v>7</v>
      </c>
      <c r="H1630" s="42" t="s">
        <v>138</v>
      </c>
      <c r="I1630" s="42" t="s">
        <v>139</v>
      </c>
      <c r="J1630" s="10">
        <v>12900</v>
      </c>
      <c r="K1630" s="7">
        <v>-12900</v>
      </c>
      <c r="L1630" s="1" t="s">
        <v>867</v>
      </c>
    </row>
    <row r="1631" spans="1:13">
      <c r="A1631" s="21" t="str">
        <f>TEXT(TEXT(B1631,"yyyymmdd"),"00000000")&amp;TEXT(COUNTIF($B$2:B1631,B1631),"00")</f>
        <v>2024082104</v>
      </c>
      <c r="B1631" s="21">
        <f t="shared" ref="B1631" si="242">DATE(C1631,D1631,E1631)</f>
        <v>45525</v>
      </c>
      <c r="C1631" s="22">
        <v>2024</v>
      </c>
      <c r="D1631" s="23">
        <v>8</v>
      </c>
      <c r="E1631" s="24">
        <v>21</v>
      </c>
      <c r="F1631" s="42" t="s">
        <v>17</v>
      </c>
      <c r="G1631" s="42" t="s">
        <v>7</v>
      </c>
      <c r="H1631" s="42" t="s">
        <v>116</v>
      </c>
      <c r="I1631" s="42" t="s">
        <v>212</v>
      </c>
      <c r="J1631" s="10">
        <v>3000</v>
      </c>
      <c r="K1631" s="7">
        <v>-3000</v>
      </c>
      <c r="L1631" s="1" t="s">
        <v>1206</v>
      </c>
    </row>
    <row r="1632" spans="1:13">
      <c r="A1632" s="21" t="str">
        <f>TEXT(TEXT(B1632,"yyyymmdd"),"00000000")&amp;TEXT(COUNTIF($B$2:B1632,B1632),"00")</f>
        <v>2024082105</v>
      </c>
      <c r="B1632" s="21">
        <f t="shared" ref="B1632" si="243">DATE(C1632,D1632,E1632)</f>
        <v>45525</v>
      </c>
      <c r="C1632" s="22">
        <v>2024</v>
      </c>
      <c r="D1632" s="23">
        <v>8</v>
      </c>
      <c r="E1632" s="24">
        <v>21</v>
      </c>
      <c r="F1632" s="42" t="s">
        <v>17</v>
      </c>
      <c r="G1632" s="42" t="s">
        <v>7</v>
      </c>
      <c r="H1632" s="42" t="s">
        <v>110</v>
      </c>
      <c r="I1632" s="42" t="s">
        <v>124</v>
      </c>
      <c r="J1632" s="10">
        <v>5300</v>
      </c>
      <c r="K1632" s="7">
        <v>-5300</v>
      </c>
      <c r="L1632" s="1" t="s">
        <v>800</v>
      </c>
    </row>
    <row r="1633" spans="1:13">
      <c r="A1633" s="21" t="str">
        <f>TEXT(TEXT(B1633,"yyyymmdd"),"00000000")&amp;TEXT(COUNTIF($B$2:B1633,B1633),"00")</f>
        <v>2024082106</v>
      </c>
      <c r="B1633" s="21">
        <f t="shared" ref="B1633" si="244">DATE(C1633,D1633,E1633)</f>
        <v>45525</v>
      </c>
      <c r="C1633" s="22">
        <v>2024</v>
      </c>
      <c r="D1633" s="23">
        <v>8</v>
      </c>
      <c r="E1633" s="24">
        <v>21</v>
      </c>
      <c r="F1633" s="42" t="s">
        <v>17</v>
      </c>
      <c r="G1633" s="42" t="s">
        <v>7</v>
      </c>
      <c r="H1633" s="42" t="s">
        <v>110</v>
      </c>
      <c r="I1633" s="42" t="s">
        <v>120</v>
      </c>
      <c r="J1633" s="10">
        <v>1100</v>
      </c>
      <c r="K1633" s="7">
        <v>-1100</v>
      </c>
      <c r="L1633" s="1" t="s">
        <v>1175</v>
      </c>
      <c r="M1633" s="2" t="s">
        <v>763</v>
      </c>
    </row>
    <row r="1634" spans="1:13">
      <c r="A1634" s="21" t="str">
        <f>TEXT(TEXT(B1634,"yyyymmdd"),"00000000")&amp;TEXT(COUNTIF($B$2:B1634,B1634),"00")</f>
        <v>2024082201</v>
      </c>
      <c r="B1634" s="21">
        <f t="shared" ref="B1634" si="245">DATE(C1634,D1634,E1634)</f>
        <v>45526</v>
      </c>
      <c r="C1634" s="22">
        <v>2024</v>
      </c>
      <c r="D1634" s="23">
        <v>8</v>
      </c>
      <c r="E1634" s="24">
        <v>22</v>
      </c>
      <c r="F1634" s="42" t="s">
        <v>17</v>
      </c>
      <c r="G1634" s="42" t="s">
        <v>135</v>
      </c>
      <c r="H1634" s="42" t="s">
        <v>135</v>
      </c>
      <c r="I1634" s="42" t="s">
        <v>143</v>
      </c>
      <c r="J1634" s="10">
        <v>-10000</v>
      </c>
      <c r="K1634" s="7">
        <v>10000</v>
      </c>
      <c r="L1634" s="1" t="s">
        <v>165</v>
      </c>
    </row>
    <row r="1635" spans="1:13">
      <c r="A1635" s="21" t="str">
        <f>TEXT(TEXT(B1635,"yyyymmdd"),"00000000")&amp;TEXT(COUNTIF($B$2:B1635,B1635),"00")</f>
        <v>2024082202</v>
      </c>
      <c r="B1635" s="21">
        <f t="shared" ref="B1635" si="246">DATE(C1635,D1635,E1635)</f>
        <v>45526</v>
      </c>
      <c r="C1635" s="22">
        <v>2024</v>
      </c>
      <c r="D1635" s="23">
        <v>8</v>
      </c>
      <c r="E1635" s="24">
        <v>22</v>
      </c>
      <c r="F1635" s="42" t="s">
        <v>17</v>
      </c>
      <c r="G1635" s="42" t="s">
        <v>170</v>
      </c>
      <c r="H1635" s="42" t="s">
        <v>114</v>
      </c>
      <c r="I1635" s="42" t="s">
        <v>1005</v>
      </c>
      <c r="J1635" s="10">
        <v>30290</v>
      </c>
      <c r="K1635" s="7">
        <v>-30290</v>
      </c>
      <c r="L1635" s="1" t="s">
        <v>1006</v>
      </c>
    </row>
    <row r="1636" spans="1:13">
      <c r="A1636" s="21" t="str">
        <f>TEXT(TEXT(B1636,"yyyymmdd"),"00000000")&amp;TEXT(COUNTIF($B$2:B1636,B1636),"00")</f>
        <v>2024082203</v>
      </c>
      <c r="B1636" s="21">
        <f t="shared" ref="B1636" si="247">DATE(C1636,D1636,E1636)</f>
        <v>45526</v>
      </c>
      <c r="C1636" s="22">
        <v>2024</v>
      </c>
      <c r="D1636" s="23">
        <v>8</v>
      </c>
      <c r="E1636" s="24">
        <v>22</v>
      </c>
      <c r="F1636" s="42" t="s">
        <v>17</v>
      </c>
      <c r="G1636" s="42" t="s">
        <v>7</v>
      </c>
      <c r="H1636" s="42" t="s">
        <v>116</v>
      </c>
      <c r="I1636" s="42" t="s">
        <v>212</v>
      </c>
      <c r="J1636" s="10">
        <v>25000</v>
      </c>
      <c r="K1636" s="7">
        <v>-25000</v>
      </c>
      <c r="L1636" s="1" t="s">
        <v>1020</v>
      </c>
      <c r="M1636" s="2" t="s">
        <v>1207</v>
      </c>
    </row>
    <row r="1637" spans="1:13">
      <c r="A1637" s="21" t="str">
        <f>TEXT(TEXT(B1637,"yyyymmdd"),"00000000")&amp;TEXT(COUNTIF($B$2:B1637,B1637),"00")</f>
        <v>2024082301</v>
      </c>
      <c r="B1637" s="21">
        <f t="shared" ref="B1637" si="248">DATE(C1637,D1637,E1637)</f>
        <v>45527</v>
      </c>
      <c r="C1637" s="22">
        <v>2024</v>
      </c>
      <c r="D1637" s="23">
        <v>8</v>
      </c>
      <c r="E1637" s="24">
        <v>23</v>
      </c>
      <c r="F1637" s="42" t="s">
        <v>17</v>
      </c>
      <c r="G1637" s="42" t="s">
        <v>7</v>
      </c>
      <c r="H1637" s="42" t="s">
        <v>116</v>
      </c>
      <c r="I1637" s="42" t="s">
        <v>225</v>
      </c>
      <c r="J1637" s="10">
        <v>11900</v>
      </c>
      <c r="K1637" s="7">
        <v>-11900</v>
      </c>
      <c r="L1637" s="1" t="s">
        <v>1208</v>
      </c>
    </row>
    <row r="1638" spans="1:13">
      <c r="A1638" s="21" t="str">
        <f>TEXT(TEXT(B1638,"yyyymmdd"),"00000000")&amp;TEXT(COUNTIF($B$2:B1638,B1638),"00")</f>
        <v>2024082302</v>
      </c>
      <c r="B1638" s="21">
        <f t="shared" ref="B1638" si="249">DATE(C1638,D1638,E1638)</f>
        <v>45527</v>
      </c>
      <c r="C1638" s="22">
        <v>2024</v>
      </c>
      <c r="D1638" s="23">
        <v>8</v>
      </c>
      <c r="E1638" s="24">
        <v>23</v>
      </c>
      <c r="F1638" s="42" t="s">
        <v>17</v>
      </c>
      <c r="G1638" s="42" t="s">
        <v>7</v>
      </c>
      <c r="H1638" s="42" t="s">
        <v>138</v>
      </c>
      <c r="I1638" s="42" t="s">
        <v>139</v>
      </c>
      <c r="J1638" s="10">
        <v>21850</v>
      </c>
      <c r="K1638" s="7">
        <v>-21850</v>
      </c>
      <c r="L1638" s="1" t="s">
        <v>1209</v>
      </c>
    </row>
    <row r="1639" spans="1:13">
      <c r="A1639" s="21" t="str">
        <f>TEXT(TEXT(B1639,"yyyymmdd"),"00000000")&amp;TEXT(COUNTIF($B$2:B1639,B1639),"00")</f>
        <v>2024082303</v>
      </c>
      <c r="B1639" s="21">
        <f t="shared" ref="B1639" si="250">DATE(C1639,D1639,E1639)</f>
        <v>45527</v>
      </c>
      <c r="C1639" s="22">
        <v>2024</v>
      </c>
      <c r="D1639" s="23">
        <v>8</v>
      </c>
      <c r="E1639" s="24">
        <v>23</v>
      </c>
      <c r="F1639" s="42" t="s">
        <v>17</v>
      </c>
      <c r="G1639" s="42" t="s">
        <v>7</v>
      </c>
      <c r="H1639" s="42" t="s">
        <v>116</v>
      </c>
      <c r="I1639" s="42" t="s">
        <v>212</v>
      </c>
      <c r="J1639" s="10">
        <v>2000</v>
      </c>
      <c r="K1639" s="7">
        <v>-2000</v>
      </c>
      <c r="L1639" s="1" t="s">
        <v>901</v>
      </c>
    </row>
    <row r="1640" spans="1:13">
      <c r="A1640" s="21" t="str">
        <f>TEXT(TEXT(B1640,"yyyymmdd"),"00000000")&amp;TEXT(COUNTIF($B$2:B1640,B1640),"00")</f>
        <v>2024082304</v>
      </c>
      <c r="B1640" s="21">
        <f t="shared" ref="B1640" si="251">DATE(C1640,D1640,E1640)</f>
        <v>45527</v>
      </c>
      <c r="C1640" s="22">
        <v>2024</v>
      </c>
      <c r="D1640" s="23">
        <v>8</v>
      </c>
      <c r="E1640" s="24">
        <v>23</v>
      </c>
      <c r="F1640" s="42" t="s">
        <v>17</v>
      </c>
      <c r="G1640" s="42" t="s">
        <v>7</v>
      </c>
      <c r="H1640" s="42" t="s">
        <v>119</v>
      </c>
      <c r="I1640" s="42" t="s">
        <v>180</v>
      </c>
      <c r="J1640" s="10">
        <v>116340</v>
      </c>
      <c r="K1640" s="7">
        <v>-116340</v>
      </c>
      <c r="L1640" s="1" t="s">
        <v>1210</v>
      </c>
      <c r="M1640" s="2" t="s">
        <v>1225</v>
      </c>
    </row>
    <row r="1641" spans="1:13">
      <c r="A1641" s="21" t="str">
        <f>TEXT(TEXT(B1641,"yyyymmdd"),"00000000")&amp;TEXT(COUNTIF($B$2:B1641,B1641),"00")</f>
        <v>2024082401</v>
      </c>
      <c r="B1641" s="21">
        <f t="shared" ref="B1641" si="252">DATE(C1641,D1641,E1641)</f>
        <v>45528</v>
      </c>
      <c r="C1641" s="22">
        <v>2024</v>
      </c>
      <c r="D1641" s="23">
        <v>8</v>
      </c>
      <c r="E1641" s="24">
        <v>24</v>
      </c>
      <c r="F1641" s="42" t="s">
        <v>17</v>
      </c>
      <c r="G1641" s="42" t="s">
        <v>7</v>
      </c>
      <c r="H1641" s="42" t="s">
        <v>111</v>
      </c>
      <c r="I1641" s="42" t="s">
        <v>334</v>
      </c>
      <c r="J1641" s="10">
        <v>32600</v>
      </c>
      <c r="K1641" s="7">
        <v>-32600</v>
      </c>
      <c r="L1641" s="1" t="s">
        <v>1211</v>
      </c>
    </row>
    <row r="1642" spans="1:13">
      <c r="A1642" s="21" t="str">
        <f>TEXT(TEXT(B1642,"yyyymmdd"),"00000000")&amp;TEXT(COUNTIF($B$2:B1642,B1642),"00")</f>
        <v>2024082402</v>
      </c>
      <c r="B1642" s="21">
        <f t="shared" ref="B1642" si="253">DATE(C1642,D1642,E1642)</f>
        <v>45528</v>
      </c>
      <c r="C1642" s="22">
        <v>2024</v>
      </c>
      <c r="D1642" s="23">
        <v>8</v>
      </c>
      <c r="E1642" s="24">
        <v>24</v>
      </c>
      <c r="F1642" s="42" t="s">
        <v>17</v>
      </c>
      <c r="G1642" s="42" t="s">
        <v>7</v>
      </c>
      <c r="H1642" s="42" t="s">
        <v>116</v>
      </c>
      <c r="I1642" s="42" t="s">
        <v>225</v>
      </c>
      <c r="J1642" s="10">
        <v>6000</v>
      </c>
      <c r="K1642" s="7">
        <v>-6000</v>
      </c>
      <c r="L1642" s="1" t="s">
        <v>1178</v>
      </c>
      <c r="M1642" s="2" t="s">
        <v>1212</v>
      </c>
    </row>
    <row r="1643" spans="1:13">
      <c r="A1643" s="21" t="str">
        <f>TEXT(TEXT(B1643,"yyyymmdd"),"00000000")&amp;TEXT(COUNTIF($B$2:B1643,B1643),"00")</f>
        <v>2024082501</v>
      </c>
      <c r="B1643" s="21">
        <f t="shared" ref="B1643" si="254">DATE(C1643,D1643,E1643)</f>
        <v>45529</v>
      </c>
      <c r="C1643" s="22">
        <v>2024</v>
      </c>
      <c r="D1643" s="23">
        <v>8</v>
      </c>
      <c r="E1643" s="24">
        <v>25</v>
      </c>
      <c r="F1643" s="42" t="s">
        <v>17</v>
      </c>
      <c r="G1643" s="42" t="s">
        <v>7</v>
      </c>
      <c r="H1643" s="42" t="s">
        <v>138</v>
      </c>
      <c r="I1643" s="42" t="s">
        <v>139</v>
      </c>
      <c r="J1643" s="10">
        <v>14700</v>
      </c>
      <c r="K1643" s="7">
        <v>-14700</v>
      </c>
      <c r="L1643" s="1" t="s">
        <v>1213</v>
      </c>
    </row>
    <row r="1644" spans="1:13">
      <c r="A1644" s="21" t="str">
        <f>TEXT(TEXT(B1644,"yyyymmdd"),"00000000")&amp;TEXT(COUNTIF($B$2:B1644,B1644),"00")</f>
        <v>2024082502</v>
      </c>
      <c r="B1644" s="21">
        <f t="shared" ref="B1644" si="255">DATE(C1644,D1644,E1644)</f>
        <v>45529</v>
      </c>
      <c r="C1644" s="22">
        <v>2024</v>
      </c>
      <c r="D1644" s="23">
        <v>8</v>
      </c>
      <c r="E1644" s="24">
        <v>25</v>
      </c>
      <c r="F1644" s="42" t="s">
        <v>17</v>
      </c>
      <c r="G1644" s="42" t="s">
        <v>7</v>
      </c>
      <c r="H1644" s="42" t="s">
        <v>110</v>
      </c>
      <c r="I1644" s="42" t="s">
        <v>124</v>
      </c>
      <c r="J1644" s="10">
        <v>4500</v>
      </c>
      <c r="K1644" s="7">
        <v>-4500</v>
      </c>
      <c r="L1644" s="1" t="s">
        <v>1214</v>
      </c>
    </row>
    <row r="1645" spans="1:13">
      <c r="A1645" s="21" t="str">
        <f>TEXT(TEXT(B1645,"yyyymmdd"),"00000000")&amp;TEXT(COUNTIF($B$2:B1645,B1645),"00")</f>
        <v>2024082701</v>
      </c>
      <c r="B1645" s="21">
        <f t="shared" ref="B1645" si="256">DATE(C1645,D1645,E1645)</f>
        <v>45531</v>
      </c>
      <c r="C1645" s="22">
        <v>2024</v>
      </c>
      <c r="D1645" s="23">
        <v>8</v>
      </c>
      <c r="E1645" s="24">
        <v>27</v>
      </c>
      <c r="F1645" s="42" t="s">
        <v>17</v>
      </c>
      <c r="G1645" s="42" t="s">
        <v>7</v>
      </c>
      <c r="H1645" s="42" t="s">
        <v>138</v>
      </c>
      <c r="I1645" s="42" t="s">
        <v>139</v>
      </c>
      <c r="J1645" s="10">
        <v>13000</v>
      </c>
      <c r="K1645" s="7">
        <v>-13000</v>
      </c>
      <c r="L1645" s="1" t="s">
        <v>1215</v>
      </c>
    </row>
    <row r="1646" spans="1:13">
      <c r="A1646" s="21" t="str">
        <f>TEXT(TEXT(B1646,"yyyymmdd"),"00000000")&amp;TEXT(COUNTIF($B$2:B1646,B1646),"00")</f>
        <v>2024082702</v>
      </c>
      <c r="B1646" s="21">
        <f t="shared" ref="B1646" si="257">DATE(C1646,D1646,E1646)</f>
        <v>45531</v>
      </c>
      <c r="C1646" s="22">
        <v>2024</v>
      </c>
      <c r="D1646" s="23">
        <v>8</v>
      </c>
      <c r="E1646" s="24">
        <v>27</v>
      </c>
      <c r="F1646" s="42" t="s">
        <v>17</v>
      </c>
      <c r="G1646" s="42" t="s">
        <v>7</v>
      </c>
      <c r="H1646" s="42" t="s">
        <v>110</v>
      </c>
      <c r="I1646" s="42" t="s">
        <v>120</v>
      </c>
      <c r="J1646" s="10">
        <v>6000</v>
      </c>
      <c r="K1646" s="7">
        <v>-6000</v>
      </c>
      <c r="L1646" s="1" t="s">
        <v>1216</v>
      </c>
    </row>
    <row r="1647" spans="1:13">
      <c r="A1647" s="21" t="str">
        <f>TEXT(TEXT(B1647,"yyyymmdd"),"00000000")&amp;TEXT(COUNTIF($B$2:B1647,B1647),"00")</f>
        <v>2024082703</v>
      </c>
      <c r="B1647" s="21">
        <f t="shared" ref="B1647" si="258">DATE(C1647,D1647,E1647)</f>
        <v>45531</v>
      </c>
      <c r="C1647" s="22">
        <v>2024</v>
      </c>
      <c r="D1647" s="23">
        <v>8</v>
      </c>
      <c r="E1647" s="24">
        <v>27</v>
      </c>
      <c r="F1647" s="42" t="s">
        <v>17</v>
      </c>
      <c r="G1647" s="42" t="s">
        <v>135</v>
      </c>
      <c r="H1647" s="42" t="s">
        <v>135</v>
      </c>
      <c r="I1647" s="42" t="s">
        <v>143</v>
      </c>
      <c r="J1647" s="10">
        <v>-1</v>
      </c>
      <c r="K1647" s="7">
        <v>1</v>
      </c>
      <c r="L1647" s="1" t="s">
        <v>551</v>
      </c>
      <c r="M1647" s="2" t="s">
        <v>1217</v>
      </c>
    </row>
    <row r="1648" spans="1:13">
      <c r="A1648" s="21" t="str">
        <f>TEXT(TEXT(B1648,"yyyymmdd"),"00000000")&amp;TEXT(COUNTIF($B$2:B1648,B1648),"00")</f>
        <v>2024082801</v>
      </c>
      <c r="B1648" s="21">
        <f t="shared" ref="B1648" si="259">DATE(C1648,D1648,E1648)</f>
        <v>45532</v>
      </c>
      <c r="C1648" s="22">
        <v>2024</v>
      </c>
      <c r="D1648" s="23">
        <v>8</v>
      </c>
      <c r="E1648" s="24">
        <v>28</v>
      </c>
      <c r="F1648" s="42" t="s">
        <v>17</v>
      </c>
      <c r="G1648" s="42" t="s">
        <v>7</v>
      </c>
      <c r="H1648" s="42" t="s">
        <v>32</v>
      </c>
      <c r="I1648" s="42" t="s">
        <v>1218</v>
      </c>
      <c r="J1648" s="10">
        <v>9220</v>
      </c>
      <c r="K1648" s="7">
        <v>-9220</v>
      </c>
      <c r="L1648" s="1" t="s">
        <v>1219</v>
      </c>
      <c r="M1648" s="2" t="s">
        <v>1220</v>
      </c>
    </row>
    <row r="1649" spans="1:13">
      <c r="A1649" s="21" t="str">
        <f>TEXT(TEXT(B1649,"yyyymmdd"),"00000000")&amp;TEXT(COUNTIF($B$2:B1649,B1649),"00")</f>
        <v>2024082802</v>
      </c>
      <c r="B1649" s="21">
        <f t="shared" ref="B1649" si="260">DATE(C1649,D1649,E1649)</f>
        <v>45532</v>
      </c>
      <c r="C1649" s="22">
        <v>2024</v>
      </c>
      <c r="D1649" s="23">
        <v>8</v>
      </c>
      <c r="E1649" s="24">
        <v>28</v>
      </c>
      <c r="F1649" s="42" t="s">
        <v>17</v>
      </c>
      <c r="G1649" s="42" t="s">
        <v>7</v>
      </c>
      <c r="H1649" s="42" t="s">
        <v>110</v>
      </c>
      <c r="I1649" s="42" t="s">
        <v>120</v>
      </c>
      <c r="J1649" s="10">
        <v>17500</v>
      </c>
      <c r="K1649" s="7">
        <v>-17500</v>
      </c>
      <c r="L1649" s="1" t="s">
        <v>651</v>
      </c>
      <c r="M1649" s="2" t="s">
        <v>1221</v>
      </c>
    </row>
    <row r="1650" spans="1:13">
      <c r="A1650" s="21" t="str">
        <f>TEXT(TEXT(B1650,"yyyymmdd"),"00000000")&amp;TEXT(COUNTIF($B$2:B1650,B1650),"00")</f>
        <v>2024082803</v>
      </c>
      <c r="B1650" s="21">
        <f t="shared" ref="B1650" si="261">DATE(C1650,D1650,E1650)</f>
        <v>45532</v>
      </c>
      <c r="C1650" s="22">
        <v>2024</v>
      </c>
      <c r="D1650" s="23">
        <v>8</v>
      </c>
      <c r="E1650" s="24">
        <v>28</v>
      </c>
      <c r="F1650" s="42" t="s">
        <v>17</v>
      </c>
      <c r="G1650" s="42" t="s">
        <v>7</v>
      </c>
      <c r="H1650" s="42" t="s">
        <v>116</v>
      </c>
      <c r="I1650" s="42" t="s">
        <v>225</v>
      </c>
      <c r="J1650" s="10">
        <v>7500</v>
      </c>
      <c r="K1650" s="7">
        <v>-7500</v>
      </c>
      <c r="L1650" s="1" t="s">
        <v>774</v>
      </c>
      <c r="M1650" s="2" t="s">
        <v>1222</v>
      </c>
    </row>
    <row r="1651" spans="1:13">
      <c r="A1651" s="21" t="str">
        <f>TEXT(TEXT(B1651,"yyyymmdd"),"00000000")&amp;TEXT(COUNTIF($B$2:B1651,B1651),"00")</f>
        <v>2024082804</v>
      </c>
      <c r="B1651" s="21">
        <f t="shared" ref="B1651" si="262">DATE(C1651,D1651,E1651)</f>
        <v>45532</v>
      </c>
      <c r="C1651" s="22">
        <v>2024</v>
      </c>
      <c r="D1651" s="23">
        <v>8</v>
      </c>
      <c r="E1651" s="24">
        <v>28</v>
      </c>
      <c r="F1651" s="42" t="s">
        <v>17</v>
      </c>
      <c r="G1651" s="42" t="s">
        <v>7</v>
      </c>
      <c r="H1651" s="42" t="s">
        <v>119</v>
      </c>
      <c r="I1651" s="42" t="s">
        <v>180</v>
      </c>
      <c r="J1651" s="10">
        <v>25500</v>
      </c>
      <c r="K1651" s="7">
        <v>-25500</v>
      </c>
      <c r="L1651" s="1" t="s">
        <v>181</v>
      </c>
      <c r="M1651" s="2" t="s">
        <v>1223</v>
      </c>
    </row>
    <row r="1652" spans="1:13">
      <c r="A1652" s="21" t="str">
        <f>TEXT(TEXT(B1652,"yyyymmdd"),"00000000")&amp;TEXT(COUNTIF($B$2:B1652,B1652),"00")</f>
        <v>2024083001</v>
      </c>
      <c r="B1652" s="21">
        <f t="shared" ref="B1652" si="263">DATE(C1652,D1652,E1652)</f>
        <v>45534</v>
      </c>
      <c r="C1652" s="22">
        <v>2024</v>
      </c>
      <c r="D1652" s="23">
        <v>8</v>
      </c>
      <c r="E1652" s="24">
        <v>30</v>
      </c>
      <c r="F1652" s="42" t="s">
        <v>17</v>
      </c>
      <c r="G1652" s="42" t="s">
        <v>170</v>
      </c>
      <c r="H1652" s="42" t="s">
        <v>155</v>
      </c>
      <c r="I1652" s="42" t="s">
        <v>156</v>
      </c>
      <c r="J1652" s="10">
        <v>2800</v>
      </c>
      <c r="K1652" s="7">
        <v>-2800</v>
      </c>
      <c r="L1652" s="1" t="s">
        <v>303</v>
      </c>
      <c r="M1652" s="2" t="s">
        <v>1232</v>
      </c>
    </row>
    <row r="1653" spans="1:13">
      <c r="A1653" s="21" t="str">
        <f>TEXT(TEXT(B1653,"yyyymmdd"),"00000000")&amp;TEXT(COUNTIF($B$2:B1653,B1653),"00")</f>
        <v>2024083101</v>
      </c>
      <c r="B1653" s="21">
        <f t="shared" ref="B1653" si="264">DATE(C1653,D1653,E1653)</f>
        <v>45535</v>
      </c>
      <c r="C1653" s="22">
        <v>2024</v>
      </c>
      <c r="D1653" s="23">
        <v>8</v>
      </c>
      <c r="E1653" s="24">
        <v>31</v>
      </c>
      <c r="F1653" s="42" t="s">
        <v>17</v>
      </c>
      <c r="G1653" s="42" t="s">
        <v>7</v>
      </c>
      <c r="H1653" s="42" t="s">
        <v>32</v>
      </c>
      <c r="I1653" s="42" t="s">
        <v>1218</v>
      </c>
      <c r="J1653" s="10">
        <v>9220</v>
      </c>
      <c r="K1653" s="7">
        <v>-9220</v>
      </c>
      <c r="L1653" s="1" t="s">
        <v>1219</v>
      </c>
    </row>
    <row r="1654" spans="1:13">
      <c r="A1654" s="21" t="str">
        <f>TEXT(TEXT(B1654,"yyyymmdd"),"00000000")&amp;TEXT(COUNTIF($B$2:B1654,B1654),"00")</f>
        <v>2024083102</v>
      </c>
      <c r="B1654" s="21">
        <f t="shared" ref="B1654" si="265">DATE(C1654,D1654,E1654)</f>
        <v>45535</v>
      </c>
      <c r="C1654" s="22">
        <v>2024</v>
      </c>
      <c r="D1654" s="23">
        <v>8</v>
      </c>
      <c r="E1654" s="24">
        <v>31</v>
      </c>
      <c r="F1654" s="42" t="s">
        <v>17</v>
      </c>
      <c r="G1654" s="42" t="s">
        <v>7</v>
      </c>
      <c r="H1654" s="42" t="s">
        <v>110</v>
      </c>
      <c r="I1654" s="42" t="s">
        <v>120</v>
      </c>
      <c r="J1654" s="10">
        <v>3400</v>
      </c>
      <c r="K1654" s="7">
        <v>-3400</v>
      </c>
      <c r="L1654" s="1" t="s">
        <v>807</v>
      </c>
    </row>
    <row r="1655" spans="1:13">
      <c r="A1655" s="21" t="str">
        <f>TEXT(TEXT(B1655,"yyyymmdd"),"00000000")&amp;TEXT(COUNTIF($B$2:B1655,B1655),"00")</f>
        <v>2024083103</v>
      </c>
      <c r="B1655" s="21">
        <f t="shared" ref="B1655" si="266">DATE(C1655,D1655,E1655)</f>
        <v>45535</v>
      </c>
      <c r="C1655" s="22">
        <v>2024</v>
      </c>
      <c r="D1655" s="23">
        <v>8</v>
      </c>
      <c r="E1655" s="24">
        <v>31</v>
      </c>
      <c r="F1655" s="42" t="s">
        <v>17</v>
      </c>
      <c r="G1655" s="42" t="s">
        <v>13</v>
      </c>
      <c r="H1655" s="42" t="s">
        <v>138</v>
      </c>
      <c r="I1655" s="42" t="s">
        <v>139</v>
      </c>
      <c r="J1655" s="10">
        <v>9000</v>
      </c>
      <c r="K1655" s="7">
        <v>-9000</v>
      </c>
      <c r="L1655" s="1" t="s">
        <v>779</v>
      </c>
    </row>
    <row r="1656" spans="1:13">
      <c r="A1656" s="21" t="str">
        <f>TEXT(TEXT(B1656,"yyyymmdd"),"00000000")&amp;TEXT(COUNTIF($B$2:B1656,B1656),"00")</f>
        <v>2024083104</v>
      </c>
      <c r="B1656" s="21">
        <f t="shared" ref="B1656" si="267">DATE(C1656,D1656,E1656)</f>
        <v>45535</v>
      </c>
      <c r="C1656" s="22">
        <v>2024</v>
      </c>
      <c r="D1656" s="23">
        <v>8</v>
      </c>
      <c r="E1656" s="24">
        <v>31</v>
      </c>
      <c r="F1656" s="42" t="s">
        <v>17</v>
      </c>
      <c r="G1656" s="42" t="s">
        <v>7</v>
      </c>
      <c r="H1656" s="42" t="s">
        <v>116</v>
      </c>
      <c r="I1656" s="42" t="s">
        <v>217</v>
      </c>
      <c r="J1656" s="10">
        <v>1300</v>
      </c>
      <c r="K1656" s="7">
        <v>-1300</v>
      </c>
      <c r="L1656" s="1" t="s">
        <v>218</v>
      </c>
    </row>
    <row r="1657" spans="1:13">
      <c r="A1657" s="21" t="str">
        <f>TEXT(TEXT(B1657,"yyyymmdd"),"00000000")&amp;TEXT(COUNTIF($B$2:B1657,B1657),"00")</f>
        <v>2024090101</v>
      </c>
      <c r="B1657" s="21">
        <f t="shared" ref="B1657" si="268">DATE(C1657,D1657,E1657)</f>
        <v>45536</v>
      </c>
      <c r="C1657" s="22">
        <v>2024</v>
      </c>
      <c r="D1657" s="23">
        <v>9</v>
      </c>
      <c r="E1657" s="24">
        <v>1</v>
      </c>
      <c r="F1657" s="42" t="s">
        <v>17</v>
      </c>
      <c r="G1657" s="42" t="s">
        <v>151</v>
      </c>
      <c r="H1657" s="42" t="s">
        <v>151</v>
      </c>
      <c r="I1657" s="42" t="s">
        <v>152</v>
      </c>
      <c r="J1657" s="10">
        <v>-700000</v>
      </c>
      <c r="K1657" s="7">
        <v>700000</v>
      </c>
      <c r="L1657" s="1" t="s">
        <v>252</v>
      </c>
      <c r="M1657" s="2" t="s">
        <v>1224</v>
      </c>
    </row>
    <row r="1658" spans="1:13">
      <c r="A1658" s="21" t="str">
        <f>TEXT(TEXT(B1658,"yyyymmdd"),"00000000")&amp;TEXT(COUNTIF($B$2:B1658,B1658),"00")</f>
        <v>2024090201</v>
      </c>
      <c r="B1658" s="21">
        <f t="shared" ref="B1658" si="269">DATE(C1658,D1658,E1658)</f>
        <v>45537</v>
      </c>
      <c r="C1658" s="22">
        <v>2024</v>
      </c>
      <c r="D1658" s="23">
        <v>9</v>
      </c>
      <c r="E1658" s="24">
        <v>2</v>
      </c>
      <c r="F1658" s="42" t="s">
        <v>17</v>
      </c>
      <c r="G1658" s="42" t="s">
        <v>13</v>
      </c>
      <c r="H1658" s="42" t="s">
        <v>113</v>
      </c>
      <c r="I1658" s="42" t="s">
        <v>171</v>
      </c>
      <c r="J1658" s="10">
        <v>15000</v>
      </c>
      <c r="K1658" s="7">
        <v>-15000</v>
      </c>
      <c r="L1658" s="1" t="s">
        <v>502</v>
      </c>
    </row>
    <row r="1659" spans="1:13">
      <c r="A1659" s="21" t="str">
        <f>TEXT(TEXT(B1659,"yyyymmdd"),"00000000")&amp;TEXT(COUNTIF($B$2:B1659,B1659),"00")</f>
        <v>2024090202</v>
      </c>
      <c r="B1659" s="21">
        <f t="shared" ref="B1659" si="270">DATE(C1659,D1659,E1659)</f>
        <v>45537</v>
      </c>
      <c r="C1659" s="22">
        <v>2024</v>
      </c>
      <c r="D1659" s="23">
        <v>9</v>
      </c>
      <c r="E1659" s="24">
        <v>2</v>
      </c>
      <c r="F1659" s="42" t="s">
        <v>17</v>
      </c>
      <c r="G1659" s="42" t="s">
        <v>13</v>
      </c>
      <c r="H1659" s="42" t="s">
        <v>167</v>
      </c>
      <c r="I1659" s="42" t="s">
        <v>214</v>
      </c>
      <c r="J1659" s="10">
        <v>4900</v>
      </c>
      <c r="K1659" s="7">
        <v>-4900</v>
      </c>
      <c r="L1659" s="1" t="s">
        <v>1227</v>
      </c>
      <c r="M1659" s="2" t="s">
        <v>1228</v>
      </c>
    </row>
    <row r="1660" spans="1:13">
      <c r="A1660" s="21" t="str">
        <f>TEXT(TEXT(B1660,"yyyymmdd"),"00000000")&amp;TEXT(COUNTIF($B$2:B1660,B1660),"00")</f>
        <v>2024090203</v>
      </c>
      <c r="B1660" s="21">
        <f t="shared" ref="B1660" si="271">DATE(C1660,D1660,E1660)</f>
        <v>45537</v>
      </c>
      <c r="C1660" s="22">
        <v>2024</v>
      </c>
      <c r="D1660" s="23">
        <v>9</v>
      </c>
      <c r="E1660" s="24">
        <v>2</v>
      </c>
      <c r="F1660" s="42" t="s">
        <v>17</v>
      </c>
      <c r="G1660" s="42" t="s">
        <v>13</v>
      </c>
      <c r="H1660" s="42" t="s">
        <v>167</v>
      </c>
      <c r="I1660" s="42" t="s">
        <v>214</v>
      </c>
      <c r="J1660" s="10">
        <v>29430</v>
      </c>
      <c r="K1660" s="7">
        <v>-29430</v>
      </c>
      <c r="L1660" s="1" t="s">
        <v>957</v>
      </c>
    </row>
    <row r="1661" spans="1:13">
      <c r="A1661" s="21" t="str">
        <f>TEXT(TEXT(B1661,"yyyymmdd"),"00000000")&amp;TEXT(COUNTIF($B$2:B1661,B1661),"00")</f>
        <v>2024090301</v>
      </c>
      <c r="B1661" s="21">
        <f t="shared" ref="B1661" si="272">DATE(C1661,D1661,E1661)</f>
        <v>45538</v>
      </c>
      <c r="C1661" s="22">
        <v>2024</v>
      </c>
      <c r="D1661" s="23">
        <v>9</v>
      </c>
      <c r="E1661" s="24">
        <v>3</v>
      </c>
      <c r="F1661" s="42" t="s">
        <v>17</v>
      </c>
      <c r="G1661" s="42" t="s">
        <v>13</v>
      </c>
      <c r="H1661" s="42" t="s">
        <v>138</v>
      </c>
      <c r="I1661" s="42" t="s">
        <v>139</v>
      </c>
      <c r="J1661" s="10">
        <v>5000</v>
      </c>
      <c r="K1661" s="7">
        <v>-5000</v>
      </c>
      <c r="L1661" s="1" t="s">
        <v>300</v>
      </c>
    </row>
    <row r="1662" spans="1:13">
      <c r="A1662" s="21" t="str">
        <f>TEXT(TEXT(B1662,"yyyymmdd"),"00000000")&amp;TEXT(COUNTIF($B$2:B1662,B1662),"00")</f>
        <v>2024090401</v>
      </c>
      <c r="B1662" s="21">
        <f t="shared" ref="B1662" si="273">DATE(C1662,D1662,E1662)</f>
        <v>45539</v>
      </c>
      <c r="C1662" s="22">
        <v>2024</v>
      </c>
      <c r="D1662" s="23">
        <v>9</v>
      </c>
      <c r="E1662" s="24">
        <v>4</v>
      </c>
      <c r="F1662" s="42" t="s">
        <v>17</v>
      </c>
      <c r="G1662" s="42" t="s">
        <v>7</v>
      </c>
      <c r="H1662" s="42" t="s">
        <v>155</v>
      </c>
      <c r="I1662" s="42" t="s">
        <v>221</v>
      </c>
      <c r="J1662" s="10">
        <v>45500</v>
      </c>
      <c r="K1662" s="7">
        <v>-45500</v>
      </c>
      <c r="L1662" s="1" t="s">
        <v>541</v>
      </c>
      <c r="M1662" s="2" t="s">
        <v>1229</v>
      </c>
    </row>
    <row r="1663" spans="1:13">
      <c r="A1663" s="21" t="str">
        <f>TEXT(TEXT(B1663,"yyyymmdd"),"00000000")&amp;TEXT(COUNTIF($B$2:B1663,B1663),"00")</f>
        <v>2024090402</v>
      </c>
      <c r="B1663" s="21">
        <f t="shared" ref="B1663" si="274">DATE(C1663,D1663,E1663)</f>
        <v>45539</v>
      </c>
      <c r="C1663" s="22">
        <v>2024</v>
      </c>
      <c r="D1663" s="23">
        <v>9</v>
      </c>
      <c r="E1663" s="24">
        <v>4</v>
      </c>
      <c r="F1663" s="42" t="s">
        <v>17</v>
      </c>
      <c r="G1663" s="42" t="s">
        <v>7</v>
      </c>
      <c r="H1663" s="42" t="s">
        <v>110</v>
      </c>
      <c r="I1663" s="42" t="s">
        <v>120</v>
      </c>
      <c r="J1663" s="10">
        <v>5500</v>
      </c>
      <c r="K1663" s="7">
        <v>-5500</v>
      </c>
      <c r="L1663" s="1" t="s">
        <v>651</v>
      </c>
      <c r="M1663" s="2" t="s">
        <v>1230</v>
      </c>
    </row>
    <row r="1664" spans="1:13">
      <c r="A1664" s="21" t="str">
        <f>TEXT(TEXT(B1664,"yyyymmdd"),"00000000")&amp;TEXT(COUNTIF($B$2:B1664,B1664),"00")</f>
        <v>2024090403</v>
      </c>
      <c r="B1664" s="21">
        <f t="shared" ref="B1664" si="275">DATE(C1664,D1664,E1664)</f>
        <v>45539</v>
      </c>
      <c r="C1664" s="22">
        <v>2024</v>
      </c>
      <c r="D1664" s="23">
        <v>9</v>
      </c>
      <c r="E1664" s="24">
        <v>4</v>
      </c>
      <c r="F1664" s="42" t="s">
        <v>17</v>
      </c>
      <c r="G1664" s="42" t="s">
        <v>7</v>
      </c>
      <c r="H1664" s="42" t="s">
        <v>173</v>
      </c>
      <c r="I1664" s="42" t="s">
        <v>207</v>
      </c>
      <c r="J1664" s="10">
        <v>31960</v>
      </c>
      <c r="K1664" s="7">
        <v>-31960</v>
      </c>
      <c r="L1664" s="1" t="s">
        <v>208</v>
      </c>
    </row>
    <row r="1665" spans="1:13">
      <c r="A1665" s="21" t="str">
        <f>TEXT(TEXT(B1665,"yyyymmdd"),"00000000")&amp;TEXT(COUNTIF($B$2:B1665,B1665),"00")</f>
        <v>2024090404</v>
      </c>
      <c r="B1665" s="21">
        <f t="shared" ref="B1665" si="276">DATE(C1665,D1665,E1665)</f>
        <v>45539</v>
      </c>
      <c r="C1665" s="22">
        <v>2024</v>
      </c>
      <c r="D1665" s="23">
        <v>9</v>
      </c>
      <c r="E1665" s="24">
        <v>4</v>
      </c>
      <c r="F1665" s="42" t="s">
        <v>17</v>
      </c>
      <c r="G1665" s="42" t="s">
        <v>7</v>
      </c>
      <c r="H1665" s="42" t="s">
        <v>167</v>
      </c>
      <c r="I1665" s="42" t="s">
        <v>168</v>
      </c>
      <c r="J1665" s="10">
        <v>1900</v>
      </c>
      <c r="K1665" s="7">
        <v>-1900</v>
      </c>
      <c r="L1665" s="1" t="s">
        <v>845</v>
      </c>
      <c r="M1665" s="2" t="s">
        <v>1231</v>
      </c>
    </row>
    <row r="1666" spans="1:13">
      <c r="A1666" s="21" t="str">
        <f>TEXT(TEXT(B1666,"yyyymmdd"),"00000000")&amp;TEXT(COUNTIF($B$2:B1666,B1666),"00")</f>
        <v>2024090601</v>
      </c>
      <c r="B1666" s="21">
        <f t="shared" ref="B1666" si="277">DATE(C1666,D1666,E1666)</f>
        <v>45541</v>
      </c>
      <c r="C1666" s="22">
        <v>2024</v>
      </c>
      <c r="D1666" s="23">
        <v>9</v>
      </c>
      <c r="E1666" s="24">
        <v>6</v>
      </c>
      <c r="F1666" s="42" t="s">
        <v>17</v>
      </c>
      <c r="G1666" s="42" t="s">
        <v>13</v>
      </c>
      <c r="H1666" s="42" t="s">
        <v>167</v>
      </c>
      <c r="I1666" s="42" t="s">
        <v>214</v>
      </c>
      <c r="J1666" s="10">
        <v>29160</v>
      </c>
      <c r="K1666" s="7">
        <v>-29160</v>
      </c>
      <c r="L1666" s="1" t="s">
        <v>1227</v>
      </c>
    </row>
    <row r="1667" spans="1:13">
      <c r="A1667" s="21" t="str">
        <f>TEXT(TEXT(B1667,"yyyymmdd"),"00000000")&amp;TEXT(COUNTIF($B$2:B1667,B1667),"00")</f>
        <v>2024090701</v>
      </c>
      <c r="B1667" s="21">
        <f t="shared" ref="B1667" si="278">DATE(C1667,D1667,E1667)</f>
        <v>45542</v>
      </c>
      <c r="C1667" s="22">
        <v>2024</v>
      </c>
      <c r="D1667" s="23">
        <v>9</v>
      </c>
      <c r="E1667" s="24">
        <v>7</v>
      </c>
      <c r="F1667" s="42" t="s">
        <v>17</v>
      </c>
      <c r="G1667" s="42" t="s">
        <v>7</v>
      </c>
      <c r="H1667" s="42" t="s">
        <v>116</v>
      </c>
      <c r="I1667" s="42" t="s">
        <v>225</v>
      </c>
      <c r="J1667" s="10">
        <v>30000</v>
      </c>
      <c r="K1667" s="7">
        <v>-30000</v>
      </c>
      <c r="L1667" s="1" t="s">
        <v>1233</v>
      </c>
      <c r="M1667" s="2" t="s">
        <v>1234</v>
      </c>
    </row>
    <row r="1668" spans="1:13">
      <c r="A1668" s="21" t="str">
        <f>TEXT(TEXT(B1668,"yyyymmdd"),"00000000")&amp;TEXT(COUNTIF($B$2:B1668,B1668),"00")</f>
        <v>2024090702</v>
      </c>
      <c r="B1668" s="21">
        <f t="shared" ref="B1668" si="279">DATE(C1668,D1668,E1668)</f>
        <v>45542</v>
      </c>
      <c r="C1668" s="22">
        <v>2024</v>
      </c>
      <c r="D1668" s="23">
        <v>9</v>
      </c>
      <c r="E1668" s="24">
        <v>7</v>
      </c>
      <c r="F1668" s="42" t="s">
        <v>17</v>
      </c>
      <c r="G1668" s="42" t="s">
        <v>7</v>
      </c>
      <c r="H1668" s="42" t="s">
        <v>111</v>
      </c>
      <c r="I1668" s="42" t="s">
        <v>334</v>
      </c>
      <c r="J1668" s="10">
        <v>12000</v>
      </c>
      <c r="K1668" s="7">
        <v>-12000</v>
      </c>
      <c r="L1668" s="1" t="s">
        <v>1235</v>
      </c>
      <c r="M1668" s="2" t="s">
        <v>1236</v>
      </c>
    </row>
    <row r="1669" spans="1:13">
      <c r="A1669" s="21" t="str">
        <f>TEXT(TEXT(B1669,"yyyymmdd"),"00000000")&amp;TEXT(COUNTIF($B$2:B1669,B1669),"00")</f>
        <v>2024090901</v>
      </c>
      <c r="B1669" s="21">
        <f t="shared" ref="B1669" si="280">DATE(C1669,D1669,E1669)</f>
        <v>45544</v>
      </c>
      <c r="C1669" s="22">
        <v>2024</v>
      </c>
      <c r="D1669" s="23">
        <v>9</v>
      </c>
      <c r="E1669" s="24">
        <v>9</v>
      </c>
      <c r="F1669" s="42" t="s">
        <v>17</v>
      </c>
      <c r="G1669" s="42" t="s">
        <v>170</v>
      </c>
      <c r="H1669" s="42" t="s">
        <v>114</v>
      </c>
      <c r="I1669" s="42" t="s">
        <v>1007</v>
      </c>
      <c r="J1669" s="10">
        <v>12740</v>
      </c>
      <c r="K1669" s="7">
        <v>-12740</v>
      </c>
      <c r="L1669" s="1" t="s">
        <v>1023</v>
      </c>
    </row>
    <row r="1670" spans="1:13">
      <c r="A1670" s="21" t="str">
        <f>TEXT(TEXT(B1670,"yyyymmdd"),"00000000")&amp;TEXT(COUNTIF($B$2:B1670,B1670),"00")</f>
        <v>2024090902</v>
      </c>
      <c r="B1670" s="21">
        <f t="shared" ref="B1670" si="281">DATE(C1670,D1670,E1670)</f>
        <v>45544</v>
      </c>
      <c r="C1670" s="22">
        <v>2024</v>
      </c>
      <c r="D1670" s="23">
        <v>9</v>
      </c>
      <c r="E1670" s="24">
        <v>9</v>
      </c>
      <c r="F1670" s="42" t="s">
        <v>17</v>
      </c>
      <c r="G1670" s="42" t="s">
        <v>7</v>
      </c>
      <c r="H1670" s="42" t="s">
        <v>167</v>
      </c>
      <c r="I1670" s="42" t="s">
        <v>168</v>
      </c>
      <c r="J1670" s="10">
        <v>15470</v>
      </c>
      <c r="K1670" s="7">
        <v>-15470</v>
      </c>
      <c r="L1670" s="1" t="s">
        <v>532</v>
      </c>
    </row>
    <row r="1671" spans="1:13">
      <c r="A1671" s="21" t="str">
        <f>TEXT(TEXT(B1671,"yyyymmdd"),"00000000")&amp;TEXT(COUNTIF($B$2:B1671,B1671),"00")</f>
        <v>2024091001</v>
      </c>
      <c r="B1671" s="21">
        <f t="shared" ref="B1671" si="282">DATE(C1671,D1671,E1671)</f>
        <v>45545</v>
      </c>
      <c r="C1671" s="22">
        <v>2024</v>
      </c>
      <c r="D1671" s="23">
        <v>9</v>
      </c>
      <c r="E1671" s="24">
        <v>10</v>
      </c>
      <c r="F1671" s="42" t="s">
        <v>17</v>
      </c>
      <c r="G1671" s="42" t="s">
        <v>13</v>
      </c>
      <c r="H1671" s="42" t="s">
        <v>167</v>
      </c>
      <c r="I1671" s="42" t="s">
        <v>168</v>
      </c>
      <c r="J1671" s="10">
        <v>3900</v>
      </c>
      <c r="K1671" s="7">
        <v>-3900</v>
      </c>
      <c r="L1671" s="1" t="s">
        <v>748</v>
      </c>
      <c r="M1671" s="2" t="s">
        <v>629</v>
      </c>
    </row>
    <row r="1672" spans="1:13">
      <c r="A1672" s="21" t="str">
        <f>TEXT(TEXT(B1672,"yyyymmdd"),"00000000")&amp;TEXT(COUNTIF($B$2:B1672,B1672),"00")</f>
        <v>2024091002</v>
      </c>
      <c r="B1672" s="21">
        <f t="shared" ref="B1672" si="283">DATE(C1672,D1672,E1672)</f>
        <v>45545</v>
      </c>
      <c r="C1672" s="22">
        <v>2024</v>
      </c>
      <c r="D1672" s="23">
        <v>9</v>
      </c>
      <c r="E1672" s="24">
        <v>10</v>
      </c>
      <c r="F1672" s="42" t="s">
        <v>17</v>
      </c>
      <c r="G1672" s="42" t="s">
        <v>13</v>
      </c>
      <c r="H1672" s="42" t="s">
        <v>138</v>
      </c>
      <c r="I1672" s="42" t="s">
        <v>139</v>
      </c>
      <c r="J1672" s="10">
        <v>6000</v>
      </c>
      <c r="K1672" s="7">
        <v>-6000</v>
      </c>
      <c r="L1672" s="1" t="s">
        <v>619</v>
      </c>
    </row>
    <row r="1673" spans="1:13">
      <c r="A1673" s="21" t="str">
        <f>TEXT(TEXT(B1673,"yyyymmdd"),"00000000")&amp;TEXT(COUNTIF($B$2:B1673,B1673),"00")</f>
        <v>2024091101</v>
      </c>
      <c r="B1673" s="21">
        <f t="shared" ref="B1673" si="284">DATE(C1673,D1673,E1673)</f>
        <v>45546</v>
      </c>
      <c r="C1673" s="22">
        <v>2024</v>
      </c>
      <c r="D1673" s="23">
        <v>9</v>
      </c>
      <c r="E1673" s="24">
        <v>11</v>
      </c>
      <c r="F1673" s="42" t="s">
        <v>17</v>
      </c>
      <c r="G1673" s="42" t="s">
        <v>7</v>
      </c>
      <c r="H1673" s="42" t="s">
        <v>167</v>
      </c>
      <c r="I1673" s="42" t="s">
        <v>214</v>
      </c>
      <c r="J1673" s="10">
        <v>3000</v>
      </c>
      <c r="K1673" s="7">
        <v>-3000</v>
      </c>
      <c r="L1673" s="1" t="s">
        <v>603</v>
      </c>
      <c r="M1673" s="2" t="s">
        <v>1237</v>
      </c>
    </row>
    <row r="1674" spans="1:13">
      <c r="A1674" s="21" t="str">
        <f>TEXT(TEXT(B1674,"yyyymmdd"),"00000000")&amp;TEXT(COUNTIF($B$2:B1674,B1674),"00")</f>
        <v>2024091102</v>
      </c>
      <c r="B1674" s="21">
        <f t="shared" ref="B1674" si="285">DATE(C1674,D1674,E1674)</f>
        <v>45546</v>
      </c>
      <c r="C1674" s="22">
        <v>2024</v>
      </c>
      <c r="D1674" s="23">
        <v>9</v>
      </c>
      <c r="E1674" s="24">
        <v>11</v>
      </c>
      <c r="F1674" s="42" t="s">
        <v>17</v>
      </c>
      <c r="G1674" s="42" t="s">
        <v>7</v>
      </c>
      <c r="H1674" s="42" t="s">
        <v>119</v>
      </c>
      <c r="I1674" s="42" t="s">
        <v>180</v>
      </c>
      <c r="J1674" s="10">
        <v>26000</v>
      </c>
      <c r="K1674" s="7">
        <v>-26000</v>
      </c>
      <c r="L1674" s="1" t="s">
        <v>181</v>
      </c>
      <c r="M1674" s="2" t="s">
        <v>1238</v>
      </c>
    </row>
    <row r="1675" spans="1:13">
      <c r="A1675" s="21" t="str">
        <f>TEXT(TEXT(B1675,"yyyymmdd"),"00000000")&amp;TEXT(COUNTIF($B$2:B1675,B1675),"00")</f>
        <v>2024091103</v>
      </c>
      <c r="B1675" s="21">
        <f t="shared" ref="B1675" si="286">DATE(C1675,D1675,E1675)</f>
        <v>45546</v>
      </c>
      <c r="C1675" s="22">
        <v>2024</v>
      </c>
      <c r="D1675" s="23">
        <v>9</v>
      </c>
      <c r="E1675" s="24">
        <v>11</v>
      </c>
      <c r="F1675" s="42" t="s">
        <v>17</v>
      </c>
      <c r="G1675" s="42" t="s">
        <v>7</v>
      </c>
      <c r="H1675" s="42" t="s">
        <v>119</v>
      </c>
      <c r="I1675" s="42" t="s">
        <v>180</v>
      </c>
      <c r="J1675" s="10">
        <v>150000</v>
      </c>
      <c r="K1675" s="7">
        <v>-150000</v>
      </c>
      <c r="L1675" s="1" t="s">
        <v>847</v>
      </c>
      <c r="M1675" s="2" t="s">
        <v>152</v>
      </c>
    </row>
    <row r="1676" spans="1:13">
      <c r="A1676" s="21" t="str">
        <f>TEXT(TEXT(B1676,"yyyymmdd"),"00000000")&amp;TEXT(COUNTIF($B$2:B1676,B1676),"00")</f>
        <v>2024091201</v>
      </c>
      <c r="B1676" s="21">
        <f t="shared" ref="B1676" si="287">DATE(C1676,D1676,E1676)</f>
        <v>45547</v>
      </c>
      <c r="C1676" s="22">
        <v>2024</v>
      </c>
      <c r="D1676" s="23">
        <v>9</v>
      </c>
      <c r="E1676" s="24">
        <v>12</v>
      </c>
      <c r="F1676" s="42" t="s">
        <v>17</v>
      </c>
      <c r="G1676" s="42" t="s">
        <v>7</v>
      </c>
      <c r="H1676" s="42" t="s">
        <v>110</v>
      </c>
      <c r="I1676" s="42" t="s">
        <v>124</v>
      </c>
      <c r="J1676" s="10">
        <v>6700</v>
      </c>
      <c r="K1676" s="7">
        <v>-6700</v>
      </c>
      <c r="L1676" s="1" t="s">
        <v>865</v>
      </c>
    </row>
    <row r="1677" spans="1:13">
      <c r="A1677" s="21" t="str">
        <f>TEXT(TEXT(B1677,"yyyymmdd"),"00000000")&amp;TEXT(COUNTIF($B$2:B1677,B1677),"00")</f>
        <v>2024091501</v>
      </c>
      <c r="B1677" s="21">
        <f t="shared" ref="B1677" si="288">DATE(C1677,D1677,E1677)</f>
        <v>45550</v>
      </c>
      <c r="C1677" s="22">
        <v>2024</v>
      </c>
      <c r="D1677" s="23">
        <v>9</v>
      </c>
      <c r="E1677" s="24">
        <v>15</v>
      </c>
      <c r="F1677" s="42" t="s">
        <v>17</v>
      </c>
      <c r="G1677" s="42" t="s">
        <v>7</v>
      </c>
      <c r="H1677" s="42" t="s">
        <v>138</v>
      </c>
      <c r="I1677" s="42" t="s">
        <v>139</v>
      </c>
      <c r="J1677" s="10">
        <v>9000</v>
      </c>
      <c r="K1677" s="7">
        <v>-9000</v>
      </c>
      <c r="L1677" s="1" t="s">
        <v>1240</v>
      </c>
      <c r="M1677" s="2" t="s">
        <v>1241</v>
      </c>
    </row>
    <row r="1678" spans="1:13">
      <c r="A1678" s="21" t="str">
        <f>TEXT(TEXT(B1678,"yyyymmdd"),"00000000")&amp;TEXT(COUNTIF($B$2:B1678,B1678),"00")</f>
        <v>2024091502</v>
      </c>
      <c r="B1678" s="21">
        <f t="shared" ref="B1678" si="289">DATE(C1678,D1678,E1678)</f>
        <v>45550</v>
      </c>
      <c r="C1678" s="22">
        <v>2024</v>
      </c>
      <c r="D1678" s="23">
        <v>9</v>
      </c>
      <c r="E1678" s="24">
        <v>15</v>
      </c>
      <c r="F1678" s="42" t="s">
        <v>17</v>
      </c>
      <c r="G1678" s="42" t="s">
        <v>7</v>
      </c>
      <c r="H1678" s="42" t="s">
        <v>173</v>
      </c>
      <c r="I1678" s="42" t="s">
        <v>567</v>
      </c>
      <c r="J1678" s="10">
        <v>8400</v>
      </c>
      <c r="K1678" s="7">
        <v>-8400</v>
      </c>
      <c r="L1678" s="1" t="s">
        <v>567</v>
      </c>
      <c r="M1678" s="2" t="s">
        <v>1242</v>
      </c>
    </row>
    <row r="1679" spans="1:13">
      <c r="A1679" s="21" t="str">
        <f>TEXT(TEXT(B1679,"yyyymmdd"),"00000000")&amp;TEXT(COUNTIF($B$2:B1679,B1679),"00")</f>
        <v>2024091601</v>
      </c>
      <c r="B1679" s="21">
        <f t="shared" ref="B1679" si="290">DATE(C1679,D1679,E1679)</f>
        <v>45551</v>
      </c>
      <c r="C1679" s="22">
        <v>2024</v>
      </c>
      <c r="D1679" s="23">
        <v>9</v>
      </c>
      <c r="E1679" s="24">
        <v>16</v>
      </c>
      <c r="F1679" s="42" t="s">
        <v>17</v>
      </c>
      <c r="G1679" s="42" t="s">
        <v>11</v>
      </c>
      <c r="H1679" s="42" t="s">
        <v>99</v>
      </c>
      <c r="I1679" s="42" t="s">
        <v>11</v>
      </c>
      <c r="J1679" s="10">
        <v>-200</v>
      </c>
      <c r="K1679" s="7">
        <v>200</v>
      </c>
      <c r="L1679" s="1" t="s">
        <v>252</v>
      </c>
      <c r="M1679" s="2" t="s">
        <v>1243</v>
      </c>
    </row>
    <row r="1680" spans="1:13">
      <c r="A1680" s="21" t="str">
        <f>TEXT(TEXT(B1680,"yyyymmdd"),"00000000")&amp;TEXT(COUNTIF($B$2:B1680,B1680),"00")</f>
        <v>2024091701</v>
      </c>
      <c r="B1680" s="21">
        <f t="shared" ref="B1680" si="291">DATE(C1680,D1680,E1680)</f>
        <v>45552</v>
      </c>
      <c r="C1680" s="22">
        <v>2024</v>
      </c>
      <c r="D1680" s="23">
        <v>9</v>
      </c>
      <c r="E1680" s="24">
        <v>17</v>
      </c>
      <c r="F1680" s="42" t="s">
        <v>17</v>
      </c>
      <c r="G1680" s="42" t="s">
        <v>7</v>
      </c>
      <c r="H1680" s="42" t="s">
        <v>110</v>
      </c>
      <c r="I1680" s="42" t="s">
        <v>120</v>
      </c>
      <c r="J1680" s="10">
        <v>8100</v>
      </c>
      <c r="K1680" s="7">
        <v>-8100</v>
      </c>
      <c r="L1680" s="1" t="s">
        <v>638</v>
      </c>
      <c r="M1680" s="2" t="s">
        <v>1244</v>
      </c>
    </row>
    <row r="1681" spans="1:13">
      <c r="A1681" s="21" t="str">
        <f>TEXT(TEXT(B1681,"yyyymmdd"),"00000000")&amp;TEXT(COUNTIF($B$2:B1681,B1681),"00")</f>
        <v>2024091702</v>
      </c>
      <c r="B1681" s="21">
        <f t="shared" ref="B1681" si="292">DATE(C1681,D1681,E1681)</f>
        <v>45552</v>
      </c>
      <c r="C1681" s="22">
        <v>2024</v>
      </c>
      <c r="D1681" s="23">
        <v>9</v>
      </c>
      <c r="E1681" s="24">
        <v>17</v>
      </c>
      <c r="F1681" s="42" t="s">
        <v>17</v>
      </c>
      <c r="G1681" s="42" t="s">
        <v>13</v>
      </c>
      <c r="H1681" s="42" t="s">
        <v>167</v>
      </c>
      <c r="I1681" s="42" t="s">
        <v>168</v>
      </c>
      <c r="J1681" s="10">
        <v>5950</v>
      </c>
      <c r="K1681" s="7">
        <v>-5950</v>
      </c>
      <c r="L1681" s="1" t="s">
        <v>532</v>
      </c>
      <c r="M1681" s="2" t="s">
        <v>672</v>
      </c>
    </row>
    <row r="1682" spans="1:13">
      <c r="A1682" s="21" t="str">
        <f>TEXT(TEXT(B1682,"yyyymmdd"),"00000000")&amp;TEXT(COUNTIF($B$2:B1682,B1682),"00")</f>
        <v>2024091801</v>
      </c>
      <c r="B1682" s="21">
        <f t="shared" ref="B1682" si="293">DATE(C1682,D1682,E1682)</f>
        <v>45553</v>
      </c>
      <c r="C1682" s="22">
        <v>2024</v>
      </c>
      <c r="D1682" s="23">
        <v>9</v>
      </c>
      <c r="E1682" s="24">
        <v>18</v>
      </c>
      <c r="F1682" s="42" t="s">
        <v>17</v>
      </c>
      <c r="G1682" s="42" t="s">
        <v>7</v>
      </c>
      <c r="H1682" s="42" t="s">
        <v>167</v>
      </c>
      <c r="I1682" s="42" t="s">
        <v>168</v>
      </c>
      <c r="J1682" s="10">
        <v>2700</v>
      </c>
      <c r="K1682" s="7">
        <v>-2700</v>
      </c>
      <c r="L1682" s="1" t="s">
        <v>748</v>
      </c>
      <c r="M1682" s="2" t="s">
        <v>1245</v>
      </c>
    </row>
    <row r="1683" spans="1:13">
      <c r="A1683" s="21" t="str">
        <f>TEXT(TEXT(B1683,"yyyymmdd"),"00000000")&amp;TEXT(COUNTIF($B$2:B1683,B1683),"00")</f>
        <v>2024091802</v>
      </c>
      <c r="B1683" s="21">
        <f t="shared" ref="B1683" si="294">DATE(C1683,D1683,E1683)</f>
        <v>45553</v>
      </c>
      <c r="C1683" s="22">
        <v>2024</v>
      </c>
      <c r="D1683" s="23">
        <v>9</v>
      </c>
      <c r="E1683" s="24">
        <v>18</v>
      </c>
      <c r="F1683" s="42" t="s">
        <v>17</v>
      </c>
      <c r="G1683" s="42" t="s">
        <v>13</v>
      </c>
      <c r="H1683" s="42" t="s">
        <v>138</v>
      </c>
      <c r="I1683" s="42" t="s">
        <v>139</v>
      </c>
      <c r="J1683" s="10">
        <v>8900</v>
      </c>
      <c r="K1683" s="7">
        <v>-8900</v>
      </c>
      <c r="L1683" s="1" t="s">
        <v>993</v>
      </c>
    </row>
    <row r="1684" spans="1:13">
      <c r="A1684" s="21" t="str">
        <f>TEXT(TEXT(B1684,"yyyymmdd"),"00000000")&amp;TEXT(COUNTIF($B$2:B1684,B1684),"00")</f>
        <v>2024091901</v>
      </c>
      <c r="B1684" s="21">
        <f t="shared" ref="B1684" si="295">DATE(C1684,D1684,E1684)</f>
        <v>45554</v>
      </c>
      <c r="C1684" s="22">
        <v>2024</v>
      </c>
      <c r="D1684" s="23">
        <v>9</v>
      </c>
      <c r="E1684" s="24">
        <v>19</v>
      </c>
      <c r="F1684" s="42" t="s">
        <v>17</v>
      </c>
      <c r="G1684" s="42" t="s">
        <v>13</v>
      </c>
      <c r="H1684" s="42" t="s">
        <v>167</v>
      </c>
      <c r="I1684" s="42" t="s">
        <v>168</v>
      </c>
      <c r="J1684" s="10">
        <v>2800</v>
      </c>
      <c r="K1684" s="7">
        <v>-2800</v>
      </c>
      <c r="L1684" s="1" t="s">
        <v>532</v>
      </c>
      <c r="M1684" s="2" t="s">
        <v>1246</v>
      </c>
    </row>
    <row r="1685" spans="1:13">
      <c r="A1685" s="21" t="str">
        <f>TEXT(TEXT(B1685,"yyyymmdd"),"00000000")&amp;TEXT(COUNTIF($B$2:B1685,B1685),"00")</f>
        <v>2024092001</v>
      </c>
      <c r="B1685" s="21">
        <f t="shared" ref="B1685" si="296">DATE(C1685,D1685,E1685)</f>
        <v>45555</v>
      </c>
      <c r="C1685" s="22">
        <v>2024</v>
      </c>
      <c r="D1685" s="23">
        <v>9</v>
      </c>
      <c r="E1685" s="24">
        <v>20</v>
      </c>
      <c r="F1685" s="42" t="s">
        <v>17</v>
      </c>
      <c r="G1685" s="42" t="s">
        <v>7</v>
      </c>
      <c r="H1685" s="42" t="s">
        <v>167</v>
      </c>
      <c r="I1685" s="42" t="s">
        <v>608</v>
      </c>
      <c r="J1685" s="10">
        <v>5000</v>
      </c>
      <c r="K1685" s="7">
        <v>-5000</v>
      </c>
      <c r="L1685" s="1" t="s">
        <v>1247</v>
      </c>
      <c r="M1685" s="2" t="s">
        <v>1248</v>
      </c>
    </row>
    <row r="1686" spans="1:13">
      <c r="A1686" s="21" t="str">
        <f>TEXT(TEXT(B1686,"yyyymmdd"),"00000000")&amp;TEXT(COUNTIF($B$2:B1686,B1686),"00")</f>
        <v>2024092101</v>
      </c>
      <c r="B1686" s="21">
        <f t="shared" ref="B1686" si="297">DATE(C1686,D1686,E1686)</f>
        <v>45556</v>
      </c>
      <c r="C1686" s="22">
        <v>2024</v>
      </c>
      <c r="D1686" s="23">
        <v>9</v>
      </c>
      <c r="E1686" s="24">
        <v>21</v>
      </c>
      <c r="F1686" s="42" t="s">
        <v>17</v>
      </c>
      <c r="G1686" s="42" t="s">
        <v>13</v>
      </c>
      <c r="H1686" s="42" t="s">
        <v>167</v>
      </c>
      <c r="I1686" s="42" t="s">
        <v>214</v>
      </c>
      <c r="J1686" s="10">
        <v>35470</v>
      </c>
      <c r="K1686" s="7">
        <v>-35470</v>
      </c>
      <c r="L1686" s="1" t="s">
        <v>1227</v>
      </c>
    </row>
    <row r="1687" spans="1:13">
      <c r="A1687" s="21" t="str">
        <f>TEXT(TEXT(B1687,"yyyymmdd"),"00000000")&amp;TEXT(COUNTIF($B$2:B1687,B1687),"00")</f>
        <v>2024092102</v>
      </c>
      <c r="B1687" s="21">
        <f t="shared" ref="B1687" si="298">DATE(C1687,D1687,E1687)</f>
        <v>45556</v>
      </c>
      <c r="C1687" s="22">
        <v>2024</v>
      </c>
      <c r="D1687" s="23">
        <v>9</v>
      </c>
      <c r="E1687" s="24">
        <v>21</v>
      </c>
      <c r="F1687" s="42" t="s">
        <v>17</v>
      </c>
      <c r="G1687" s="42" t="s">
        <v>135</v>
      </c>
      <c r="H1687" s="42" t="s">
        <v>135</v>
      </c>
      <c r="I1687" s="42" t="s">
        <v>152</v>
      </c>
      <c r="J1687" s="10">
        <v>-100000</v>
      </c>
      <c r="K1687" s="7">
        <v>100000</v>
      </c>
      <c r="L1687" s="1" t="s">
        <v>252</v>
      </c>
    </row>
    <row r="1688" spans="1:13">
      <c r="A1688" s="21" t="str">
        <f>TEXT(TEXT(B1688,"yyyymmdd"),"00000000")&amp;TEXT(COUNTIF($B$2:B1688,B1688),"00")</f>
        <v>2024092401</v>
      </c>
      <c r="B1688" s="21">
        <f t="shared" ref="B1688" si="299">DATE(C1688,D1688,E1688)</f>
        <v>45559</v>
      </c>
      <c r="C1688" s="22">
        <v>2024</v>
      </c>
      <c r="D1688" s="23">
        <v>9</v>
      </c>
      <c r="E1688" s="24">
        <v>24</v>
      </c>
      <c r="F1688" s="42" t="s">
        <v>17</v>
      </c>
      <c r="G1688" s="42" t="s">
        <v>13</v>
      </c>
      <c r="H1688" s="42" t="s">
        <v>167</v>
      </c>
      <c r="I1688" s="42" t="s">
        <v>168</v>
      </c>
      <c r="J1688" s="10">
        <v>3600</v>
      </c>
      <c r="K1688" s="7">
        <v>-3600</v>
      </c>
      <c r="L1688" s="1" t="s">
        <v>748</v>
      </c>
      <c r="M1688" s="2" t="s">
        <v>629</v>
      </c>
    </row>
    <row r="1689" spans="1:13">
      <c r="A1689" s="21" t="str">
        <f>TEXT(TEXT(B1689,"yyyymmdd"),"00000000")&amp;TEXT(COUNTIF($B$2:B1689,B1689),"00")</f>
        <v>2024092402</v>
      </c>
      <c r="B1689" s="21">
        <f t="shared" ref="B1689" si="300">DATE(C1689,D1689,E1689)</f>
        <v>45559</v>
      </c>
      <c r="C1689" s="22">
        <v>2024</v>
      </c>
      <c r="D1689" s="23">
        <v>9</v>
      </c>
      <c r="E1689" s="24">
        <v>24</v>
      </c>
      <c r="F1689" s="42" t="s">
        <v>17</v>
      </c>
      <c r="G1689" s="42" t="s">
        <v>7</v>
      </c>
      <c r="H1689" s="42" t="s">
        <v>116</v>
      </c>
      <c r="I1689" s="42" t="s">
        <v>225</v>
      </c>
      <c r="J1689" s="10">
        <v>5000</v>
      </c>
      <c r="K1689" s="7">
        <v>-5000</v>
      </c>
      <c r="L1689" s="1" t="s">
        <v>1252</v>
      </c>
    </row>
    <row r="1690" spans="1:13">
      <c r="A1690" s="21" t="str">
        <f>TEXT(TEXT(B1690,"yyyymmdd"),"00000000")&amp;TEXT(COUNTIF($B$2:B1690,B1690),"00")</f>
        <v>2024092403</v>
      </c>
      <c r="B1690" s="21">
        <f t="shared" ref="B1690" si="301">DATE(C1690,D1690,E1690)</f>
        <v>45559</v>
      </c>
      <c r="C1690" s="22">
        <v>2024</v>
      </c>
      <c r="D1690" s="23">
        <v>9</v>
      </c>
      <c r="E1690" s="24">
        <v>24</v>
      </c>
      <c r="F1690" s="42" t="s">
        <v>17</v>
      </c>
      <c r="G1690" s="42" t="s">
        <v>170</v>
      </c>
      <c r="H1690" s="42" t="s">
        <v>114</v>
      </c>
      <c r="I1690" s="42" t="s">
        <v>1005</v>
      </c>
      <c r="J1690" s="10">
        <v>24840</v>
      </c>
      <c r="K1690" s="7">
        <v>-24840</v>
      </c>
      <c r="L1690" s="1" t="s">
        <v>1006</v>
      </c>
    </row>
    <row r="1691" spans="1:13">
      <c r="A1691" s="21" t="str">
        <f>TEXT(TEXT(B1691,"yyyymmdd"),"00000000")&amp;TEXT(COUNTIF($B$2:B1691,B1691),"00")</f>
        <v>2024092501</v>
      </c>
      <c r="B1691" s="21">
        <f t="shared" ref="B1691" si="302">DATE(C1691,D1691,E1691)</f>
        <v>45560</v>
      </c>
      <c r="C1691" s="22">
        <v>2024</v>
      </c>
      <c r="D1691" s="23">
        <v>9</v>
      </c>
      <c r="E1691" s="24">
        <v>25</v>
      </c>
      <c r="F1691" s="42" t="s">
        <v>17</v>
      </c>
      <c r="G1691" s="42" t="s">
        <v>7</v>
      </c>
      <c r="H1691" s="42" t="s">
        <v>167</v>
      </c>
      <c r="I1691" s="42" t="s">
        <v>214</v>
      </c>
      <c r="J1691" s="10">
        <v>6500</v>
      </c>
      <c r="K1691" s="7">
        <v>-6500</v>
      </c>
      <c r="L1691" s="1" t="s">
        <v>603</v>
      </c>
      <c r="M1691" s="2" t="s">
        <v>1249</v>
      </c>
    </row>
    <row r="1692" spans="1:13">
      <c r="A1692" s="21" t="str">
        <f>TEXT(TEXT(B1692,"yyyymmdd"),"00000000")&amp;TEXT(COUNTIF($B$2:B1692,B1692),"00")</f>
        <v>2024092801</v>
      </c>
      <c r="B1692" s="21">
        <f t="shared" ref="B1692" si="303">DATE(C1692,D1692,E1692)</f>
        <v>45563</v>
      </c>
      <c r="C1692" s="22">
        <v>2024</v>
      </c>
      <c r="D1692" s="23">
        <v>9</v>
      </c>
      <c r="E1692" s="24">
        <v>28</v>
      </c>
      <c r="F1692" s="42" t="s">
        <v>17</v>
      </c>
      <c r="G1692" s="42" t="s">
        <v>7</v>
      </c>
      <c r="H1692" s="42" t="s">
        <v>173</v>
      </c>
      <c r="I1692" s="42" t="s">
        <v>174</v>
      </c>
      <c r="J1692" s="10">
        <v>4500</v>
      </c>
      <c r="K1692" s="7">
        <v>-4500</v>
      </c>
      <c r="L1692" s="1" t="s">
        <v>1250</v>
      </c>
      <c r="M1692" s="2" t="s">
        <v>1251</v>
      </c>
    </row>
    <row r="1693" spans="1:13">
      <c r="A1693" s="21" t="str">
        <f>TEXT(TEXT(B1693,"yyyymmdd"),"00000000")&amp;TEXT(COUNTIF($B$2:B1693,B1693),"00")</f>
        <v>2024092802</v>
      </c>
      <c r="B1693" s="21">
        <f t="shared" ref="B1693" si="304">DATE(C1693,D1693,E1693)</f>
        <v>45563</v>
      </c>
      <c r="C1693" s="22">
        <v>2024</v>
      </c>
      <c r="D1693" s="23">
        <v>9</v>
      </c>
      <c r="E1693" s="24">
        <v>28</v>
      </c>
      <c r="F1693" s="42" t="s">
        <v>17</v>
      </c>
      <c r="G1693" s="42" t="s">
        <v>13</v>
      </c>
      <c r="H1693" s="42" t="s">
        <v>113</v>
      </c>
      <c r="I1693" s="42" t="s">
        <v>171</v>
      </c>
      <c r="J1693" s="10">
        <v>15000</v>
      </c>
      <c r="K1693" s="7">
        <v>-15000</v>
      </c>
      <c r="L1693" s="1" t="s">
        <v>502</v>
      </c>
    </row>
    <row r="1694" spans="1:13">
      <c r="A1694" s="21" t="str">
        <f>TEXT(TEXT(B1694,"yyyymmdd"),"00000000")&amp;TEXT(COUNTIF($B$2:B1694,B1694),"00")</f>
        <v>2024093001</v>
      </c>
      <c r="B1694" s="21">
        <f t="shared" ref="B1694" si="305">DATE(C1694,D1694,E1694)</f>
        <v>45565</v>
      </c>
      <c r="C1694" s="22">
        <v>2024</v>
      </c>
      <c r="D1694" s="23">
        <v>9</v>
      </c>
      <c r="E1694" s="24">
        <v>30</v>
      </c>
      <c r="F1694" s="42" t="s">
        <v>17</v>
      </c>
      <c r="G1694" s="42" t="s">
        <v>170</v>
      </c>
      <c r="H1694" s="42" t="s">
        <v>155</v>
      </c>
      <c r="I1694" s="42" t="s">
        <v>156</v>
      </c>
      <c r="J1694" s="10">
        <v>2618</v>
      </c>
      <c r="K1694" s="7">
        <v>-2618</v>
      </c>
      <c r="L1694" s="1" t="s">
        <v>303</v>
      </c>
    </row>
    <row r="1695" spans="1:13">
      <c r="A1695" s="21" t="str">
        <f>TEXT(TEXT(B1695,"yyyymmdd"),"00000000")&amp;TEXT(COUNTIF($B$2:B1695,B1695),"00")</f>
        <v>2024093002</v>
      </c>
      <c r="B1695" s="21">
        <f t="shared" ref="B1695" si="306">DATE(C1695,D1695,E1695)</f>
        <v>45565</v>
      </c>
      <c r="C1695" s="22">
        <v>2024</v>
      </c>
      <c r="D1695" s="23">
        <v>9</v>
      </c>
      <c r="E1695" s="24">
        <v>30</v>
      </c>
      <c r="F1695" s="42" t="s">
        <v>17</v>
      </c>
      <c r="G1695" s="42" t="s">
        <v>11</v>
      </c>
      <c r="H1695" s="42" t="s">
        <v>99</v>
      </c>
      <c r="I1695" s="42" t="s">
        <v>11</v>
      </c>
      <c r="J1695" s="10">
        <v>-1</v>
      </c>
      <c r="K1695" s="7">
        <v>1</v>
      </c>
      <c r="L1695" s="1" t="s">
        <v>834</v>
      </c>
    </row>
    <row r="1696" spans="1:13">
      <c r="A1696" s="21" t="str">
        <f>TEXT(TEXT(B1696,"yyyymmdd"),"00000000")&amp;TEXT(COUNTIF($B$2:B1696,B1696),"00")</f>
        <v>2024100101</v>
      </c>
      <c r="B1696" s="21">
        <f t="shared" ref="B1696" si="307">DATE(C1696,D1696,E1696)</f>
        <v>45566</v>
      </c>
      <c r="C1696" s="22">
        <v>2024</v>
      </c>
      <c r="D1696" s="23">
        <v>10</v>
      </c>
      <c r="E1696" s="24">
        <v>1</v>
      </c>
      <c r="F1696" s="42" t="s">
        <v>17</v>
      </c>
      <c r="G1696" s="42" t="s">
        <v>151</v>
      </c>
      <c r="H1696" s="42" t="s">
        <v>151</v>
      </c>
      <c r="I1696" s="42" t="s">
        <v>152</v>
      </c>
      <c r="J1696" s="10">
        <v>-600000</v>
      </c>
      <c r="K1696" s="7">
        <v>600000</v>
      </c>
      <c r="L1696" s="1" t="s">
        <v>252</v>
      </c>
      <c r="M1696" s="2" t="s">
        <v>876</v>
      </c>
    </row>
    <row r="1697" spans="1:13">
      <c r="A1697" s="21" t="str">
        <f>TEXT(TEXT(B1697,"yyyymmdd"),"00000000")&amp;TEXT(COUNTIF($B$2:B1697,B1697),"00")</f>
        <v>2024100102</v>
      </c>
      <c r="B1697" s="21">
        <f t="shared" ref="B1697" si="308">DATE(C1697,D1697,E1697)</f>
        <v>45566</v>
      </c>
      <c r="C1697" s="22">
        <v>2024</v>
      </c>
      <c r="D1697" s="23">
        <v>10</v>
      </c>
      <c r="E1697" s="24">
        <v>1</v>
      </c>
      <c r="F1697" s="42" t="s">
        <v>17</v>
      </c>
      <c r="G1697" s="42" t="s">
        <v>13</v>
      </c>
      <c r="H1697" s="42" t="s">
        <v>138</v>
      </c>
      <c r="I1697" s="42" t="s">
        <v>139</v>
      </c>
      <c r="J1697" s="10">
        <v>10500</v>
      </c>
      <c r="K1697" s="7">
        <v>-10500</v>
      </c>
      <c r="L1697" s="1" t="s">
        <v>819</v>
      </c>
    </row>
    <row r="1698" spans="1:13">
      <c r="A1698" s="21" t="str">
        <f>TEXT(TEXT(B1698,"yyyymmdd"),"00000000")&amp;TEXT(COUNTIF($B$2:B1698,B1698),"00")</f>
        <v>2024100103</v>
      </c>
      <c r="B1698" s="21">
        <f t="shared" ref="B1698" si="309">DATE(C1698,D1698,E1698)</f>
        <v>45566</v>
      </c>
      <c r="C1698" s="22">
        <v>2024</v>
      </c>
      <c r="D1698" s="23">
        <v>10</v>
      </c>
      <c r="E1698" s="24">
        <v>1</v>
      </c>
      <c r="F1698" s="42" t="s">
        <v>17</v>
      </c>
      <c r="G1698" s="42" t="s">
        <v>13</v>
      </c>
      <c r="H1698" s="42" t="s">
        <v>167</v>
      </c>
      <c r="I1698" s="42" t="s">
        <v>214</v>
      </c>
      <c r="J1698" s="10">
        <v>35920</v>
      </c>
      <c r="K1698" s="7">
        <v>-35920</v>
      </c>
      <c r="L1698" s="1" t="s">
        <v>1227</v>
      </c>
    </row>
    <row r="1699" spans="1:13">
      <c r="A1699" s="21" t="str">
        <f>TEXT(TEXT(B1699,"yyyymmdd"),"00000000")&amp;TEXT(COUNTIF($B$2:B1699,B1699),"00")</f>
        <v>2024100201</v>
      </c>
      <c r="B1699" s="21">
        <f t="shared" ref="B1699" si="310">DATE(C1699,D1699,E1699)</f>
        <v>45567</v>
      </c>
      <c r="C1699" s="22">
        <v>2024</v>
      </c>
      <c r="D1699" s="23">
        <v>10</v>
      </c>
      <c r="E1699" s="24">
        <v>2</v>
      </c>
      <c r="F1699" s="42" t="s">
        <v>17</v>
      </c>
      <c r="G1699" s="42" t="s">
        <v>7</v>
      </c>
      <c r="H1699" s="42" t="s">
        <v>119</v>
      </c>
      <c r="I1699" s="42" t="s">
        <v>180</v>
      </c>
      <c r="J1699" s="10">
        <v>45000</v>
      </c>
      <c r="K1699" s="7">
        <v>-45000</v>
      </c>
      <c r="L1699" s="1" t="s">
        <v>1253</v>
      </c>
    </row>
    <row r="1700" spans="1:13">
      <c r="A1700" s="21" t="str">
        <f>TEXT(TEXT(B1700,"yyyymmdd"),"00000000")&amp;TEXT(COUNTIF($B$2:B1700,B1700),"00")</f>
        <v>2024100301</v>
      </c>
      <c r="B1700" s="21">
        <f t="shared" ref="B1700" si="311">DATE(C1700,D1700,E1700)</f>
        <v>45568</v>
      </c>
      <c r="C1700" s="22">
        <v>2024</v>
      </c>
      <c r="D1700" s="23">
        <v>10</v>
      </c>
      <c r="E1700" s="24">
        <v>3</v>
      </c>
      <c r="F1700" s="42" t="s">
        <v>17</v>
      </c>
      <c r="G1700" s="42" t="s">
        <v>170</v>
      </c>
      <c r="H1700" s="42" t="s">
        <v>155</v>
      </c>
      <c r="I1700" s="42" t="s">
        <v>156</v>
      </c>
      <c r="J1700" s="10">
        <v>24750</v>
      </c>
      <c r="K1700" s="7">
        <v>-24750</v>
      </c>
      <c r="L1700" s="1" t="s">
        <v>157</v>
      </c>
      <c r="M1700" s="2" t="s">
        <v>1254</v>
      </c>
    </row>
    <row r="1701" spans="1:13">
      <c r="A1701" s="21" t="str">
        <f>TEXT(TEXT(B1701,"yyyymmdd"),"00000000")&amp;TEXT(COUNTIF($B$2:B1701,B1701),"00")</f>
        <v>2024100501</v>
      </c>
      <c r="B1701" s="21">
        <f t="shared" ref="B1701" si="312">DATE(C1701,D1701,E1701)</f>
        <v>45570</v>
      </c>
      <c r="C1701" s="22">
        <v>2024</v>
      </c>
      <c r="D1701" s="23">
        <v>10</v>
      </c>
      <c r="E1701" s="24">
        <v>5</v>
      </c>
      <c r="F1701" s="42" t="s">
        <v>17</v>
      </c>
      <c r="G1701" s="42" t="s">
        <v>170</v>
      </c>
      <c r="H1701" s="42" t="s">
        <v>155</v>
      </c>
      <c r="I1701" s="42" t="s">
        <v>156</v>
      </c>
      <c r="J1701" s="10">
        <v>68</v>
      </c>
      <c r="K1701" s="7">
        <v>-68</v>
      </c>
      <c r="L1701" s="1" t="s">
        <v>1195</v>
      </c>
    </row>
    <row r="1702" spans="1:13">
      <c r="A1702" s="21" t="str">
        <f>TEXT(TEXT(B1702,"yyyymmdd"),"00000000")&amp;TEXT(COUNTIF($B$2:B1702,B1702),"00")</f>
        <v>2024100502</v>
      </c>
      <c r="B1702" s="21">
        <f t="shared" ref="B1702" si="313">DATE(C1702,D1702,E1702)</f>
        <v>45570</v>
      </c>
      <c r="C1702" s="22">
        <v>2024</v>
      </c>
      <c r="D1702" s="23">
        <v>10</v>
      </c>
      <c r="E1702" s="24">
        <v>5</v>
      </c>
      <c r="F1702" s="42" t="s">
        <v>17</v>
      </c>
      <c r="G1702" s="42" t="s">
        <v>7</v>
      </c>
      <c r="H1702" s="42" t="s">
        <v>119</v>
      </c>
      <c r="I1702" s="42" t="s">
        <v>180</v>
      </c>
      <c r="J1702" s="10">
        <v>25500</v>
      </c>
      <c r="K1702" s="7">
        <v>-25500</v>
      </c>
      <c r="L1702" s="1" t="s">
        <v>181</v>
      </c>
      <c r="M1702" s="2" t="s">
        <v>1255</v>
      </c>
    </row>
    <row r="1703" spans="1:13">
      <c r="A1703" s="21" t="str">
        <f>TEXT(TEXT(B1703,"yyyymmdd"),"00000000")&amp;TEXT(COUNTIF($B$2:B1703,B1703),"00")</f>
        <v>2024100503</v>
      </c>
      <c r="B1703" s="21">
        <f t="shared" ref="B1703" si="314">DATE(C1703,D1703,E1703)</f>
        <v>45570</v>
      </c>
      <c r="C1703" s="22">
        <v>2024</v>
      </c>
      <c r="D1703" s="23">
        <v>10</v>
      </c>
      <c r="E1703" s="24">
        <v>5</v>
      </c>
      <c r="F1703" s="42" t="s">
        <v>17</v>
      </c>
      <c r="G1703" s="42" t="s">
        <v>7</v>
      </c>
      <c r="H1703" s="42" t="s">
        <v>119</v>
      </c>
      <c r="I1703" s="42" t="s">
        <v>180</v>
      </c>
      <c r="J1703" s="10">
        <v>20000</v>
      </c>
      <c r="K1703" s="7">
        <v>-20000</v>
      </c>
      <c r="L1703" s="1" t="s">
        <v>181</v>
      </c>
      <c r="M1703" s="2" t="s">
        <v>1256</v>
      </c>
    </row>
    <row r="1704" spans="1:13">
      <c r="A1704" s="21" t="str">
        <f>TEXT(TEXT(B1704,"yyyymmdd"),"00000000")&amp;TEXT(COUNTIF($B$2:B1704,B1704),"00")</f>
        <v>2024100504</v>
      </c>
      <c r="B1704" s="21">
        <f t="shared" ref="B1704" si="315">DATE(C1704,D1704,E1704)</f>
        <v>45570</v>
      </c>
      <c r="C1704" s="22">
        <v>2024</v>
      </c>
      <c r="D1704" s="23">
        <v>10</v>
      </c>
      <c r="E1704" s="24">
        <v>5</v>
      </c>
      <c r="F1704" s="42" t="s">
        <v>17</v>
      </c>
      <c r="G1704" s="42" t="s">
        <v>7</v>
      </c>
      <c r="H1704" s="42" t="s">
        <v>116</v>
      </c>
      <c r="I1704" s="42" t="s">
        <v>225</v>
      </c>
      <c r="J1704" s="10">
        <v>5000</v>
      </c>
      <c r="K1704" s="7">
        <v>-5000</v>
      </c>
      <c r="L1704" s="1" t="s">
        <v>1257</v>
      </c>
      <c r="M1704" s="2" t="s">
        <v>1258</v>
      </c>
    </row>
    <row r="1705" spans="1:13">
      <c r="A1705" s="21" t="str">
        <f>TEXT(TEXT(B1705,"yyyymmdd"),"00000000")&amp;TEXT(COUNTIF($B$2:B1705,B1705),"00")</f>
        <v>2024100701</v>
      </c>
      <c r="B1705" s="21">
        <f t="shared" ref="B1705" si="316">DATE(C1705,D1705,E1705)</f>
        <v>45572</v>
      </c>
      <c r="C1705" s="22">
        <v>2024</v>
      </c>
      <c r="D1705" s="23">
        <v>10</v>
      </c>
      <c r="E1705" s="24">
        <v>7</v>
      </c>
      <c r="F1705" s="42" t="s">
        <v>17</v>
      </c>
      <c r="G1705" s="42" t="s">
        <v>7</v>
      </c>
      <c r="H1705" s="42" t="s">
        <v>173</v>
      </c>
      <c r="I1705" s="42" t="s">
        <v>207</v>
      </c>
      <c r="J1705" s="10">
        <v>34160</v>
      </c>
      <c r="K1705" s="7">
        <v>-34160</v>
      </c>
      <c r="L1705" s="1" t="s">
        <v>208</v>
      </c>
    </row>
    <row r="1706" spans="1:13">
      <c r="A1706" s="21" t="str">
        <f>TEXT(TEXT(B1706,"yyyymmdd"),"00000000")&amp;TEXT(COUNTIF($B$2:B1706,B1706),"00")</f>
        <v>2024100702</v>
      </c>
      <c r="B1706" s="21">
        <f t="shared" ref="B1706" si="317">DATE(C1706,D1706,E1706)</f>
        <v>45572</v>
      </c>
      <c r="C1706" s="22">
        <v>2024</v>
      </c>
      <c r="D1706" s="23">
        <v>10</v>
      </c>
      <c r="E1706" s="24">
        <v>7</v>
      </c>
      <c r="F1706" s="42" t="s">
        <v>17</v>
      </c>
      <c r="G1706" s="42" t="s">
        <v>13</v>
      </c>
      <c r="H1706" s="42" t="s">
        <v>138</v>
      </c>
      <c r="I1706" s="42" t="s">
        <v>139</v>
      </c>
      <c r="J1706" s="10">
        <v>9333</v>
      </c>
      <c r="K1706" s="7">
        <v>-9333</v>
      </c>
      <c r="L1706" s="1" t="s">
        <v>734</v>
      </c>
    </row>
    <row r="1707" spans="1:13">
      <c r="A1707" s="21" t="str">
        <f>TEXT(TEXT(B1707,"yyyymmdd"),"00000000")&amp;TEXT(COUNTIF($B$2:B1707,B1707),"00")</f>
        <v>2024100801</v>
      </c>
      <c r="B1707" s="21">
        <f t="shared" ref="B1707" si="318">DATE(C1707,D1707,E1707)</f>
        <v>45573</v>
      </c>
      <c r="C1707" s="22">
        <v>2024</v>
      </c>
      <c r="D1707" s="23">
        <v>10</v>
      </c>
      <c r="E1707" s="24">
        <v>8</v>
      </c>
      <c r="F1707" s="42" t="s">
        <v>17</v>
      </c>
      <c r="G1707" s="42" t="s">
        <v>135</v>
      </c>
      <c r="H1707" s="42" t="s">
        <v>135</v>
      </c>
      <c r="I1707" s="42" t="s">
        <v>143</v>
      </c>
      <c r="J1707" s="10">
        <v>-10000</v>
      </c>
      <c r="K1707" s="7">
        <v>10000</v>
      </c>
      <c r="L1707" s="1" t="s">
        <v>165</v>
      </c>
    </row>
    <row r="1708" spans="1:13">
      <c r="A1708" s="21" t="str">
        <f>TEXT(TEXT(B1708,"yyyymmdd"),"00000000")&amp;TEXT(COUNTIF($B$2:B1708,B1708),"00")</f>
        <v>2024100802</v>
      </c>
      <c r="B1708" s="21">
        <f t="shared" ref="B1708" si="319">DATE(C1708,D1708,E1708)</f>
        <v>45573</v>
      </c>
      <c r="C1708" s="22">
        <v>2024</v>
      </c>
      <c r="D1708" s="23">
        <v>10</v>
      </c>
      <c r="E1708" s="24">
        <v>8</v>
      </c>
      <c r="F1708" s="42" t="s">
        <v>17</v>
      </c>
      <c r="G1708" s="42" t="s">
        <v>13</v>
      </c>
      <c r="H1708" s="42" t="s">
        <v>167</v>
      </c>
      <c r="I1708" s="42" t="s">
        <v>168</v>
      </c>
      <c r="J1708" s="10">
        <v>5100</v>
      </c>
      <c r="K1708" s="7">
        <v>-5100</v>
      </c>
      <c r="L1708" s="1" t="s">
        <v>748</v>
      </c>
    </row>
    <row r="1709" spans="1:13">
      <c r="A1709" s="21" t="str">
        <f>TEXT(TEXT(B1709,"yyyymmdd"),"00000000")&amp;TEXT(COUNTIF($B$2:B1709,B1709),"00")</f>
        <v>2024100803</v>
      </c>
      <c r="B1709" s="21">
        <f t="shared" ref="B1709" si="320">DATE(C1709,D1709,E1709)</f>
        <v>45573</v>
      </c>
      <c r="C1709" s="22">
        <v>2024</v>
      </c>
      <c r="D1709" s="23">
        <v>10</v>
      </c>
      <c r="E1709" s="24">
        <v>8</v>
      </c>
      <c r="F1709" s="42" t="s">
        <v>17</v>
      </c>
      <c r="G1709" s="42" t="s">
        <v>7</v>
      </c>
      <c r="H1709" s="42" t="s">
        <v>116</v>
      </c>
      <c r="I1709" s="42" t="s">
        <v>212</v>
      </c>
      <c r="J1709" s="10">
        <v>1010</v>
      </c>
      <c r="K1709" s="7">
        <v>-1010</v>
      </c>
      <c r="L1709" s="1" t="s">
        <v>1259</v>
      </c>
      <c r="M1709" s="2" t="s">
        <v>1260</v>
      </c>
    </row>
    <row r="1710" spans="1:13">
      <c r="A1710" s="21" t="str">
        <f>TEXT(TEXT(B1710,"yyyymmdd"),"00000000")&amp;TEXT(COUNTIF($B$2:B1710,B1710),"00")</f>
        <v>2024100804</v>
      </c>
      <c r="B1710" s="21">
        <f t="shared" ref="B1710" si="321">DATE(C1710,D1710,E1710)</f>
        <v>45573</v>
      </c>
      <c r="C1710" s="22">
        <v>2024</v>
      </c>
      <c r="D1710" s="23">
        <v>10</v>
      </c>
      <c r="E1710" s="24">
        <v>8</v>
      </c>
      <c r="F1710" s="42" t="s">
        <v>17</v>
      </c>
      <c r="G1710" s="42" t="s">
        <v>13</v>
      </c>
      <c r="H1710" s="42" t="s">
        <v>138</v>
      </c>
      <c r="I1710" s="42" t="s">
        <v>139</v>
      </c>
      <c r="J1710" s="10">
        <v>7500</v>
      </c>
      <c r="K1710" s="7">
        <v>-7500</v>
      </c>
      <c r="L1710" s="1" t="s">
        <v>673</v>
      </c>
    </row>
    <row r="1711" spans="1:13">
      <c r="A1711" s="21" t="str">
        <f>TEXT(TEXT(B1711,"yyyymmdd"),"00000000")&amp;TEXT(COUNTIF($B$2:B1711,B1711),"00")</f>
        <v>2024101001</v>
      </c>
      <c r="B1711" s="21">
        <f t="shared" ref="B1711" si="322">DATE(C1711,D1711,E1711)</f>
        <v>45575</v>
      </c>
      <c r="C1711" s="22">
        <v>2024</v>
      </c>
      <c r="D1711" s="23">
        <v>10</v>
      </c>
      <c r="E1711" s="24">
        <v>10</v>
      </c>
      <c r="F1711" s="42" t="s">
        <v>17</v>
      </c>
      <c r="G1711" s="42" t="s">
        <v>13</v>
      </c>
      <c r="H1711" s="42" t="s">
        <v>138</v>
      </c>
      <c r="I1711" s="42" t="s">
        <v>139</v>
      </c>
      <c r="J1711" s="10">
        <v>13000</v>
      </c>
      <c r="K1711" s="7">
        <v>-13000</v>
      </c>
      <c r="L1711" s="1" t="s">
        <v>670</v>
      </c>
    </row>
    <row r="1712" spans="1:13">
      <c r="A1712" s="21" t="str">
        <f>TEXT(TEXT(B1712,"yyyymmdd"),"00000000")&amp;TEXT(COUNTIF($B$2:B1712,B1712),"00")</f>
        <v>2024101002</v>
      </c>
      <c r="B1712" s="21">
        <f t="shared" ref="B1712" si="323">DATE(C1712,D1712,E1712)</f>
        <v>45575</v>
      </c>
      <c r="C1712" s="22">
        <v>2024</v>
      </c>
      <c r="D1712" s="23">
        <v>10</v>
      </c>
      <c r="E1712" s="24">
        <v>10</v>
      </c>
      <c r="F1712" s="42" t="s">
        <v>17</v>
      </c>
      <c r="G1712" s="42" t="s">
        <v>7</v>
      </c>
      <c r="H1712" s="42" t="s">
        <v>167</v>
      </c>
      <c r="I1712" s="42" t="s">
        <v>168</v>
      </c>
      <c r="J1712" s="10">
        <v>11950</v>
      </c>
      <c r="K1712" s="7">
        <v>-11950</v>
      </c>
      <c r="L1712" s="1" t="s">
        <v>532</v>
      </c>
      <c r="M1712" s="2" t="s">
        <v>1261</v>
      </c>
    </row>
    <row r="1713" spans="1:13">
      <c r="A1713" s="21" t="str">
        <f>TEXT(TEXT(B1713,"yyyymmdd"),"00000000")&amp;TEXT(COUNTIF($B$2:B1713,B1713),"00")</f>
        <v>2024101101</v>
      </c>
      <c r="B1713" s="21">
        <f t="shared" ref="B1713" si="324">DATE(C1713,D1713,E1713)</f>
        <v>45576</v>
      </c>
      <c r="C1713" s="22">
        <v>2024</v>
      </c>
      <c r="D1713" s="23">
        <v>10</v>
      </c>
      <c r="E1713" s="24">
        <v>11</v>
      </c>
      <c r="F1713" s="42" t="s">
        <v>17</v>
      </c>
      <c r="G1713" s="42" t="s">
        <v>7</v>
      </c>
      <c r="H1713" s="42" t="s">
        <v>155</v>
      </c>
      <c r="I1713" s="42" t="s">
        <v>221</v>
      </c>
      <c r="J1713" s="10">
        <v>15700</v>
      </c>
      <c r="K1713" s="7">
        <v>-15700</v>
      </c>
      <c r="L1713" s="1" t="s">
        <v>1038</v>
      </c>
      <c r="M1713" s="2" t="s">
        <v>1262</v>
      </c>
    </row>
    <row r="1714" spans="1:13">
      <c r="A1714" s="21" t="str">
        <f>TEXT(TEXT(B1714,"yyyymmdd"),"00000000")&amp;TEXT(COUNTIF($B$2:B1714,B1714),"00")</f>
        <v>2024101102</v>
      </c>
      <c r="B1714" s="21">
        <f t="shared" ref="B1714" si="325">DATE(C1714,D1714,E1714)</f>
        <v>45576</v>
      </c>
      <c r="C1714" s="22">
        <v>2024</v>
      </c>
      <c r="D1714" s="23">
        <v>10</v>
      </c>
      <c r="E1714" s="24">
        <v>11</v>
      </c>
      <c r="F1714" s="42" t="s">
        <v>17</v>
      </c>
      <c r="G1714" s="42" t="s">
        <v>13</v>
      </c>
      <c r="H1714" s="42" t="s">
        <v>138</v>
      </c>
      <c r="I1714" s="42" t="s">
        <v>139</v>
      </c>
      <c r="J1714" s="10">
        <v>6600</v>
      </c>
      <c r="K1714" s="7">
        <v>-6600</v>
      </c>
      <c r="L1714" s="1" t="s">
        <v>300</v>
      </c>
    </row>
    <row r="1715" spans="1:13">
      <c r="A1715" s="21" t="str">
        <f>TEXT(TEXT(B1715,"yyyymmdd"),"00000000")&amp;TEXT(COUNTIF($B$2:B1715,B1715),"00")</f>
        <v>2024101501</v>
      </c>
      <c r="B1715" s="21">
        <f t="shared" ref="B1715" si="326">DATE(C1715,D1715,E1715)</f>
        <v>45580</v>
      </c>
      <c r="C1715" s="22">
        <v>2024</v>
      </c>
      <c r="D1715" s="23">
        <v>10</v>
      </c>
      <c r="E1715" s="24">
        <v>15</v>
      </c>
      <c r="F1715" s="42" t="s">
        <v>17</v>
      </c>
      <c r="G1715" s="42" t="s">
        <v>13</v>
      </c>
      <c r="H1715" s="42" t="s">
        <v>167</v>
      </c>
      <c r="I1715" s="42" t="s">
        <v>168</v>
      </c>
      <c r="J1715" s="10">
        <v>5600</v>
      </c>
      <c r="K1715" s="7">
        <v>-5600</v>
      </c>
      <c r="L1715" s="1" t="s">
        <v>748</v>
      </c>
    </row>
    <row r="1716" spans="1:13">
      <c r="A1716" s="21" t="str">
        <f>TEXT(TEXT(B1716,"yyyymmdd"),"00000000")&amp;TEXT(COUNTIF($B$2:B1716,B1716),"00")</f>
        <v>2024101502</v>
      </c>
      <c r="B1716" s="21">
        <f t="shared" ref="B1716" si="327">DATE(C1716,D1716,E1716)</f>
        <v>45580</v>
      </c>
      <c r="C1716" s="22">
        <v>2024</v>
      </c>
      <c r="D1716" s="23">
        <v>10</v>
      </c>
      <c r="E1716" s="24">
        <v>15</v>
      </c>
      <c r="F1716" s="42" t="s">
        <v>17</v>
      </c>
      <c r="G1716" s="42" t="s">
        <v>13</v>
      </c>
      <c r="H1716" s="42" t="s">
        <v>138</v>
      </c>
      <c r="I1716" s="42" t="s">
        <v>139</v>
      </c>
      <c r="J1716" s="10">
        <v>7625</v>
      </c>
      <c r="K1716" s="7">
        <v>-7625</v>
      </c>
      <c r="L1716" s="1" t="s">
        <v>736</v>
      </c>
    </row>
    <row r="1717" spans="1:13">
      <c r="A1717" s="21" t="str">
        <f>TEXT(TEXT(B1717,"yyyymmdd"),"00000000")&amp;TEXT(COUNTIF($B$2:B1717,B1717),"00")</f>
        <v>2024101503</v>
      </c>
      <c r="B1717" s="21">
        <f t="shared" ref="B1717" si="328">DATE(C1717,D1717,E1717)</f>
        <v>45580</v>
      </c>
      <c r="C1717" s="22">
        <v>2024</v>
      </c>
      <c r="D1717" s="23">
        <v>10</v>
      </c>
      <c r="E1717" s="24">
        <v>15</v>
      </c>
      <c r="F1717" s="42" t="s">
        <v>17</v>
      </c>
      <c r="G1717" s="42" t="s">
        <v>13</v>
      </c>
      <c r="H1717" s="42" t="s">
        <v>138</v>
      </c>
      <c r="I1717" s="42" t="s">
        <v>139</v>
      </c>
      <c r="J1717" s="10">
        <v>5000</v>
      </c>
      <c r="K1717" s="7">
        <v>-5000</v>
      </c>
      <c r="L1717" s="1" t="s">
        <v>619</v>
      </c>
    </row>
    <row r="1718" spans="1:13">
      <c r="A1718" s="21" t="str">
        <f>TEXT(TEXT(B1718,"yyyymmdd"),"00000000")&amp;TEXT(COUNTIF($B$2:B1718,B1718),"00")</f>
        <v>2024101601</v>
      </c>
      <c r="B1718" s="21">
        <f t="shared" ref="B1718" si="329">DATE(C1718,D1718,E1718)</f>
        <v>45581</v>
      </c>
      <c r="C1718" s="22">
        <v>2024</v>
      </c>
      <c r="D1718" s="23">
        <v>10</v>
      </c>
      <c r="E1718" s="24">
        <v>16</v>
      </c>
      <c r="F1718" s="42" t="s">
        <v>17</v>
      </c>
      <c r="G1718" s="42" t="s">
        <v>7</v>
      </c>
      <c r="H1718" s="42" t="s">
        <v>167</v>
      </c>
      <c r="I1718" s="42" t="s">
        <v>214</v>
      </c>
      <c r="J1718" s="10">
        <v>17600</v>
      </c>
      <c r="K1718" s="7">
        <v>-17600</v>
      </c>
      <c r="L1718" s="1" t="s">
        <v>1253</v>
      </c>
      <c r="M1718" s="2" t="s">
        <v>1263</v>
      </c>
    </row>
    <row r="1719" spans="1:13">
      <c r="A1719" s="21" t="str">
        <f>TEXT(TEXT(B1719,"yyyymmdd"),"00000000")&amp;TEXT(COUNTIF($B$2:B1719,B1719),"00")</f>
        <v>2024101602</v>
      </c>
      <c r="B1719" s="21">
        <f t="shared" ref="B1719" si="330">DATE(C1719,D1719,E1719)</f>
        <v>45581</v>
      </c>
      <c r="C1719" s="22">
        <v>2024</v>
      </c>
      <c r="D1719" s="23">
        <v>10</v>
      </c>
      <c r="E1719" s="24">
        <v>16</v>
      </c>
      <c r="F1719" s="42" t="s">
        <v>17</v>
      </c>
      <c r="G1719" s="42" t="s">
        <v>13</v>
      </c>
      <c r="H1719" s="42" t="s">
        <v>138</v>
      </c>
      <c r="I1719" s="42" t="s">
        <v>139</v>
      </c>
      <c r="J1719" s="10">
        <v>8000</v>
      </c>
      <c r="K1719" s="7">
        <v>-8000</v>
      </c>
      <c r="L1719" s="1" t="s">
        <v>677</v>
      </c>
    </row>
    <row r="1720" spans="1:13">
      <c r="A1720" s="21" t="str">
        <f>TEXT(TEXT(B1720,"yyyymmdd"),"00000000")&amp;TEXT(COUNTIF($B$2:B1720,B1720),"00")</f>
        <v>2024101603</v>
      </c>
      <c r="B1720" s="21">
        <f t="shared" ref="B1720" si="331">DATE(C1720,D1720,E1720)</f>
        <v>45581</v>
      </c>
      <c r="C1720" s="22">
        <v>2024</v>
      </c>
      <c r="D1720" s="23">
        <v>10</v>
      </c>
      <c r="E1720" s="24">
        <v>16</v>
      </c>
      <c r="F1720" s="42" t="s">
        <v>17</v>
      </c>
      <c r="G1720" s="42" t="s">
        <v>170</v>
      </c>
      <c r="H1720" s="42" t="s">
        <v>114</v>
      </c>
      <c r="I1720" s="42" t="s">
        <v>1007</v>
      </c>
      <c r="J1720" s="10">
        <v>12840</v>
      </c>
      <c r="K1720" s="7">
        <v>-12840</v>
      </c>
      <c r="L1720" s="1" t="s">
        <v>1023</v>
      </c>
    </row>
    <row r="1721" spans="1:13">
      <c r="A1721" s="21" t="str">
        <f>TEXT(TEXT(B1721,"yyyymmdd"),"00000000")&amp;TEXT(COUNTIF($B$2:B1721,B1721),"00")</f>
        <v>2024101701</v>
      </c>
      <c r="B1721" s="21">
        <f t="shared" ref="B1721" si="332">DATE(C1721,D1721,E1721)</f>
        <v>45582</v>
      </c>
      <c r="C1721" s="22">
        <v>2024</v>
      </c>
      <c r="D1721" s="23">
        <v>10</v>
      </c>
      <c r="E1721" s="24">
        <v>17</v>
      </c>
      <c r="F1721" s="42" t="s">
        <v>17</v>
      </c>
      <c r="G1721" s="42" t="s">
        <v>13</v>
      </c>
      <c r="H1721" s="42" t="s">
        <v>138</v>
      </c>
      <c r="I1721" s="42" t="s">
        <v>139</v>
      </c>
      <c r="J1721" s="10">
        <v>6000</v>
      </c>
      <c r="K1721" s="7">
        <v>-6000</v>
      </c>
      <c r="L1721" s="1" t="s">
        <v>619</v>
      </c>
    </row>
    <row r="1722" spans="1:13">
      <c r="A1722" s="21" t="str">
        <f>TEXT(TEXT(B1722,"yyyymmdd"),"00000000")&amp;TEXT(COUNTIF($B$2:B1722,B1722),"00")</f>
        <v>2024101801</v>
      </c>
      <c r="B1722" s="21">
        <f t="shared" ref="B1722" si="333">DATE(C1722,D1722,E1722)</f>
        <v>45583</v>
      </c>
      <c r="C1722" s="22">
        <v>2024</v>
      </c>
      <c r="D1722" s="23">
        <v>10</v>
      </c>
      <c r="E1722" s="24">
        <v>18</v>
      </c>
      <c r="F1722" s="42" t="s">
        <v>17</v>
      </c>
      <c r="G1722" s="42" t="s">
        <v>13</v>
      </c>
      <c r="H1722" s="42" t="s">
        <v>138</v>
      </c>
      <c r="I1722" s="42" t="s">
        <v>139</v>
      </c>
      <c r="J1722" s="10">
        <v>5000</v>
      </c>
      <c r="K1722" s="7">
        <v>-5000</v>
      </c>
      <c r="L1722" s="1" t="s">
        <v>619</v>
      </c>
    </row>
    <row r="1723" spans="1:13">
      <c r="A1723" s="21" t="str">
        <f>TEXT(TEXT(B1723,"yyyymmdd"),"00000000")&amp;TEXT(COUNTIF($B$2:B1723,B1723),"00")</f>
        <v>2024101802</v>
      </c>
      <c r="B1723" s="21">
        <f t="shared" ref="B1723" si="334">DATE(C1723,D1723,E1723)</f>
        <v>45583</v>
      </c>
      <c r="C1723" s="22">
        <v>2024</v>
      </c>
      <c r="D1723" s="23">
        <v>10</v>
      </c>
      <c r="E1723" s="24">
        <v>18</v>
      </c>
      <c r="F1723" s="42" t="s">
        <v>17</v>
      </c>
      <c r="G1723" s="42" t="s">
        <v>13</v>
      </c>
      <c r="H1723" s="42" t="s">
        <v>138</v>
      </c>
      <c r="I1723" s="42" t="s">
        <v>139</v>
      </c>
      <c r="J1723" s="10">
        <v>13000</v>
      </c>
      <c r="K1723" s="7">
        <v>-13000</v>
      </c>
      <c r="L1723" s="1" t="s">
        <v>670</v>
      </c>
    </row>
    <row r="1724" spans="1:13">
      <c r="A1724" s="21" t="str">
        <f>TEXT(TEXT(B1724,"yyyymmdd"),"00000000")&amp;TEXT(COUNTIF($B$2:B1724,B1724),"00")</f>
        <v>2024101803</v>
      </c>
      <c r="B1724" s="21">
        <f t="shared" ref="B1724" si="335">DATE(C1724,D1724,E1724)</f>
        <v>45583</v>
      </c>
      <c r="C1724" s="22">
        <v>2024</v>
      </c>
      <c r="D1724" s="23">
        <v>10</v>
      </c>
      <c r="E1724" s="24">
        <v>18</v>
      </c>
      <c r="F1724" s="42" t="s">
        <v>17</v>
      </c>
      <c r="G1724" s="42" t="s">
        <v>7</v>
      </c>
      <c r="H1724" s="42" t="s">
        <v>111</v>
      </c>
      <c r="I1724" s="42" t="s">
        <v>334</v>
      </c>
      <c r="J1724" s="10">
        <v>16500</v>
      </c>
      <c r="K1724" s="7">
        <v>-16500</v>
      </c>
      <c r="L1724" s="1" t="s">
        <v>1264</v>
      </c>
    </row>
    <row r="1725" spans="1:13">
      <c r="A1725" s="21" t="str">
        <f>TEXT(TEXT(B1725,"yyyymmdd"),"00000000")&amp;TEXT(COUNTIF($B$2:B1725,B1725),"00")</f>
        <v>2024101804</v>
      </c>
      <c r="B1725" s="21">
        <f t="shared" ref="B1725" si="336">DATE(C1725,D1725,E1725)</f>
        <v>45583</v>
      </c>
      <c r="C1725" s="22">
        <v>2024</v>
      </c>
      <c r="D1725" s="23">
        <v>10</v>
      </c>
      <c r="E1725" s="24">
        <v>18</v>
      </c>
      <c r="F1725" s="42" t="s">
        <v>17</v>
      </c>
      <c r="G1725" s="42" t="s">
        <v>7</v>
      </c>
      <c r="H1725" s="42" t="s">
        <v>167</v>
      </c>
      <c r="I1725" s="42" t="s">
        <v>168</v>
      </c>
      <c r="J1725" s="10">
        <v>8200</v>
      </c>
      <c r="K1725" s="7">
        <v>-8200</v>
      </c>
      <c r="L1725" s="1" t="s">
        <v>532</v>
      </c>
      <c r="M1725" s="2" t="s">
        <v>1265</v>
      </c>
    </row>
    <row r="1726" spans="1:13">
      <c r="A1726" s="21" t="str">
        <f>TEXT(TEXT(B1726,"yyyymmdd"),"00000000")&amp;TEXT(COUNTIF($B$2:B1726,B1726),"00")</f>
        <v>2024101901</v>
      </c>
      <c r="B1726" s="21">
        <f t="shared" ref="B1726" si="337">DATE(C1726,D1726,E1726)</f>
        <v>45584</v>
      </c>
      <c r="C1726" s="22">
        <v>2024</v>
      </c>
      <c r="D1726" s="23">
        <v>10</v>
      </c>
      <c r="E1726" s="24">
        <v>19</v>
      </c>
      <c r="F1726" s="42" t="s">
        <v>17</v>
      </c>
      <c r="G1726" s="42" t="s">
        <v>13</v>
      </c>
      <c r="H1726" s="42" t="s">
        <v>138</v>
      </c>
      <c r="I1726" s="42" t="s">
        <v>139</v>
      </c>
      <c r="J1726" s="10">
        <v>9000</v>
      </c>
      <c r="K1726" s="7">
        <v>-9000</v>
      </c>
      <c r="L1726" s="1" t="s">
        <v>677</v>
      </c>
    </row>
    <row r="1727" spans="1:13">
      <c r="A1727" s="21" t="str">
        <f>TEXT(TEXT(B1727,"yyyymmdd"),"00000000")&amp;TEXT(COUNTIF($B$2:B1727,B1727),"00")</f>
        <v>2024102001</v>
      </c>
      <c r="B1727" s="21">
        <f t="shared" ref="B1727" si="338">DATE(C1727,D1727,E1727)</f>
        <v>45585</v>
      </c>
      <c r="C1727" s="22">
        <v>2024</v>
      </c>
      <c r="D1727" s="23">
        <v>10</v>
      </c>
      <c r="E1727" s="24">
        <v>20</v>
      </c>
      <c r="F1727" s="42" t="s">
        <v>17</v>
      </c>
      <c r="G1727" s="42" t="s">
        <v>13</v>
      </c>
      <c r="H1727" s="42" t="s">
        <v>138</v>
      </c>
      <c r="I1727" s="42" t="s">
        <v>139</v>
      </c>
      <c r="J1727" s="10">
        <v>8000</v>
      </c>
      <c r="K1727" s="7">
        <v>-8000</v>
      </c>
      <c r="L1727" s="1" t="s">
        <v>911</v>
      </c>
    </row>
    <row r="1728" spans="1:13">
      <c r="A1728" s="21" t="str">
        <f>TEXT(TEXT(B1728,"yyyymmdd"),"00000000")&amp;TEXT(COUNTIF($B$2:B1728,B1728),"00")</f>
        <v>2024102101</v>
      </c>
      <c r="B1728" s="21">
        <f t="shared" ref="B1728" si="339">DATE(C1728,D1728,E1728)</f>
        <v>45586</v>
      </c>
      <c r="C1728" s="22">
        <v>2024</v>
      </c>
      <c r="D1728" s="23">
        <v>10</v>
      </c>
      <c r="E1728" s="24">
        <v>21</v>
      </c>
      <c r="F1728" s="42" t="s">
        <v>17</v>
      </c>
      <c r="G1728" s="42" t="s">
        <v>170</v>
      </c>
      <c r="H1728" s="42" t="s">
        <v>114</v>
      </c>
      <c r="I1728" s="42" t="s">
        <v>1266</v>
      </c>
      <c r="J1728" s="10">
        <v>370</v>
      </c>
      <c r="K1728" s="7">
        <v>-370</v>
      </c>
      <c r="L1728" s="1" t="s">
        <v>1267</v>
      </c>
      <c r="M1728" s="2" t="s">
        <v>1268</v>
      </c>
    </row>
    <row r="1729" spans="1:13">
      <c r="A1729" s="21" t="str">
        <f>TEXT(TEXT(B1729,"yyyymmdd"),"00000000")&amp;TEXT(COUNTIF($B$2:B1729,B1729),"00")</f>
        <v>2024102102</v>
      </c>
      <c r="B1729" s="21">
        <f t="shared" ref="B1729" si="340">DATE(C1729,D1729,E1729)</f>
        <v>45586</v>
      </c>
      <c r="C1729" s="22">
        <v>2024</v>
      </c>
      <c r="D1729" s="23">
        <v>10</v>
      </c>
      <c r="E1729" s="24">
        <v>21</v>
      </c>
      <c r="F1729" s="42" t="s">
        <v>17</v>
      </c>
      <c r="G1729" s="42" t="s">
        <v>13</v>
      </c>
      <c r="H1729" s="42" t="s">
        <v>138</v>
      </c>
      <c r="I1729" s="42" t="s">
        <v>139</v>
      </c>
      <c r="J1729" s="10">
        <v>9000</v>
      </c>
      <c r="K1729" s="7">
        <v>-9000</v>
      </c>
      <c r="L1729" s="1" t="s">
        <v>889</v>
      </c>
    </row>
    <row r="1730" spans="1:13">
      <c r="A1730" s="21" t="str">
        <f>TEXT(TEXT(B1730,"yyyymmdd"),"00000000")&amp;TEXT(COUNTIF($B$2:B1730,B1730),"00")</f>
        <v>2024102103</v>
      </c>
      <c r="B1730" s="21">
        <f t="shared" ref="B1730" si="341">DATE(C1730,D1730,E1730)</f>
        <v>45586</v>
      </c>
      <c r="C1730" s="22">
        <v>2024</v>
      </c>
      <c r="D1730" s="23">
        <v>10</v>
      </c>
      <c r="E1730" s="24">
        <v>21</v>
      </c>
      <c r="F1730" s="42" t="s">
        <v>17</v>
      </c>
      <c r="G1730" s="42" t="s">
        <v>7</v>
      </c>
      <c r="H1730" s="42" t="s">
        <v>119</v>
      </c>
      <c r="I1730" s="42" t="s">
        <v>180</v>
      </c>
      <c r="J1730" s="10">
        <v>13500</v>
      </c>
      <c r="K1730" s="7">
        <v>-13500</v>
      </c>
      <c r="L1730" s="1" t="s">
        <v>181</v>
      </c>
      <c r="M1730" s="2" t="s">
        <v>1269</v>
      </c>
    </row>
    <row r="1731" spans="1:13">
      <c r="A1731" s="21" t="str">
        <f>TEXT(TEXT(B1731,"yyyymmdd"),"00000000")&amp;TEXT(COUNTIF($B$2:B1731,B1731),"00")</f>
        <v>2024102104</v>
      </c>
      <c r="B1731" s="21">
        <f t="shared" ref="B1731" si="342">DATE(C1731,D1731,E1731)</f>
        <v>45586</v>
      </c>
      <c r="C1731" s="22">
        <v>2024</v>
      </c>
      <c r="D1731" s="23">
        <v>10</v>
      </c>
      <c r="E1731" s="24">
        <v>21</v>
      </c>
      <c r="F1731" s="42" t="s">
        <v>17</v>
      </c>
      <c r="G1731" s="42" t="s">
        <v>7</v>
      </c>
      <c r="H1731" s="42" t="s">
        <v>119</v>
      </c>
      <c r="I1731" s="42" t="s">
        <v>180</v>
      </c>
      <c r="J1731" s="10">
        <v>6500</v>
      </c>
      <c r="K1731" s="7">
        <v>-6500</v>
      </c>
      <c r="L1731" s="1" t="s">
        <v>181</v>
      </c>
      <c r="M1731" s="2" t="s">
        <v>1270</v>
      </c>
    </row>
    <row r="1732" spans="1:13">
      <c r="A1732" s="21" t="str">
        <f>TEXT(TEXT(B1732,"yyyymmdd"),"00000000")&amp;TEXT(COUNTIF($B$2:B1732,B1732),"00")</f>
        <v>2024102201</v>
      </c>
      <c r="B1732" s="21">
        <f t="shared" ref="B1732" si="343">DATE(C1732,D1732,E1732)</f>
        <v>45587</v>
      </c>
      <c r="C1732" s="22">
        <v>2024</v>
      </c>
      <c r="D1732" s="23">
        <v>10</v>
      </c>
      <c r="E1732" s="24">
        <v>22</v>
      </c>
      <c r="F1732" s="42" t="s">
        <v>17</v>
      </c>
      <c r="G1732" s="42" t="s">
        <v>13</v>
      </c>
      <c r="H1732" s="42" t="s">
        <v>138</v>
      </c>
      <c r="I1732" s="42" t="s">
        <v>139</v>
      </c>
      <c r="J1732" s="10">
        <v>6000</v>
      </c>
      <c r="K1732" s="7">
        <v>-6000</v>
      </c>
      <c r="L1732" s="1" t="s">
        <v>619</v>
      </c>
    </row>
    <row r="1733" spans="1:13">
      <c r="A1733" s="21" t="str">
        <f>TEXT(TEXT(B1733,"yyyymmdd"),"00000000")&amp;TEXT(COUNTIF($B$2:B1733,B1733),"00")</f>
        <v>2024102301</v>
      </c>
      <c r="B1733" s="21">
        <f t="shared" ref="B1733" si="344">DATE(C1733,D1733,E1733)</f>
        <v>45588</v>
      </c>
      <c r="C1733" s="22">
        <v>2024</v>
      </c>
      <c r="D1733" s="23">
        <v>10</v>
      </c>
      <c r="E1733" s="24">
        <v>23</v>
      </c>
      <c r="F1733" s="42" t="s">
        <v>17</v>
      </c>
      <c r="G1733" s="42" t="s">
        <v>7</v>
      </c>
      <c r="H1733" s="42" t="s">
        <v>116</v>
      </c>
      <c r="I1733" s="42" t="s">
        <v>212</v>
      </c>
      <c r="J1733" s="10">
        <v>24000</v>
      </c>
      <c r="K1733" s="7">
        <v>-24000</v>
      </c>
      <c r="L1733" s="1" t="s">
        <v>1259</v>
      </c>
      <c r="M1733" s="2" t="s">
        <v>1271</v>
      </c>
    </row>
    <row r="1734" spans="1:13">
      <c r="A1734" s="21" t="str">
        <f>TEXT(TEXT(B1734,"yyyymmdd"),"00000000")&amp;TEXT(COUNTIF($B$2:B1734,B1734),"00")</f>
        <v>2024102302</v>
      </c>
      <c r="B1734" s="21">
        <f t="shared" ref="B1734" si="345">DATE(C1734,D1734,E1734)</f>
        <v>45588</v>
      </c>
      <c r="C1734" s="22">
        <v>2024</v>
      </c>
      <c r="D1734" s="23">
        <v>10</v>
      </c>
      <c r="E1734" s="24">
        <v>23</v>
      </c>
      <c r="F1734" s="42" t="s">
        <v>17</v>
      </c>
      <c r="G1734" s="42" t="s">
        <v>13</v>
      </c>
      <c r="H1734" s="42" t="s">
        <v>138</v>
      </c>
      <c r="I1734" s="42" t="s">
        <v>139</v>
      </c>
      <c r="J1734" s="10">
        <v>7500</v>
      </c>
      <c r="K1734" s="7">
        <v>-7500</v>
      </c>
      <c r="L1734" s="1" t="s">
        <v>300</v>
      </c>
    </row>
    <row r="1735" spans="1:13">
      <c r="A1735" s="21" t="str">
        <f>TEXT(TEXT(B1735,"yyyymmdd"),"00000000")&amp;TEXT(COUNTIF($B$2:B1735,B1735),"00")</f>
        <v>2024102303</v>
      </c>
      <c r="B1735" s="21">
        <f t="shared" ref="B1735" si="346">DATE(C1735,D1735,E1735)</f>
        <v>45588</v>
      </c>
      <c r="C1735" s="22">
        <v>2024</v>
      </c>
      <c r="D1735" s="23">
        <v>10</v>
      </c>
      <c r="E1735" s="24">
        <v>23</v>
      </c>
      <c r="F1735" s="42" t="s">
        <v>17</v>
      </c>
      <c r="G1735" s="42" t="s">
        <v>170</v>
      </c>
      <c r="H1735" s="42" t="s">
        <v>114</v>
      </c>
      <c r="I1735" s="42" t="s">
        <v>1005</v>
      </c>
      <c r="J1735" s="10">
        <v>25140</v>
      </c>
      <c r="K1735" s="7">
        <v>-25140</v>
      </c>
      <c r="L1735" s="1" t="s">
        <v>1006</v>
      </c>
    </row>
    <row r="1736" spans="1:13">
      <c r="A1736" s="21" t="str">
        <f>TEXT(TEXT(B1736,"yyyymmdd"),"00000000")&amp;TEXT(COUNTIF($B$2:B1736,B1736),"00")</f>
        <v>2024102501</v>
      </c>
      <c r="B1736" s="21">
        <f t="shared" ref="B1736" si="347">DATE(C1736,D1736,E1736)</f>
        <v>45590</v>
      </c>
      <c r="C1736" s="22">
        <v>2024</v>
      </c>
      <c r="D1736" s="23">
        <v>10</v>
      </c>
      <c r="E1736" s="24">
        <v>25</v>
      </c>
      <c r="F1736" s="42" t="s">
        <v>17</v>
      </c>
      <c r="G1736" s="42" t="s">
        <v>13</v>
      </c>
      <c r="H1736" s="42" t="s">
        <v>138</v>
      </c>
      <c r="I1736" s="42" t="s">
        <v>139</v>
      </c>
      <c r="J1736" s="10">
        <v>5000</v>
      </c>
      <c r="K1736" s="7">
        <v>-5000</v>
      </c>
      <c r="L1736" s="1" t="s">
        <v>619</v>
      </c>
    </row>
    <row r="1737" spans="1:13">
      <c r="A1737" s="21" t="str">
        <f>TEXT(TEXT(B1737,"yyyymmdd"),"00000000")&amp;TEXT(COUNTIF($B$2:B1737,B1737),"00")</f>
        <v>2024102502</v>
      </c>
      <c r="B1737" s="21">
        <f t="shared" ref="B1737" si="348">DATE(C1737,D1737,E1737)</f>
        <v>45590</v>
      </c>
      <c r="C1737" s="22">
        <v>2024</v>
      </c>
      <c r="D1737" s="23">
        <v>10</v>
      </c>
      <c r="E1737" s="24">
        <v>25</v>
      </c>
      <c r="F1737" s="42" t="s">
        <v>498</v>
      </c>
      <c r="G1737" s="42" t="s">
        <v>7</v>
      </c>
      <c r="H1737" s="42" t="s">
        <v>115</v>
      </c>
      <c r="I1737" s="42" t="s">
        <v>953</v>
      </c>
      <c r="J1737" s="10">
        <v>570000</v>
      </c>
      <c r="K1737" s="7">
        <v>-570000</v>
      </c>
      <c r="L1737" s="1" t="s">
        <v>1272</v>
      </c>
      <c r="M1737" s="2" t="s">
        <v>1291</v>
      </c>
    </row>
    <row r="1738" spans="1:13">
      <c r="A1738" s="21" t="str">
        <f>TEXT(TEXT(B1738,"yyyymmdd"),"00000000")&amp;TEXT(COUNTIF($B$2:B1738,B1738),"00")</f>
        <v>2024102503</v>
      </c>
      <c r="B1738" s="21">
        <f t="shared" ref="B1738" si="349">DATE(C1738,D1738,E1738)</f>
        <v>45590</v>
      </c>
      <c r="C1738" s="22">
        <v>2024</v>
      </c>
      <c r="D1738" s="23">
        <v>10</v>
      </c>
      <c r="E1738" s="24">
        <v>25</v>
      </c>
      <c r="F1738" s="42" t="s">
        <v>17</v>
      </c>
      <c r="G1738" s="42" t="s">
        <v>13</v>
      </c>
      <c r="H1738" s="42" t="s">
        <v>138</v>
      </c>
      <c r="I1738" s="42" t="s">
        <v>139</v>
      </c>
      <c r="J1738" s="10">
        <v>6300</v>
      </c>
      <c r="K1738" s="7">
        <v>-6300</v>
      </c>
      <c r="L1738" s="1" t="s">
        <v>300</v>
      </c>
    </row>
    <row r="1739" spans="1:13">
      <c r="A1739" s="21" t="str">
        <f>TEXT(TEXT(B1739,"yyyymmdd"),"00000000")&amp;TEXT(COUNTIF($B$2:B1739,B1739),"00")</f>
        <v>2024102504</v>
      </c>
      <c r="B1739" s="21">
        <f t="shared" ref="B1739" si="350">DATE(C1739,D1739,E1739)</f>
        <v>45590</v>
      </c>
      <c r="C1739" s="22">
        <v>2024</v>
      </c>
      <c r="D1739" s="23">
        <v>10</v>
      </c>
      <c r="E1739" s="24">
        <v>25</v>
      </c>
      <c r="F1739" s="42" t="s">
        <v>17</v>
      </c>
      <c r="G1739" s="42" t="s">
        <v>13</v>
      </c>
      <c r="H1739" s="42" t="s">
        <v>167</v>
      </c>
      <c r="I1739" s="42" t="s">
        <v>168</v>
      </c>
      <c r="J1739" s="10">
        <v>5500</v>
      </c>
      <c r="K1739" s="7">
        <v>-5500</v>
      </c>
      <c r="L1739" s="1" t="s">
        <v>332</v>
      </c>
    </row>
    <row r="1740" spans="1:13">
      <c r="A1740" s="21" t="str">
        <f>TEXT(TEXT(B1740,"yyyymmdd"),"00000000")&amp;TEXT(COUNTIF($B$2:B1740,B1740),"00")</f>
        <v>2024102601</v>
      </c>
      <c r="B1740" s="21">
        <f t="shared" ref="B1740" si="351">DATE(C1740,D1740,E1740)</f>
        <v>45591</v>
      </c>
      <c r="C1740" s="22">
        <v>2024</v>
      </c>
      <c r="D1740" s="23">
        <v>10</v>
      </c>
      <c r="E1740" s="24">
        <v>26</v>
      </c>
      <c r="F1740" s="42" t="s">
        <v>17</v>
      </c>
      <c r="G1740" s="42" t="s">
        <v>13</v>
      </c>
      <c r="H1740" s="42" t="s">
        <v>113</v>
      </c>
      <c r="I1740" s="42" t="s">
        <v>171</v>
      </c>
      <c r="J1740" s="10">
        <v>15000</v>
      </c>
      <c r="K1740" s="7">
        <v>-15000</v>
      </c>
      <c r="L1740" s="1" t="s">
        <v>502</v>
      </c>
    </row>
    <row r="1741" spans="1:13">
      <c r="A1741" s="21" t="str">
        <f>TEXT(TEXT(B1741,"yyyymmdd"),"00000000")&amp;TEXT(COUNTIF($B$2:B1741,B1741),"00")</f>
        <v>2024102602</v>
      </c>
      <c r="B1741" s="21">
        <f t="shared" ref="B1741" si="352">DATE(C1741,D1741,E1741)</f>
        <v>45591</v>
      </c>
      <c r="C1741" s="22">
        <v>2024</v>
      </c>
      <c r="D1741" s="23">
        <v>10</v>
      </c>
      <c r="E1741" s="24">
        <v>26</v>
      </c>
      <c r="F1741" s="42" t="s">
        <v>17</v>
      </c>
      <c r="G1741" s="42" t="s">
        <v>7</v>
      </c>
      <c r="H1741" s="42" t="s">
        <v>167</v>
      </c>
      <c r="I1741" s="42" t="s">
        <v>214</v>
      </c>
      <c r="J1741" s="10">
        <v>10700</v>
      </c>
      <c r="K1741" s="7">
        <v>-10700</v>
      </c>
      <c r="L1741" s="1" t="s">
        <v>753</v>
      </c>
      <c r="M1741" s="2" t="s">
        <v>1273</v>
      </c>
    </row>
    <row r="1742" spans="1:13">
      <c r="A1742" s="21" t="str">
        <f>TEXT(TEXT(B1742,"yyyymmdd"),"00000000")&amp;TEXT(COUNTIF($B$2:B1742,B1742),"00")</f>
        <v>2024102603</v>
      </c>
      <c r="B1742" s="21">
        <f t="shared" ref="B1742" si="353">DATE(C1742,D1742,E1742)</f>
        <v>45591</v>
      </c>
      <c r="C1742" s="22">
        <v>2024</v>
      </c>
      <c r="D1742" s="23">
        <v>10</v>
      </c>
      <c r="E1742" s="24">
        <v>26</v>
      </c>
      <c r="F1742" s="42" t="s">
        <v>17</v>
      </c>
      <c r="G1742" s="42" t="s">
        <v>11</v>
      </c>
      <c r="H1742" s="42" t="s">
        <v>99</v>
      </c>
      <c r="I1742" s="42" t="s">
        <v>11</v>
      </c>
      <c r="J1742" s="10">
        <v>-1600</v>
      </c>
      <c r="K1742" s="7">
        <v>1600</v>
      </c>
      <c r="L1742" s="1" t="s">
        <v>940</v>
      </c>
      <c r="M1742" s="2" t="s">
        <v>1274</v>
      </c>
    </row>
    <row r="1743" spans="1:13">
      <c r="A1743" s="21" t="str">
        <f>TEXT(TEXT(B1743,"yyyymmdd"),"00000000")&amp;TEXT(COUNTIF($B$2:B1743,B1743),"00")</f>
        <v>2024102604</v>
      </c>
      <c r="B1743" s="21">
        <f t="shared" ref="B1743" si="354">DATE(C1743,D1743,E1743)</f>
        <v>45591</v>
      </c>
      <c r="C1743" s="22">
        <v>2024</v>
      </c>
      <c r="D1743" s="23">
        <v>10</v>
      </c>
      <c r="E1743" s="24">
        <v>26</v>
      </c>
      <c r="F1743" s="42" t="s">
        <v>17</v>
      </c>
      <c r="G1743" s="42" t="s">
        <v>7</v>
      </c>
      <c r="H1743" s="42" t="s">
        <v>155</v>
      </c>
      <c r="I1743" s="42" t="s">
        <v>221</v>
      </c>
      <c r="J1743" s="10">
        <v>44800</v>
      </c>
      <c r="K1743" s="7">
        <v>-44800</v>
      </c>
      <c r="L1743" s="1" t="s">
        <v>1038</v>
      </c>
      <c r="M1743" s="2" t="s">
        <v>1262</v>
      </c>
    </row>
    <row r="1744" spans="1:13">
      <c r="A1744" s="21" t="str">
        <f>TEXT(TEXT(B1744,"yyyymmdd"),"00000000")&amp;TEXT(COUNTIF($B$2:B1744,B1744),"00")</f>
        <v>2024102701</v>
      </c>
      <c r="B1744" s="21">
        <f t="shared" ref="B1744" si="355">DATE(C1744,D1744,E1744)</f>
        <v>45592</v>
      </c>
      <c r="C1744" s="22">
        <v>2024</v>
      </c>
      <c r="D1744" s="23">
        <v>10</v>
      </c>
      <c r="E1744" s="24">
        <v>27</v>
      </c>
      <c r="F1744" s="42" t="s">
        <v>17</v>
      </c>
      <c r="G1744" s="42" t="s">
        <v>7</v>
      </c>
      <c r="H1744" s="42" t="s">
        <v>119</v>
      </c>
      <c r="I1744" s="42" t="s">
        <v>180</v>
      </c>
      <c r="J1744" s="10">
        <v>26400</v>
      </c>
      <c r="K1744" s="7">
        <v>-26400</v>
      </c>
      <c r="L1744" s="1" t="s">
        <v>181</v>
      </c>
      <c r="M1744" s="2" t="s">
        <v>1275</v>
      </c>
    </row>
    <row r="1745" spans="1:13">
      <c r="A1745" s="21" t="str">
        <f>TEXT(TEXT(B1745,"yyyymmdd"),"00000000")&amp;TEXT(COUNTIF($B$2:B1745,B1745),"00")</f>
        <v>2024102702</v>
      </c>
      <c r="B1745" s="21">
        <f t="shared" ref="B1745" si="356">DATE(C1745,D1745,E1745)</f>
        <v>45592</v>
      </c>
      <c r="C1745" s="22">
        <v>2024</v>
      </c>
      <c r="D1745" s="23">
        <v>10</v>
      </c>
      <c r="E1745" s="24">
        <v>27</v>
      </c>
      <c r="F1745" s="42" t="s">
        <v>17</v>
      </c>
      <c r="G1745" s="42" t="s">
        <v>7</v>
      </c>
      <c r="H1745" s="42" t="s">
        <v>138</v>
      </c>
      <c r="I1745" s="42" t="s">
        <v>139</v>
      </c>
      <c r="J1745" s="10">
        <v>17160</v>
      </c>
      <c r="K1745" s="7">
        <v>-17160</v>
      </c>
      <c r="L1745" s="1" t="s">
        <v>1277</v>
      </c>
      <c r="M1745" s="2" t="s">
        <v>637</v>
      </c>
    </row>
    <row r="1746" spans="1:13">
      <c r="A1746" s="21" t="str">
        <f>TEXT(TEXT(B1746,"yyyymmdd"),"00000000")&amp;TEXT(COUNTIF($B$2:B1746,B1746),"00")</f>
        <v>2024102901</v>
      </c>
      <c r="B1746" s="21">
        <f t="shared" ref="B1746" si="357">DATE(C1746,D1746,E1746)</f>
        <v>45594</v>
      </c>
      <c r="C1746" s="22">
        <v>2024</v>
      </c>
      <c r="D1746" s="23">
        <v>10</v>
      </c>
      <c r="E1746" s="24">
        <v>29</v>
      </c>
      <c r="F1746" s="42" t="s">
        <v>17</v>
      </c>
      <c r="G1746" s="42" t="s">
        <v>13</v>
      </c>
      <c r="H1746" s="42" t="s">
        <v>167</v>
      </c>
      <c r="I1746" s="42" t="s">
        <v>168</v>
      </c>
      <c r="J1746" s="10">
        <v>5300</v>
      </c>
      <c r="K1746" s="7">
        <v>-5300</v>
      </c>
      <c r="L1746" s="1" t="s">
        <v>748</v>
      </c>
    </row>
    <row r="1747" spans="1:13">
      <c r="A1747" s="21" t="str">
        <f>TEXT(TEXT(B1747,"yyyymmdd"),"00000000")&amp;TEXT(COUNTIF($B$2:B1747,B1747),"00")</f>
        <v>2024102902</v>
      </c>
      <c r="B1747" s="21">
        <f t="shared" ref="B1747" si="358">DATE(C1747,D1747,E1747)</f>
        <v>45594</v>
      </c>
      <c r="C1747" s="22">
        <v>2024</v>
      </c>
      <c r="D1747" s="23">
        <v>10</v>
      </c>
      <c r="E1747" s="24">
        <v>29</v>
      </c>
      <c r="F1747" s="42" t="s">
        <v>17</v>
      </c>
      <c r="G1747" s="42" t="s">
        <v>13</v>
      </c>
      <c r="H1747" s="42" t="s">
        <v>138</v>
      </c>
      <c r="I1747" s="42" t="s">
        <v>139</v>
      </c>
      <c r="J1747" s="10">
        <v>6000</v>
      </c>
      <c r="K1747" s="7">
        <v>-6000</v>
      </c>
      <c r="L1747" s="1" t="s">
        <v>619</v>
      </c>
    </row>
    <row r="1748" spans="1:13">
      <c r="A1748" s="21" t="str">
        <f>TEXT(TEXT(B1748,"yyyymmdd"),"00000000")&amp;TEXT(COUNTIF($B$2:B1748,B1748),"00")</f>
        <v>2024103001</v>
      </c>
      <c r="B1748" s="21">
        <f t="shared" ref="B1748" si="359">DATE(C1748,D1748,E1748)</f>
        <v>45595</v>
      </c>
      <c r="C1748" s="22">
        <v>2024</v>
      </c>
      <c r="D1748" s="23">
        <v>10</v>
      </c>
      <c r="E1748" s="24">
        <v>30</v>
      </c>
      <c r="F1748" s="42" t="s">
        <v>17</v>
      </c>
      <c r="G1748" s="42" t="s">
        <v>170</v>
      </c>
      <c r="H1748" s="42" t="s">
        <v>155</v>
      </c>
      <c r="I1748" s="42" t="s">
        <v>156</v>
      </c>
      <c r="J1748" s="10">
        <v>2701</v>
      </c>
      <c r="K1748" s="7">
        <v>-2701</v>
      </c>
      <c r="L1748" s="1" t="s">
        <v>303</v>
      </c>
    </row>
    <row r="1749" spans="1:13">
      <c r="A1749" s="21" t="str">
        <f>TEXT(TEXT(B1749,"yyyymmdd"),"00000000")&amp;TEXT(COUNTIF($B$2:B1749,B1749),"00")</f>
        <v>2024103002</v>
      </c>
      <c r="B1749" s="21">
        <f t="shared" ref="B1749" si="360">DATE(C1749,D1749,E1749)</f>
        <v>45595</v>
      </c>
      <c r="C1749" s="22">
        <v>2024</v>
      </c>
      <c r="D1749" s="23">
        <v>10</v>
      </c>
      <c r="E1749" s="24">
        <v>30</v>
      </c>
      <c r="F1749" s="42" t="s">
        <v>17</v>
      </c>
      <c r="G1749" s="42" t="s">
        <v>13</v>
      </c>
      <c r="H1749" s="42" t="s">
        <v>138</v>
      </c>
      <c r="I1749" s="42" t="s">
        <v>139</v>
      </c>
      <c r="J1749" s="10">
        <v>8000</v>
      </c>
      <c r="K1749" s="7">
        <v>-8000</v>
      </c>
      <c r="L1749" s="1" t="s">
        <v>677</v>
      </c>
    </row>
    <row r="1750" spans="1:13">
      <c r="A1750" s="21" t="str">
        <f>TEXT(TEXT(B1750,"yyyymmdd"),"00000000")&amp;TEXT(COUNTIF($B$2:B1750,B1750),"00")</f>
        <v>2024103101</v>
      </c>
      <c r="B1750" s="21">
        <f t="shared" ref="B1750" si="361">DATE(C1750,D1750,E1750)</f>
        <v>45596</v>
      </c>
      <c r="C1750" s="22">
        <v>2024</v>
      </c>
      <c r="D1750" s="23">
        <v>10</v>
      </c>
      <c r="E1750" s="24">
        <v>31</v>
      </c>
      <c r="F1750" s="42" t="s">
        <v>17</v>
      </c>
      <c r="G1750" s="42" t="s">
        <v>7</v>
      </c>
      <c r="H1750" s="42" t="s">
        <v>155</v>
      </c>
      <c r="I1750" s="42" t="s">
        <v>221</v>
      </c>
      <c r="J1750" s="10">
        <v>21900</v>
      </c>
      <c r="K1750" s="7">
        <v>-21900</v>
      </c>
      <c r="L1750" s="1" t="s">
        <v>541</v>
      </c>
      <c r="M1750" s="2" t="s">
        <v>1278</v>
      </c>
    </row>
    <row r="1751" spans="1:13">
      <c r="A1751" s="21" t="str">
        <f>TEXT(TEXT(B1751,"yyyymmdd"),"00000000")&amp;TEXT(COUNTIF($B$2:B1751,B1751),"00")</f>
        <v>2024103102</v>
      </c>
      <c r="B1751" s="21">
        <f t="shared" ref="B1751" si="362">DATE(C1751,D1751,E1751)</f>
        <v>45596</v>
      </c>
      <c r="C1751" s="22">
        <v>2024</v>
      </c>
      <c r="D1751" s="23">
        <v>10</v>
      </c>
      <c r="E1751" s="24">
        <v>31</v>
      </c>
      <c r="F1751" s="42" t="s">
        <v>17</v>
      </c>
      <c r="G1751" s="42" t="s">
        <v>7</v>
      </c>
      <c r="H1751" s="42" t="s">
        <v>155</v>
      </c>
      <c r="I1751" s="42" t="s">
        <v>221</v>
      </c>
      <c r="J1751" s="10">
        <v>58600</v>
      </c>
      <c r="K1751" s="7">
        <v>-58600</v>
      </c>
      <c r="L1751" s="1" t="s">
        <v>1038</v>
      </c>
      <c r="M1751" s="2" t="s">
        <v>1279</v>
      </c>
    </row>
    <row r="1752" spans="1:13">
      <c r="A1752" s="21" t="str">
        <f>TEXT(TEXT(B1752,"yyyymmdd"),"00000000")&amp;TEXT(COUNTIF($B$2:B1752,B1752),"00")</f>
        <v>2024103103</v>
      </c>
      <c r="B1752" s="21">
        <f t="shared" ref="B1752" si="363">DATE(C1752,D1752,E1752)</f>
        <v>45596</v>
      </c>
      <c r="C1752" s="22">
        <v>2024</v>
      </c>
      <c r="D1752" s="23">
        <v>10</v>
      </c>
      <c r="E1752" s="24">
        <v>31</v>
      </c>
      <c r="F1752" s="42" t="s">
        <v>17</v>
      </c>
      <c r="G1752" s="42" t="s">
        <v>13</v>
      </c>
      <c r="H1752" s="42" t="s">
        <v>138</v>
      </c>
      <c r="I1752" s="42" t="s">
        <v>139</v>
      </c>
      <c r="J1752" s="10">
        <v>5700</v>
      </c>
      <c r="K1752" s="7">
        <v>-5700</v>
      </c>
      <c r="L1752" s="1" t="s">
        <v>300</v>
      </c>
    </row>
    <row r="1753" spans="1:13">
      <c r="A1753" s="21" t="str">
        <f>TEXT(TEXT(B1753,"yyyymmdd"),"00000000")&amp;TEXT(COUNTIF($B$2:B1753,B1753),"00")</f>
        <v>2024103104</v>
      </c>
      <c r="B1753" s="21">
        <f t="shared" ref="B1753" si="364">DATE(C1753,D1753,E1753)</f>
        <v>45596</v>
      </c>
      <c r="C1753" s="22">
        <v>2024</v>
      </c>
      <c r="D1753" s="23">
        <v>10</v>
      </c>
      <c r="E1753" s="24">
        <v>31</v>
      </c>
      <c r="F1753" s="42" t="s">
        <v>17</v>
      </c>
      <c r="G1753" s="42" t="s">
        <v>7</v>
      </c>
      <c r="H1753" s="42" t="s">
        <v>167</v>
      </c>
      <c r="I1753" s="42" t="s">
        <v>168</v>
      </c>
      <c r="J1753" s="10">
        <v>14070</v>
      </c>
      <c r="K1753" s="7">
        <v>-14070</v>
      </c>
      <c r="L1753" s="1" t="s">
        <v>532</v>
      </c>
      <c r="M1753" s="2" t="s">
        <v>1280</v>
      </c>
    </row>
    <row r="1754" spans="1:13">
      <c r="A1754" s="21" t="str">
        <f>TEXT(TEXT(B1754,"yyyymmdd"),"00000000")&amp;TEXT(COUNTIF($B$2:B1754,B1754),"00")</f>
        <v>2024110101</v>
      </c>
      <c r="B1754" s="21">
        <f t="shared" ref="B1754" si="365">DATE(C1754,D1754,E1754)</f>
        <v>45597</v>
      </c>
      <c r="C1754" s="22">
        <v>2024</v>
      </c>
      <c r="D1754" s="23">
        <v>11</v>
      </c>
      <c r="E1754" s="24">
        <v>1</v>
      </c>
      <c r="F1754" s="42" t="s">
        <v>17</v>
      </c>
      <c r="G1754" s="42" t="s">
        <v>151</v>
      </c>
      <c r="H1754" s="42" t="s">
        <v>151</v>
      </c>
      <c r="I1754" s="42" t="s">
        <v>152</v>
      </c>
      <c r="J1754" s="10">
        <v>-600000</v>
      </c>
      <c r="K1754" s="7">
        <v>600000</v>
      </c>
      <c r="L1754" s="1" t="s">
        <v>252</v>
      </c>
      <c r="M1754" s="2" t="s">
        <v>1281</v>
      </c>
    </row>
    <row r="1755" spans="1:13">
      <c r="A1755" s="21" t="str">
        <f>TEXT(TEXT(B1755,"yyyymmdd"),"00000000")&amp;TEXT(COUNTIF($B$2:B1755,B1755),"00")</f>
        <v>2024110102</v>
      </c>
      <c r="B1755" s="21">
        <f t="shared" ref="B1755" si="366">DATE(C1755,D1755,E1755)</f>
        <v>45597</v>
      </c>
      <c r="C1755" s="22">
        <v>2024</v>
      </c>
      <c r="D1755" s="23">
        <v>11</v>
      </c>
      <c r="E1755" s="24">
        <v>1</v>
      </c>
      <c r="F1755" s="42" t="s">
        <v>17</v>
      </c>
      <c r="G1755" s="42" t="s">
        <v>13</v>
      </c>
      <c r="H1755" s="42" t="s">
        <v>138</v>
      </c>
      <c r="I1755" s="42" t="s">
        <v>139</v>
      </c>
      <c r="J1755" s="10">
        <v>7500</v>
      </c>
      <c r="K1755" s="7">
        <v>-7500</v>
      </c>
      <c r="L1755" s="1" t="s">
        <v>679</v>
      </c>
      <c r="M1755" s="2" t="s">
        <v>647</v>
      </c>
    </row>
    <row r="1756" spans="1:13">
      <c r="A1756" s="21" t="str">
        <f>TEXT(TEXT(B1756,"yyyymmdd"),"00000000")&amp;TEXT(COUNTIF($B$2:B1756,B1756),"00")</f>
        <v>2024110301</v>
      </c>
      <c r="B1756" s="21">
        <f t="shared" ref="B1756" si="367">DATE(C1756,D1756,E1756)</f>
        <v>45599</v>
      </c>
      <c r="C1756" s="22">
        <v>2024</v>
      </c>
      <c r="D1756" s="23">
        <v>11</v>
      </c>
      <c r="E1756" s="24">
        <v>3</v>
      </c>
      <c r="F1756" s="42" t="s">
        <v>17</v>
      </c>
      <c r="G1756" s="42" t="s">
        <v>13</v>
      </c>
      <c r="H1756" s="42" t="s">
        <v>138</v>
      </c>
      <c r="I1756" s="42" t="s">
        <v>139</v>
      </c>
      <c r="J1756" s="10">
        <v>11900</v>
      </c>
      <c r="K1756" s="7">
        <v>-11900</v>
      </c>
      <c r="L1756" s="1" t="s">
        <v>993</v>
      </c>
    </row>
    <row r="1757" spans="1:13">
      <c r="A1757" s="21" t="str">
        <f>TEXT(TEXT(B1757,"yyyymmdd"),"00000000")&amp;TEXT(COUNTIF($B$2:B1757,B1757),"00")</f>
        <v>2024110302</v>
      </c>
      <c r="B1757" s="21">
        <f t="shared" ref="B1757" si="368">DATE(C1757,D1757,E1757)</f>
        <v>45599</v>
      </c>
      <c r="C1757" s="22">
        <v>2024</v>
      </c>
      <c r="D1757" s="23">
        <v>11</v>
      </c>
      <c r="E1757" s="24">
        <v>3</v>
      </c>
      <c r="F1757" s="42" t="s">
        <v>17</v>
      </c>
      <c r="G1757" s="42" t="s">
        <v>7</v>
      </c>
      <c r="H1757" s="42" t="s">
        <v>110</v>
      </c>
      <c r="I1757" s="42" t="s">
        <v>124</v>
      </c>
      <c r="J1757" s="10">
        <v>7900</v>
      </c>
      <c r="K1757" s="7">
        <v>-7900</v>
      </c>
      <c r="L1757" s="1" t="s">
        <v>1282</v>
      </c>
    </row>
    <row r="1758" spans="1:13">
      <c r="A1758" s="21" t="str">
        <f>TEXT(TEXT(B1758,"yyyymmdd"),"00000000")&amp;TEXT(COUNTIF($B$2:B1758,B1758),"00")</f>
        <v>2024110303</v>
      </c>
      <c r="B1758" s="21">
        <f t="shared" ref="B1758" si="369">DATE(C1758,D1758,E1758)</f>
        <v>45599</v>
      </c>
      <c r="C1758" s="22">
        <v>2024</v>
      </c>
      <c r="D1758" s="23">
        <v>11</v>
      </c>
      <c r="E1758" s="24">
        <v>3</v>
      </c>
      <c r="F1758" s="42" t="s">
        <v>17</v>
      </c>
      <c r="G1758" s="42" t="s">
        <v>13</v>
      </c>
      <c r="H1758" s="42" t="s">
        <v>167</v>
      </c>
      <c r="I1758" s="42" t="s">
        <v>168</v>
      </c>
      <c r="J1758" s="10">
        <v>5950</v>
      </c>
      <c r="K1758" s="7">
        <v>-5950</v>
      </c>
      <c r="L1758" s="1" t="s">
        <v>532</v>
      </c>
      <c r="M1758" s="2" t="s">
        <v>672</v>
      </c>
    </row>
    <row r="1759" spans="1:13">
      <c r="A1759" s="21" t="str">
        <f>TEXT(TEXT(B1759,"yyyymmdd"),"00000000")&amp;TEXT(COUNTIF($B$2:B1759,B1759),"00")</f>
        <v>2024110401</v>
      </c>
      <c r="B1759" s="21">
        <f t="shared" ref="B1759" si="370">DATE(C1759,D1759,E1759)</f>
        <v>45600</v>
      </c>
      <c r="C1759" s="22">
        <v>2024</v>
      </c>
      <c r="D1759" s="23">
        <v>11</v>
      </c>
      <c r="E1759" s="24">
        <v>4</v>
      </c>
      <c r="F1759" s="42" t="s">
        <v>17</v>
      </c>
      <c r="G1759" s="42" t="s">
        <v>13</v>
      </c>
      <c r="H1759" s="42" t="s">
        <v>138</v>
      </c>
      <c r="I1759" s="42" t="s">
        <v>139</v>
      </c>
      <c r="J1759" s="10">
        <v>9500</v>
      </c>
      <c r="K1759" s="7">
        <v>-9500</v>
      </c>
      <c r="L1759" s="1" t="s">
        <v>889</v>
      </c>
    </row>
    <row r="1760" spans="1:13">
      <c r="A1760" s="21" t="str">
        <f>TEXT(TEXT(B1760,"yyyymmdd"),"00000000")&amp;TEXT(COUNTIF($B$2:B1760,B1760),"00")</f>
        <v>2024110501</v>
      </c>
      <c r="B1760" s="21">
        <f t="shared" ref="B1760" si="371">DATE(C1760,D1760,E1760)</f>
        <v>45601</v>
      </c>
      <c r="C1760" s="22">
        <v>2024</v>
      </c>
      <c r="D1760" s="23">
        <v>11</v>
      </c>
      <c r="E1760" s="24">
        <v>5</v>
      </c>
      <c r="F1760" s="42" t="s">
        <v>17</v>
      </c>
      <c r="G1760" s="42" t="s">
        <v>170</v>
      </c>
      <c r="H1760" s="42" t="s">
        <v>155</v>
      </c>
      <c r="I1760" s="42" t="s">
        <v>156</v>
      </c>
      <c r="J1760" s="10">
        <v>69</v>
      </c>
      <c r="K1760" s="7">
        <v>-69</v>
      </c>
      <c r="L1760" s="1" t="s">
        <v>1195</v>
      </c>
    </row>
    <row r="1761" spans="1:13">
      <c r="A1761" s="21" t="str">
        <f>TEXT(TEXT(B1761,"yyyymmdd"),"00000000")&amp;TEXT(COUNTIF($B$2:B1761,B1761),"00")</f>
        <v>2024110502</v>
      </c>
      <c r="B1761" s="21">
        <f t="shared" ref="B1761" si="372">DATE(C1761,D1761,E1761)</f>
        <v>45601</v>
      </c>
      <c r="C1761" s="22">
        <v>2024</v>
      </c>
      <c r="D1761" s="23">
        <v>11</v>
      </c>
      <c r="E1761" s="24">
        <v>5</v>
      </c>
      <c r="F1761" s="42" t="s">
        <v>17</v>
      </c>
      <c r="G1761" s="42" t="s">
        <v>13</v>
      </c>
      <c r="H1761" s="42" t="s">
        <v>167</v>
      </c>
      <c r="I1761" s="42" t="s">
        <v>168</v>
      </c>
      <c r="J1761" s="10">
        <v>5600</v>
      </c>
      <c r="K1761" s="7">
        <v>-5600</v>
      </c>
      <c r="L1761" s="1" t="s">
        <v>748</v>
      </c>
    </row>
    <row r="1762" spans="1:13">
      <c r="A1762" s="21" t="str">
        <f>TEXT(TEXT(B1762,"yyyymmdd"),"00000000")&amp;TEXT(COUNTIF($B$2:B1762,B1762),"00")</f>
        <v>2024110503</v>
      </c>
      <c r="B1762" s="21">
        <f t="shared" ref="B1762" si="373">DATE(C1762,D1762,E1762)</f>
        <v>45601</v>
      </c>
      <c r="C1762" s="22">
        <v>2024</v>
      </c>
      <c r="D1762" s="23">
        <v>11</v>
      </c>
      <c r="E1762" s="24">
        <v>5</v>
      </c>
      <c r="F1762" s="42" t="s">
        <v>17</v>
      </c>
      <c r="G1762" s="42" t="s">
        <v>13</v>
      </c>
      <c r="H1762" s="42" t="s">
        <v>138</v>
      </c>
      <c r="I1762" s="42" t="s">
        <v>139</v>
      </c>
      <c r="J1762" s="10">
        <v>6500</v>
      </c>
      <c r="K1762" s="7">
        <v>-6500</v>
      </c>
      <c r="L1762" s="1" t="s">
        <v>673</v>
      </c>
    </row>
    <row r="1763" spans="1:13">
      <c r="A1763" s="21" t="str">
        <f>TEXT(TEXT(B1763,"yyyymmdd"),"00000000")&amp;TEXT(COUNTIF($B$2:B1763,B1763),"00")</f>
        <v>2024110504</v>
      </c>
      <c r="B1763" s="21">
        <f t="shared" ref="B1763" si="374">DATE(C1763,D1763,E1763)</f>
        <v>45601</v>
      </c>
      <c r="C1763" s="22">
        <v>2024</v>
      </c>
      <c r="D1763" s="23">
        <v>11</v>
      </c>
      <c r="E1763" s="24">
        <v>5</v>
      </c>
      <c r="F1763" s="42" t="s">
        <v>17</v>
      </c>
      <c r="G1763" s="42" t="s">
        <v>7</v>
      </c>
      <c r="H1763" s="42" t="s">
        <v>173</v>
      </c>
      <c r="I1763" s="42" t="s">
        <v>207</v>
      </c>
      <c r="J1763" s="10">
        <v>23520</v>
      </c>
      <c r="K1763" s="7">
        <v>-23520</v>
      </c>
      <c r="L1763" s="1" t="s">
        <v>208</v>
      </c>
    </row>
    <row r="1764" spans="1:13">
      <c r="A1764" s="21" t="str">
        <f>TEXT(TEXT(B1764,"yyyymmdd"),"00000000")&amp;TEXT(COUNTIF($B$2:B1764,B1764),"00")</f>
        <v>2024110601</v>
      </c>
      <c r="B1764" s="21">
        <f t="shared" ref="B1764" si="375">DATE(C1764,D1764,E1764)</f>
        <v>45602</v>
      </c>
      <c r="C1764" s="22">
        <v>2024</v>
      </c>
      <c r="D1764" s="23">
        <v>11</v>
      </c>
      <c r="E1764" s="24">
        <v>6</v>
      </c>
      <c r="F1764" s="42" t="s">
        <v>17</v>
      </c>
      <c r="G1764" s="42" t="s">
        <v>13</v>
      </c>
      <c r="H1764" s="42" t="s">
        <v>138</v>
      </c>
      <c r="I1764" s="42" t="s">
        <v>139</v>
      </c>
      <c r="J1764" s="10">
        <v>5000</v>
      </c>
      <c r="K1764" s="7">
        <v>-5000</v>
      </c>
      <c r="L1764" s="1" t="s">
        <v>619</v>
      </c>
    </row>
    <row r="1765" spans="1:13">
      <c r="A1765" s="21" t="str">
        <f>TEXT(TEXT(B1765,"yyyymmdd"),"00000000")&amp;TEXT(COUNTIF($B$2:B1765,B1765),"00")</f>
        <v>2024110602</v>
      </c>
      <c r="B1765" s="21">
        <f t="shared" ref="B1765" si="376">DATE(C1765,D1765,E1765)</f>
        <v>45602</v>
      </c>
      <c r="C1765" s="22">
        <v>2024</v>
      </c>
      <c r="D1765" s="23">
        <v>11</v>
      </c>
      <c r="E1765" s="24">
        <v>6</v>
      </c>
      <c r="F1765" s="42" t="s">
        <v>17</v>
      </c>
      <c r="G1765" s="42" t="s">
        <v>7</v>
      </c>
      <c r="H1765" s="42" t="s">
        <v>167</v>
      </c>
      <c r="I1765" s="42" t="s">
        <v>168</v>
      </c>
      <c r="J1765" s="10">
        <v>2900</v>
      </c>
      <c r="K1765" s="7">
        <v>-2900</v>
      </c>
      <c r="L1765" s="1" t="s">
        <v>748</v>
      </c>
      <c r="M1765" s="2" t="s">
        <v>1283</v>
      </c>
    </row>
    <row r="1766" spans="1:13">
      <c r="A1766" s="21" t="str">
        <f>TEXT(TEXT(B1766,"yyyymmdd"),"00000000")&amp;TEXT(COUNTIF($B$2:B1766,B1766),"00")</f>
        <v>2024110603</v>
      </c>
      <c r="B1766" s="21">
        <f t="shared" ref="B1766" si="377">DATE(C1766,D1766,E1766)</f>
        <v>45602</v>
      </c>
      <c r="C1766" s="22">
        <v>2024</v>
      </c>
      <c r="D1766" s="23">
        <v>11</v>
      </c>
      <c r="E1766" s="24">
        <v>6</v>
      </c>
      <c r="F1766" s="42" t="s">
        <v>17</v>
      </c>
      <c r="G1766" s="42" t="s">
        <v>13</v>
      </c>
      <c r="H1766" s="42" t="s">
        <v>138</v>
      </c>
      <c r="I1766" s="42" t="s">
        <v>139</v>
      </c>
      <c r="J1766" s="10">
        <v>6000</v>
      </c>
      <c r="K1766" s="7">
        <v>-6000</v>
      </c>
      <c r="L1766" s="1" t="s">
        <v>619</v>
      </c>
    </row>
    <row r="1767" spans="1:13">
      <c r="A1767" s="21" t="str">
        <f>TEXT(TEXT(B1767,"yyyymmdd"),"00000000")&amp;TEXT(COUNTIF($B$2:B1767,B1767),"00")</f>
        <v>2024110701</v>
      </c>
      <c r="B1767" s="21">
        <f t="shared" ref="B1767" si="378">DATE(C1767,D1767,E1767)</f>
        <v>45603</v>
      </c>
      <c r="C1767" s="22">
        <v>2024</v>
      </c>
      <c r="D1767" s="23">
        <v>11</v>
      </c>
      <c r="E1767" s="24">
        <v>7</v>
      </c>
      <c r="F1767" s="42" t="s">
        <v>17</v>
      </c>
      <c r="G1767" s="42" t="s">
        <v>7</v>
      </c>
      <c r="H1767" s="42" t="s">
        <v>110</v>
      </c>
      <c r="I1767" s="42" t="s">
        <v>120</v>
      </c>
      <c r="J1767" s="10">
        <v>1400</v>
      </c>
      <c r="K1767" s="7">
        <v>-1400</v>
      </c>
      <c r="L1767" s="1" t="s">
        <v>619</v>
      </c>
      <c r="M1767" s="2" t="s">
        <v>905</v>
      </c>
    </row>
    <row r="1768" spans="1:13">
      <c r="A1768" s="21" t="str">
        <f>TEXT(TEXT(B1768,"yyyymmdd"),"00000000")&amp;TEXT(COUNTIF($B$2:B1768,B1768),"00")</f>
        <v>2024110702</v>
      </c>
      <c r="B1768" s="21">
        <f t="shared" ref="B1768" si="379">DATE(C1768,D1768,E1768)</f>
        <v>45603</v>
      </c>
      <c r="C1768" s="22">
        <v>2024</v>
      </c>
      <c r="D1768" s="23">
        <v>11</v>
      </c>
      <c r="E1768" s="24">
        <v>7</v>
      </c>
      <c r="F1768" s="42" t="s">
        <v>17</v>
      </c>
      <c r="G1768" s="42" t="s">
        <v>13</v>
      </c>
      <c r="H1768" s="42" t="s">
        <v>138</v>
      </c>
      <c r="I1768" s="42" t="s">
        <v>139</v>
      </c>
      <c r="J1768" s="10">
        <v>5900</v>
      </c>
      <c r="K1768" s="7">
        <v>-5900</v>
      </c>
      <c r="L1768" s="1" t="s">
        <v>300</v>
      </c>
    </row>
    <row r="1769" spans="1:13">
      <c r="A1769" s="21" t="str">
        <f>TEXT(TEXT(B1769,"yyyymmdd"),"00000000")&amp;TEXT(COUNTIF($B$2:B1769,B1769),"00")</f>
        <v>2024110801</v>
      </c>
      <c r="B1769" s="21">
        <f t="shared" ref="B1769" si="380">DATE(C1769,D1769,E1769)</f>
        <v>45604</v>
      </c>
      <c r="C1769" s="22">
        <v>2024</v>
      </c>
      <c r="D1769" s="23">
        <v>11</v>
      </c>
      <c r="E1769" s="24">
        <v>8</v>
      </c>
      <c r="F1769" s="42" t="s">
        <v>17</v>
      </c>
      <c r="G1769" s="42" t="s">
        <v>13</v>
      </c>
      <c r="H1769" s="42" t="s">
        <v>138</v>
      </c>
      <c r="I1769" s="42" t="s">
        <v>139</v>
      </c>
      <c r="J1769" s="10">
        <v>5000</v>
      </c>
      <c r="K1769" s="7">
        <v>-5000</v>
      </c>
      <c r="L1769" s="1" t="s">
        <v>619</v>
      </c>
    </row>
    <row r="1770" spans="1:13">
      <c r="A1770" s="21" t="str">
        <f>TEXT(TEXT(B1770,"yyyymmdd"),"00000000")&amp;TEXT(COUNTIF($B$2:B1770,B1770),"00")</f>
        <v>2024110802</v>
      </c>
      <c r="B1770" s="21">
        <f t="shared" ref="B1770" si="381">DATE(C1770,D1770,E1770)</f>
        <v>45604</v>
      </c>
      <c r="C1770" s="22">
        <v>2024</v>
      </c>
      <c r="D1770" s="23">
        <v>11</v>
      </c>
      <c r="E1770" s="24">
        <v>8</v>
      </c>
      <c r="F1770" s="42" t="s">
        <v>17</v>
      </c>
      <c r="G1770" s="42" t="s">
        <v>13</v>
      </c>
      <c r="H1770" s="42" t="s">
        <v>138</v>
      </c>
      <c r="I1770" s="42" t="s">
        <v>139</v>
      </c>
      <c r="J1770" s="10">
        <v>6000</v>
      </c>
      <c r="K1770" s="7">
        <v>-6000</v>
      </c>
      <c r="L1770" s="1" t="s">
        <v>619</v>
      </c>
    </row>
    <row r="1771" spans="1:13">
      <c r="A1771" s="21" t="str">
        <f>TEXT(TEXT(B1771,"yyyymmdd"),"00000000")&amp;TEXT(COUNTIF($B$2:B1771,B1771),"00")</f>
        <v>2024110901</v>
      </c>
      <c r="B1771" s="21">
        <f t="shared" ref="B1771" si="382">DATE(C1771,D1771,E1771)</f>
        <v>45605</v>
      </c>
      <c r="C1771" s="22">
        <v>2024</v>
      </c>
      <c r="D1771" s="23">
        <v>11</v>
      </c>
      <c r="E1771" s="24">
        <v>9</v>
      </c>
      <c r="F1771" s="42" t="s">
        <v>17</v>
      </c>
      <c r="G1771" s="42" t="s">
        <v>135</v>
      </c>
      <c r="H1771" s="42" t="s">
        <v>135</v>
      </c>
      <c r="I1771" s="42" t="s">
        <v>190</v>
      </c>
      <c r="J1771" s="10">
        <v>-227</v>
      </c>
      <c r="K1771" s="7">
        <v>227</v>
      </c>
      <c r="L1771" s="1" t="s">
        <v>210</v>
      </c>
    </row>
    <row r="1772" spans="1:13">
      <c r="A1772" s="21" t="str">
        <f>TEXT(TEXT(B1772,"yyyymmdd"),"00000000")&amp;TEXT(COUNTIF($B$2:B1772,B1772),"00")</f>
        <v>2024110902</v>
      </c>
      <c r="B1772" s="21">
        <f t="shared" ref="B1772" si="383">DATE(C1772,D1772,E1772)</f>
        <v>45605</v>
      </c>
      <c r="C1772" s="22">
        <v>2024</v>
      </c>
      <c r="D1772" s="23">
        <v>11</v>
      </c>
      <c r="E1772" s="24">
        <v>9</v>
      </c>
      <c r="F1772" s="42" t="s">
        <v>17</v>
      </c>
      <c r="G1772" s="42" t="s">
        <v>13</v>
      </c>
      <c r="H1772" s="42" t="s">
        <v>138</v>
      </c>
      <c r="I1772" s="42" t="s">
        <v>139</v>
      </c>
      <c r="J1772" s="10">
        <v>6000</v>
      </c>
      <c r="K1772" s="7">
        <v>-6000</v>
      </c>
      <c r="L1772" s="1" t="s">
        <v>634</v>
      </c>
    </row>
    <row r="1773" spans="1:13">
      <c r="A1773" s="21" t="str">
        <f>TEXT(TEXT(B1773,"yyyymmdd"),"00000000")&amp;TEXT(COUNTIF($B$2:B1773,B1773),"00")</f>
        <v>2024110903</v>
      </c>
      <c r="B1773" s="21">
        <f t="shared" ref="B1773" si="384">DATE(C1773,D1773,E1773)</f>
        <v>45605</v>
      </c>
      <c r="C1773" s="22">
        <v>2024</v>
      </c>
      <c r="D1773" s="23">
        <v>11</v>
      </c>
      <c r="E1773" s="24">
        <v>9</v>
      </c>
      <c r="F1773" s="42" t="s">
        <v>17</v>
      </c>
      <c r="G1773" s="42" t="s">
        <v>7</v>
      </c>
      <c r="H1773" s="42" t="s">
        <v>116</v>
      </c>
      <c r="I1773" s="42" t="s">
        <v>217</v>
      </c>
      <c r="J1773" s="10">
        <v>7000</v>
      </c>
      <c r="K1773" s="7">
        <v>-7000</v>
      </c>
      <c r="L1773" s="1" t="s">
        <v>641</v>
      </c>
      <c r="M1773" s="2" t="s">
        <v>1212</v>
      </c>
    </row>
    <row r="1774" spans="1:13">
      <c r="A1774" s="21" t="str">
        <f>TEXT(TEXT(B1774,"yyyymmdd"),"00000000")&amp;TEXT(COUNTIF($B$2:B1774,B1774),"00")</f>
        <v>2024110904</v>
      </c>
      <c r="B1774" s="21">
        <f t="shared" ref="B1774" si="385">DATE(C1774,D1774,E1774)</f>
        <v>45605</v>
      </c>
      <c r="C1774" s="22">
        <v>2024</v>
      </c>
      <c r="D1774" s="23">
        <v>11</v>
      </c>
      <c r="E1774" s="24">
        <v>9</v>
      </c>
      <c r="F1774" s="42" t="s">
        <v>17</v>
      </c>
      <c r="G1774" s="42" t="s">
        <v>7</v>
      </c>
      <c r="H1774" s="42" t="s">
        <v>110</v>
      </c>
      <c r="I1774" s="42" t="s">
        <v>124</v>
      </c>
      <c r="J1774" s="10">
        <v>1200</v>
      </c>
      <c r="K1774" s="7">
        <v>-1200</v>
      </c>
      <c r="L1774" s="1" t="s">
        <v>1284</v>
      </c>
      <c r="M1774" s="2" t="s">
        <v>1285</v>
      </c>
    </row>
    <row r="1775" spans="1:13">
      <c r="A1775" s="21" t="str">
        <f>TEXT(TEXT(B1775,"yyyymmdd"),"00000000")&amp;TEXT(COUNTIF($B$2:B1775,B1775),"00")</f>
        <v>2024110905</v>
      </c>
      <c r="B1775" s="21">
        <f t="shared" ref="B1775" si="386">DATE(C1775,D1775,E1775)</f>
        <v>45605</v>
      </c>
      <c r="C1775" s="22">
        <v>2024</v>
      </c>
      <c r="D1775" s="23">
        <v>11</v>
      </c>
      <c r="E1775" s="24">
        <v>9</v>
      </c>
      <c r="F1775" s="42" t="s">
        <v>17</v>
      </c>
      <c r="G1775" s="42" t="s">
        <v>7</v>
      </c>
      <c r="H1775" s="42" t="s">
        <v>167</v>
      </c>
      <c r="I1775" s="42" t="s">
        <v>214</v>
      </c>
      <c r="J1775" s="10">
        <v>10000</v>
      </c>
      <c r="K1775" s="7">
        <v>-10000</v>
      </c>
      <c r="L1775" s="1" t="s">
        <v>1286</v>
      </c>
      <c r="M1775" s="2" t="s">
        <v>1287</v>
      </c>
    </row>
    <row r="1776" spans="1:13">
      <c r="A1776" s="21" t="str">
        <f>TEXT(TEXT(B1776,"yyyymmdd"),"00000000")&amp;TEXT(COUNTIF($B$2:B1776,B1776),"00")</f>
        <v>2024110906</v>
      </c>
      <c r="B1776" s="21">
        <f t="shared" ref="B1776" si="387">DATE(C1776,D1776,E1776)</f>
        <v>45605</v>
      </c>
      <c r="C1776" s="22">
        <v>2024</v>
      </c>
      <c r="D1776" s="23">
        <v>11</v>
      </c>
      <c r="E1776" s="24">
        <v>9</v>
      </c>
      <c r="F1776" s="42" t="s">
        <v>17</v>
      </c>
      <c r="G1776" s="42" t="s">
        <v>7</v>
      </c>
      <c r="H1776" s="42" t="s">
        <v>119</v>
      </c>
      <c r="I1776" s="42" t="s">
        <v>180</v>
      </c>
      <c r="J1776" s="10">
        <v>15000</v>
      </c>
      <c r="K1776" s="7">
        <v>-15000</v>
      </c>
      <c r="L1776" s="1" t="s">
        <v>651</v>
      </c>
      <c r="M1776" s="2" t="s">
        <v>1288</v>
      </c>
    </row>
    <row r="1777" spans="1:13">
      <c r="A1777" s="21" t="str">
        <f>TEXT(TEXT(B1777,"yyyymmdd"),"00000000")&amp;TEXT(COUNTIF($B$2:B1777,B1777),"00")</f>
        <v>2024111001</v>
      </c>
      <c r="B1777" s="21">
        <f t="shared" ref="B1777" si="388">DATE(C1777,D1777,E1777)</f>
        <v>45606</v>
      </c>
      <c r="C1777" s="22">
        <v>2024</v>
      </c>
      <c r="D1777" s="23">
        <v>11</v>
      </c>
      <c r="E1777" s="24">
        <v>10</v>
      </c>
      <c r="F1777" s="42" t="s">
        <v>17</v>
      </c>
      <c r="G1777" s="42" t="s">
        <v>170</v>
      </c>
      <c r="H1777" s="42" t="s">
        <v>114</v>
      </c>
      <c r="I1777" s="42" t="s">
        <v>1007</v>
      </c>
      <c r="J1777" s="10">
        <v>12850</v>
      </c>
      <c r="K1777" s="7">
        <v>-12850</v>
      </c>
      <c r="L1777" s="1" t="s">
        <v>1023</v>
      </c>
    </row>
    <row r="1778" spans="1:13">
      <c r="A1778" s="21" t="str">
        <f>TEXT(TEXT(B1778,"yyyymmdd"),"00000000")&amp;TEXT(COUNTIF($B$2:B1778,B1778),"00")</f>
        <v>2024111101</v>
      </c>
      <c r="B1778" s="21">
        <f t="shared" ref="B1778" si="389">DATE(C1778,D1778,E1778)</f>
        <v>45607</v>
      </c>
      <c r="C1778" s="22">
        <v>2024</v>
      </c>
      <c r="D1778" s="23">
        <v>11</v>
      </c>
      <c r="E1778" s="24">
        <v>11</v>
      </c>
      <c r="F1778" s="42" t="s">
        <v>17</v>
      </c>
      <c r="G1778" s="42" t="s">
        <v>7</v>
      </c>
      <c r="H1778" s="42" t="s">
        <v>110</v>
      </c>
      <c r="I1778" s="42" t="s">
        <v>120</v>
      </c>
      <c r="J1778" s="10">
        <v>2600</v>
      </c>
      <c r="K1778" s="7">
        <v>-2600</v>
      </c>
      <c r="L1778" s="1" t="s">
        <v>619</v>
      </c>
      <c r="M1778" s="2" t="s">
        <v>905</v>
      </c>
    </row>
    <row r="1779" spans="1:13">
      <c r="A1779" s="21" t="str">
        <f>TEXT(TEXT(B1779,"yyyymmdd"),"00000000")&amp;TEXT(COUNTIF($B$2:B1779,B1779),"00")</f>
        <v>2024111102</v>
      </c>
      <c r="B1779" s="21">
        <f t="shared" ref="B1779" si="390">DATE(C1779,D1779,E1779)</f>
        <v>45607</v>
      </c>
      <c r="C1779" s="22">
        <v>2024</v>
      </c>
      <c r="D1779" s="23">
        <v>11</v>
      </c>
      <c r="E1779" s="24">
        <v>11</v>
      </c>
      <c r="F1779" s="42" t="s">
        <v>17</v>
      </c>
      <c r="G1779" s="42" t="s">
        <v>13</v>
      </c>
      <c r="H1779" s="42" t="s">
        <v>138</v>
      </c>
      <c r="I1779" s="42" t="s">
        <v>139</v>
      </c>
      <c r="J1779" s="10">
        <v>8000</v>
      </c>
      <c r="K1779" s="7">
        <v>-8000</v>
      </c>
      <c r="L1779" s="1" t="s">
        <v>677</v>
      </c>
    </row>
    <row r="1780" spans="1:13">
      <c r="A1780" s="21" t="str">
        <f>TEXT(TEXT(B1780,"yyyymmdd"),"00000000")&amp;TEXT(COUNTIF($B$2:B1780,B1780),"00")</f>
        <v>2024111201</v>
      </c>
      <c r="B1780" s="21">
        <f t="shared" ref="B1780" si="391">DATE(C1780,D1780,E1780)</f>
        <v>45608</v>
      </c>
      <c r="C1780" s="22">
        <v>2024</v>
      </c>
      <c r="D1780" s="23">
        <v>11</v>
      </c>
      <c r="E1780" s="24">
        <v>12</v>
      </c>
      <c r="F1780" s="42" t="s">
        <v>17</v>
      </c>
      <c r="G1780" s="42" t="s">
        <v>13</v>
      </c>
      <c r="H1780" s="42" t="s">
        <v>138</v>
      </c>
      <c r="I1780" s="42" t="s">
        <v>139</v>
      </c>
      <c r="J1780" s="10">
        <v>6000</v>
      </c>
      <c r="K1780" s="7">
        <v>-6000</v>
      </c>
      <c r="L1780" s="1" t="s">
        <v>300</v>
      </c>
    </row>
    <row r="1781" spans="1:13">
      <c r="A1781" s="21" t="str">
        <f>TEXT(TEXT(B1781,"yyyymmdd"),"00000000")&amp;TEXT(COUNTIF($B$2:B1781,B1781),"00")</f>
        <v>2024111202</v>
      </c>
      <c r="B1781" s="21">
        <f t="shared" ref="B1781" si="392">DATE(C1781,D1781,E1781)</f>
        <v>45608</v>
      </c>
      <c r="C1781" s="22">
        <v>2024</v>
      </c>
      <c r="D1781" s="23">
        <v>11</v>
      </c>
      <c r="E1781" s="24">
        <v>12</v>
      </c>
      <c r="F1781" s="42" t="s">
        <v>17</v>
      </c>
      <c r="G1781" s="42" t="s">
        <v>13</v>
      </c>
      <c r="H1781" s="42" t="s">
        <v>138</v>
      </c>
      <c r="I1781" s="42" t="s">
        <v>139</v>
      </c>
      <c r="J1781" s="10">
        <v>6000</v>
      </c>
      <c r="K1781" s="7">
        <v>-6000</v>
      </c>
      <c r="L1781" s="1" t="s">
        <v>619</v>
      </c>
    </row>
    <row r="1782" spans="1:13">
      <c r="A1782" s="21" t="str">
        <f>TEXT(TEXT(B1782,"yyyymmdd"),"00000000")&amp;TEXT(COUNTIF($B$2:B1782,B1782),"00")</f>
        <v>2024111203</v>
      </c>
      <c r="B1782" s="21">
        <f t="shared" ref="B1782" si="393">DATE(C1782,D1782,E1782)</f>
        <v>45608</v>
      </c>
      <c r="C1782" s="22">
        <v>2024</v>
      </c>
      <c r="D1782" s="23">
        <v>11</v>
      </c>
      <c r="E1782" s="24">
        <v>12</v>
      </c>
      <c r="F1782" s="42" t="s">
        <v>17</v>
      </c>
      <c r="G1782" s="42" t="s">
        <v>13</v>
      </c>
      <c r="H1782" s="42" t="s">
        <v>167</v>
      </c>
      <c r="I1782" s="42" t="s">
        <v>168</v>
      </c>
      <c r="J1782" s="10">
        <v>8020</v>
      </c>
      <c r="K1782" s="7">
        <v>-8020</v>
      </c>
      <c r="L1782" s="1" t="s">
        <v>532</v>
      </c>
      <c r="M1782" s="2" t="s">
        <v>1289</v>
      </c>
    </row>
    <row r="1783" spans="1:13">
      <c r="A1783" s="21" t="str">
        <f>TEXT(TEXT(B1783,"yyyymmdd"),"00000000")&amp;TEXT(COUNTIF($B$2:B1783,B1783),"00")</f>
        <v>2024111204</v>
      </c>
      <c r="B1783" s="21">
        <f t="shared" ref="B1783" si="394">DATE(C1783,D1783,E1783)</f>
        <v>45608</v>
      </c>
      <c r="C1783" s="22">
        <v>2024</v>
      </c>
      <c r="D1783" s="23">
        <v>11</v>
      </c>
      <c r="E1783" s="24">
        <v>12</v>
      </c>
      <c r="F1783" s="42" t="s">
        <v>17</v>
      </c>
      <c r="G1783" s="42" t="s">
        <v>13</v>
      </c>
      <c r="H1783" s="42" t="s">
        <v>138</v>
      </c>
      <c r="I1783" s="42" t="s">
        <v>139</v>
      </c>
      <c r="J1783" s="10">
        <v>5000</v>
      </c>
      <c r="K1783" s="7">
        <v>-5000</v>
      </c>
      <c r="L1783" s="1" t="s">
        <v>619</v>
      </c>
    </row>
    <row r="1784" spans="1:13">
      <c r="A1784" s="21" t="str">
        <f>TEXT(TEXT(B1784,"yyyymmdd"),"00000000")&amp;TEXT(COUNTIF($B$2:B1784,B1784),"00")</f>
        <v>2024111301</v>
      </c>
      <c r="B1784" s="21">
        <f t="shared" ref="B1784" si="395">DATE(C1784,D1784,E1784)</f>
        <v>45609</v>
      </c>
      <c r="C1784" s="22">
        <v>2024</v>
      </c>
      <c r="D1784" s="23">
        <v>11</v>
      </c>
      <c r="E1784" s="24">
        <v>13</v>
      </c>
      <c r="F1784" s="42" t="s">
        <v>17</v>
      </c>
      <c r="G1784" s="42" t="s">
        <v>13</v>
      </c>
      <c r="H1784" s="42" t="s">
        <v>138</v>
      </c>
      <c r="I1784" s="42" t="s">
        <v>139</v>
      </c>
      <c r="J1784" s="10">
        <v>5000</v>
      </c>
      <c r="K1784" s="7">
        <v>-5000</v>
      </c>
      <c r="L1784" s="1" t="s">
        <v>300</v>
      </c>
    </row>
    <row r="1785" spans="1:13">
      <c r="A1785" s="21" t="str">
        <f>TEXT(TEXT(B1785,"yyyymmdd"),"00000000")&amp;TEXT(COUNTIF($B$2:B1785,B1785),"00")</f>
        <v>2024111302</v>
      </c>
      <c r="B1785" s="21">
        <f t="shared" ref="B1785" si="396">DATE(C1785,D1785,E1785)</f>
        <v>45609</v>
      </c>
      <c r="C1785" s="22">
        <v>2024</v>
      </c>
      <c r="D1785" s="23">
        <v>11</v>
      </c>
      <c r="E1785" s="24">
        <v>13</v>
      </c>
      <c r="F1785" s="42" t="s">
        <v>17</v>
      </c>
      <c r="G1785" s="42" t="s">
        <v>13</v>
      </c>
      <c r="H1785" s="42" t="s">
        <v>138</v>
      </c>
      <c r="I1785" s="42" t="s">
        <v>139</v>
      </c>
      <c r="J1785" s="10">
        <v>10000</v>
      </c>
      <c r="K1785" s="7">
        <v>-10000</v>
      </c>
      <c r="L1785" s="1" t="s">
        <v>909</v>
      </c>
    </row>
    <row r="1786" spans="1:13">
      <c r="A1786" s="21" t="str">
        <f>TEXT(TEXT(B1786,"yyyymmdd"),"00000000")&amp;TEXT(COUNTIF($B$2:B1786,B1786),"00")</f>
        <v>2024111401</v>
      </c>
      <c r="B1786" s="21">
        <f t="shared" ref="B1786" si="397">DATE(C1786,D1786,E1786)</f>
        <v>45610</v>
      </c>
      <c r="C1786" s="22">
        <v>2024</v>
      </c>
      <c r="D1786" s="23">
        <v>11</v>
      </c>
      <c r="E1786" s="24">
        <v>14</v>
      </c>
      <c r="F1786" s="42" t="s">
        <v>17</v>
      </c>
      <c r="G1786" s="42" t="s">
        <v>13</v>
      </c>
      <c r="H1786" s="42" t="s">
        <v>138</v>
      </c>
      <c r="I1786" s="42" t="s">
        <v>139</v>
      </c>
      <c r="J1786" s="10">
        <v>5000</v>
      </c>
      <c r="K1786" s="7">
        <v>-5000</v>
      </c>
      <c r="L1786" s="1" t="s">
        <v>619</v>
      </c>
    </row>
    <row r="1787" spans="1:13">
      <c r="A1787" s="21" t="str">
        <f>TEXT(TEXT(B1787,"yyyymmdd"),"00000000")&amp;TEXT(COUNTIF($B$2:B1787,B1787),"00")</f>
        <v>2024111501</v>
      </c>
      <c r="B1787" s="21">
        <f t="shared" ref="B1787" si="398">DATE(C1787,D1787,E1787)</f>
        <v>45611</v>
      </c>
      <c r="C1787" s="22">
        <v>2024</v>
      </c>
      <c r="D1787" s="23">
        <v>11</v>
      </c>
      <c r="E1787" s="24">
        <v>15</v>
      </c>
      <c r="F1787" s="42" t="s">
        <v>17</v>
      </c>
      <c r="G1787" s="42" t="s">
        <v>7</v>
      </c>
      <c r="H1787" s="42" t="s">
        <v>110</v>
      </c>
      <c r="I1787" s="42" t="s">
        <v>120</v>
      </c>
      <c r="J1787" s="10">
        <v>1400</v>
      </c>
      <c r="K1787" s="7">
        <v>-1400</v>
      </c>
      <c r="L1787" s="1" t="s">
        <v>807</v>
      </c>
    </row>
    <row r="1788" spans="1:13">
      <c r="A1788" s="21" t="str">
        <f>TEXT(TEXT(B1788,"yyyymmdd"),"00000000")&amp;TEXT(COUNTIF($B$2:B1788,B1788),"00")</f>
        <v>2024111601</v>
      </c>
      <c r="B1788" s="21">
        <f t="shared" ref="B1788" si="399">DATE(C1788,D1788,E1788)</f>
        <v>45612</v>
      </c>
      <c r="C1788" s="22">
        <v>2024</v>
      </c>
      <c r="D1788" s="23">
        <v>11</v>
      </c>
      <c r="E1788" s="24">
        <v>16</v>
      </c>
      <c r="F1788" s="42" t="s">
        <v>17</v>
      </c>
      <c r="G1788" s="42" t="s">
        <v>7</v>
      </c>
      <c r="H1788" s="42" t="s">
        <v>155</v>
      </c>
      <c r="I1788" s="42" t="s">
        <v>156</v>
      </c>
      <c r="J1788" s="10">
        <v>24000</v>
      </c>
      <c r="K1788" s="7">
        <v>-24000</v>
      </c>
      <c r="L1788" s="1" t="s">
        <v>1290</v>
      </c>
    </row>
    <row r="1789" spans="1:13">
      <c r="A1789" s="21" t="str">
        <f>TEXT(TEXT(B1789,"yyyymmdd"),"00000000")&amp;TEXT(COUNTIF($B$2:B1789,B1789),"00")</f>
        <v>2024111602</v>
      </c>
      <c r="B1789" s="21">
        <f t="shared" ref="B1789" si="400">DATE(C1789,D1789,E1789)</f>
        <v>45612</v>
      </c>
      <c r="C1789" s="22">
        <v>2024</v>
      </c>
      <c r="D1789" s="23">
        <v>11</v>
      </c>
      <c r="E1789" s="24">
        <v>16</v>
      </c>
      <c r="F1789" s="42" t="s">
        <v>17</v>
      </c>
      <c r="G1789" s="42" t="s">
        <v>13</v>
      </c>
      <c r="H1789" s="42" t="s">
        <v>138</v>
      </c>
      <c r="I1789" s="42" t="s">
        <v>139</v>
      </c>
      <c r="J1789" s="10">
        <v>9000</v>
      </c>
      <c r="K1789" s="7">
        <v>-9000</v>
      </c>
      <c r="L1789" s="1" t="s">
        <v>889</v>
      </c>
    </row>
    <row r="1790" spans="1:13">
      <c r="A1790" s="21" t="str">
        <f>TEXT(TEXT(B1790,"yyyymmdd"),"00000000")&amp;TEXT(COUNTIF($B$2:B1790,B1790),"00")</f>
        <v>2024111603</v>
      </c>
      <c r="B1790" s="21">
        <f t="shared" ref="B1790" si="401">DATE(C1790,D1790,E1790)</f>
        <v>45612</v>
      </c>
      <c r="C1790" s="22">
        <v>2024</v>
      </c>
      <c r="D1790" s="23">
        <v>11</v>
      </c>
      <c r="E1790" s="24">
        <v>16</v>
      </c>
      <c r="F1790" s="42" t="s">
        <v>17</v>
      </c>
      <c r="G1790" s="42" t="s">
        <v>7</v>
      </c>
      <c r="H1790" s="42" t="s">
        <v>167</v>
      </c>
      <c r="I1790" s="42" t="s">
        <v>168</v>
      </c>
      <c r="J1790" s="10">
        <v>2500</v>
      </c>
      <c r="K1790" s="7">
        <v>-2500</v>
      </c>
      <c r="L1790" s="1" t="s">
        <v>748</v>
      </c>
    </row>
    <row r="1791" spans="1:13">
      <c r="A1791" s="21" t="str">
        <f>TEXT(TEXT(B1791,"yyyymmdd"),"00000000")&amp;TEXT(COUNTIF($B$2:B1791,B1791),"00")</f>
        <v>2024111801</v>
      </c>
      <c r="B1791" s="21">
        <f t="shared" ref="B1791" si="402">DATE(C1791,D1791,E1791)</f>
        <v>45614</v>
      </c>
      <c r="C1791" s="22">
        <v>2024</v>
      </c>
      <c r="D1791" s="23">
        <v>11</v>
      </c>
      <c r="E1791" s="24">
        <v>18</v>
      </c>
      <c r="F1791" s="42" t="s">
        <v>17</v>
      </c>
      <c r="G1791" s="42" t="s">
        <v>13</v>
      </c>
      <c r="H1791" s="42" t="s">
        <v>138</v>
      </c>
      <c r="I1791" s="42" t="s">
        <v>139</v>
      </c>
      <c r="J1791" s="10">
        <v>6000</v>
      </c>
      <c r="K1791" s="7">
        <v>-6000</v>
      </c>
      <c r="L1791" s="1" t="s">
        <v>619</v>
      </c>
    </row>
    <row r="1792" spans="1:13">
      <c r="A1792" s="21" t="str">
        <f>TEXT(TEXT(B1792,"yyyymmdd"),"00000000")&amp;TEXT(COUNTIF($B$2:B1792,B1792),"00")</f>
        <v>2024111802</v>
      </c>
      <c r="B1792" s="21">
        <f t="shared" ref="B1792" si="403">DATE(C1792,D1792,E1792)</f>
        <v>45614</v>
      </c>
      <c r="C1792" s="22">
        <v>2024</v>
      </c>
      <c r="D1792" s="23">
        <v>11</v>
      </c>
      <c r="E1792" s="24">
        <v>18</v>
      </c>
      <c r="F1792" s="42" t="s">
        <v>17</v>
      </c>
      <c r="G1792" s="42" t="s">
        <v>7</v>
      </c>
      <c r="H1792" s="42" t="s">
        <v>167</v>
      </c>
      <c r="I1792" s="42" t="s">
        <v>168</v>
      </c>
      <c r="J1792" s="10">
        <v>8200</v>
      </c>
      <c r="K1792" s="7">
        <v>-8200</v>
      </c>
      <c r="L1792" s="1" t="s">
        <v>532</v>
      </c>
      <c r="M1792" s="2" t="s">
        <v>1265</v>
      </c>
    </row>
    <row r="1793" spans="1:13">
      <c r="A1793" s="21" t="str">
        <f>TEXT(TEXT(B1793,"yyyymmdd"),"00000000")&amp;TEXT(COUNTIF($B$2:B1793,B1793),"00")</f>
        <v>2024111901</v>
      </c>
      <c r="B1793" s="21">
        <f t="shared" ref="B1793" si="404">DATE(C1793,D1793,E1793)</f>
        <v>45615</v>
      </c>
      <c r="C1793" s="22">
        <v>2024</v>
      </c>
      <c r="D1793" s="23">
        <v>11</v>
      </c>
      <c r="E1793" s="24">
        <v>19</v>
      </c>
      <c r="F1793" s="42" t="s">
        <v>17</v>
      </c>
      <c r="G1793" s="42" t="s">
        <v>13</v>
      </c>
      <c r="H1793" s="42" t="s">
        <v>167</v>
      </c>
      <c r="I1793" s="42" t="s">
        <v>168</v>
      </c>
      <c r="J1793" s="10">
        <v>5600</v>
      </c>
      <c r="K1793" s="7">
        <v>-5600</v>
      </c>
      <c r="L1793" s="1" t="s">
        <v>748</v>
      </c>
    </row>
    <row r="1794" spans="1:13">
      <c r="A1794" s="21" t="str">
        <f>TEXT(TEXT(B1794,"yyyymmdd"),"00000000")&amp;TEXT(COUNTIF($B$2:B1794,B1794),"00")</f>
        <v>2024111902</v>
      </c>
      <c r="B1794" s="21">
        <f t="shared" ref="B1794" si="405">DATE(C1794,D1794,E1794)</f>
        <v>45615</v>
      </c>
      <c r="C1794" s="22">
        <v>2024</v>
      </c>
      <c r="D1794" s="23">
        <v>11</v>
      </c>
      <c r="E1794" s="24">
        <v>19</v>
      </c>
      <c r="F1794" s="42" t="s">
        <v>17</v>
      </c>
      <c r="G1794" s="42" t="s">
        <v>13</v>
      </c>
      <c r="H1794" s="42" t="s">
        <v>138</v>
      </c>
      <c r="I1794" s="42" t="s">
        <v>139</v>
      </c>
      <c r="J1794" s="10">
        <v>9142</v>
      </c>
      <c r="K1794" s="7">
        <v>-9142</v>
      </c>
      <c r="L1794" s="1" t="s">
        <v>701</v>
      </c>
      <c r="M1794" s="2" t="s">
        <v>1292</v>
      </c>
    </row>
    <row r="1795" spans="1:13">
      <c r="A1795" s="21" t="str">
        <f>TEXT(TEXT(B1795,"yyyymmdd"),"00000000")&amp;TEXT(COUNTIF($B$2:B1795,B1795),"00")</f>
        <v>2024112001</v>
      </c>
      <c r="B1795" s="21">
        <f t="shared" ref="B1795" si="406">DATE(C1795,D1795,E1795)</f>
        <v>45616</v>
      </c>
      <c r="C1795" s="22">
        <v>2024</v>
      </c>
      <c r="D1795" s="23">
        <v>11</v>
      </c>
      <c r="E1795" s="24">
        <v>20</v>
      </c>
      <c r="F1795" s="42" t="s">
        <v>17</v>
      </c>
      <c r="G1795" s="42" t="s">
        <v>13</v>
      </c>
      <c r="H1795" s="42" t="s">
        <v>138</v>
      </c>
      <c r="I1795" s="42" t="s">
        <v>139</v>
      </c>
      <c r="J1795" s="10">
        <v>5000</v>
      </c>
      <c r="K1795" s="7">
        <v>-5000</v>
      </c>
      <c r="L1795" s="1" t="s">
        <v>619</v>
      </c>
    </row>
    <row r="1796" spans="1:13">
      <c r="A1796" s="21" t="str">
        <f>TEXT(TEXT(B1796,"yyyymmdd"),"00000000")&amp;TEXT(COUNTIF($B$2:B1796,B1796),"00")</f>
        <v>2024112002</v>
      </c>
      <c r="B1796" s="21">
        <f t="shared" ref="B1796" si="407">DATE(C1796,D1796,E1796)</f>
        <v>45616</v>
      </c>
      <c r="C1796" s="22">
        <v>2024</v>
      </c>
      <c r="D1796" s="23">
        <v>11</v>
      </c>
      <c r="E1796" s="24">
        <v>20</v>
      </c>
      <c r="F1796" s="42" t="s">
        <v>17</v>
      </c>
      <c r="G1796" s="42" t="s">
        <v>7</v>
      </c>
      <c r="H1796" s="42" t="s">
        <v>119</v>
      </c>
      <c r="I1796" s="42" t="s">
        <v>180</v>
      </c>
      <c r="J1796" s="10">
        <v>14900</v>
      </c>
      <c r="K1796" s="7">
        <v>-14900</v>
      </c>
      <c r="L1796" s="1" t="s">
        <v>181</v>
      </c>
      <c r="M1796" s="2" t="s">
        <v>1293</v>
      </c>
    </row>
    <row r="1797" spans="1:13">
      <c r="A1797" s="21" t="str">
        <f>TEXT(TEXT(B1797,"yyyymmdd"),"00000000")&amp;TEXT(COUNTIF($B$2:B1797,B1797),"00")</f>
        <v>2024112101</v>
      </c>
      <c r="B1797" s="21">
        <f t="shared" ref="B1797" si="408">DATE(C1797,D1797,E1797)</f>
        <v>45617</v>
      </c>
      <c r="C1797" s="22">
        <v>2024</v>
      </c>
      <c r="D1797" s="23">
        <v>11</v>
      </c>
      <c r="E1797" s="24">
        <v>21</v>
      </c>
      <c r="F1797" s="42" t="s">
        <v>17</v>
      </c>
      <c r="G1797" s="42" t="s">
        <v>13</v>
      </c>
      <c r="H1797" s="42" t="s">
        <v>138</v>
      </c>
      <c r="I1797" s="42" t="s">
        <v>139</v>
      </c>
      <c r="J1797" s="10">
        <v>6000</v>
      </c>
      <c r="K1797" s="7">
        <v>-6000</v>
      </c>
      <c r="L1797" s="1" t="s">
        <v>619</v>
      </c>
    </row>
    <row r="1798" spans="1:13">
      <c r="A1798" s="21" t="str">
        <f>TEXT(TEXT(B1798,"yyyymmdd"),"00000000")&amp;TEXT(COUNTIF($B$2:B1798,B1798),"00")</f>
        <v>2024112102</v>
      </c>
      <c r="B1798" s="21">
        <f t="shared" ref="B1798" si="409">DATE(C1798,D1798,E1798)</f>
        <v>45617</v>
      </c>
      <c r="C1798" s="22">
        <v>2024</v>
      </c>
      <c r="D1798" s="23">
        <v>11</v>
      </c>
      <c r="E1798" s="24">
        <v>21</v>
      </c>
      <c r="F1798" s="42" t="s">
        <v>17</v>
      </c>
      <c r="G1798" s="42" t="s">
        <v>135</v>
      </c>
      <c r="H1798" s="42" t="s">
        <v>135</v>
      </c>
      <c r="I1798" s="42" t="s">
        <v>143</v>
      </c>
      <c r="J1798" s="10">
        <v>-10000</v>
      </c>
      <c r="K1798" s="7">
        <v>10000</v>
      </c>
      <c r="L1798" s="1" t="s">
        <v>165</v>
      </c>
    </row>
    <row r="1799" spans="1:13">
      <c r="A1799" s="21" t="str">
        <f>TEXT(TEXT(B1799,"yyyymmdd"),"00000000")&amp;TEXT(COUNTIF($B$2:B1799,B1799),"00")</f>
        <v>2024112103</v>
      </c>
      <c r="B1799" s="21">
        <f t="shared" ref="B1799" si="410">DATE(C1799,D1799,E1799)</f>
        <v>45617</v>
      </c>
      <c r="C1799" s="22">
        <v>2024</v>
      </c>
      <c r="D1799" s="23">
        <v>11</v>
      </c>
      <c r="E1799" s="24">
        <v>21</v>
      </c>
      <c r="F1799" s="42" t="s">
        <v>17</v>
      </c>
      <c r="G1799" s="42" t="s">
        <v>135</v>
      </c>
      <c r="H1799" s="42" t="s">
        <v>135</v>
      </c>
      <c r="I1799" s="42" t="s">
        <v>143</v>
      </c>
      <c r="J1799" s="10">
        <v>-1</v>
      </c>
      <c r="K1799" s="7">
        <v>1</v>
      </c>
      <c r="L1799" s="1" t="s">
        <v>551</v>
      </c>
    </row>
    <row r="1800" spans="1:13">
      <c r="A1800" s="21" t="str">
        <f>TEXT(TEXT(B1800,"yyyymmdd"),"00000000")&amp;TEXT(COUNTIF($B$2:B1800,B1800),"00")</f>
        <v>2024112201</v>
      </c>
      <c r="B1800" s="21">
        <f t="shared" ref="B1800" si="411">DATE(C1800,D1800,E1800)</f>
        <v>45618</v>
      </c>
      <c r="C1800" s="22">
        <v>2024</v>
      </c>
      <c r="D1800" s="23">
        <v>11</v>
      </c>
      <c r="E1800" s="24">
        <v>22</v>
      </c>
      <c r="F1800" s="42" t="s">
        <v>17</v>
      </c>
      <c r="G1800" s="42" t="s">
        <v>170</v>
      </c>
      <c r="H1800" s="42" t="s">
        <v>114</v>
      </c>
      <c r="I1800" s="42" t="s">
        <v>1005</v>
      </c>
      <c r="J1800" s="10">
        <v>21350</v>
      </c>
      <c r="K1800" s="7">
        <v>-21350</v>
      </c>
      <c r="L1800" s="1" t="s">
        <v>1006</v>
      </c>
    </row>
    <row r="1801" spans="1:13">
      <c r="A1801" s="21" t="str">
        <f>TEXT(TEXT(B1801,"yyyymmdd"),"00000000")&amp;TEXT(COUNTIF($B$2:B1801,B1801),"00")</f>
        <v>2024112202</v>
      </c>
      <c r="B1801" s="21">
        <f t="shared" ref="B1801" si="412">DATE(C1801,D1801,E1801)</f>
        <v>45618</v>
      </c>
      <c r="C1801" s="22">
        <v>2024</v>
      </c>
      <c r="D1801" s="23">
        <v>11</v>
      </c>
      <c r="E1801" s="24">
        <v>22</v>
      </c>
      <c r="F1801" s="42" t="s">
        <v>17</v>
      </c>
      <c r="G1801" s="42" t="s">
        <v>13</v>
      </c>
      <c r="H1801" s="42" t="s">
        <v>138</v>
      </c>
      <c r="I1801" s="42" t="s">
        <v>139</v>
      </c>
      <c r="J1801" s="10">
        <v>5000</v>
      </c>
      <c r="K1801" s="7">
        <v>-5000</v>
      </c>
      <c r="L1801" s="1" t="s">
        <v>619</v>
      </c>
    </row>
    <row r="1802" spans="1:13">
      <c r="A1802" s="21" t="str">
        <f>TEXT(TEXT(B1802,"yyyymmdd"),"00000000")&amp;TEXT(COUNTIF($B$2:B1802,B1802),"00")</f>
        <v>2024112203</v>
      </c>
      <c r="B1802" s="21">
        <f t="shared" ref="B1802" si="413">DATE(C1802,D1802,E1802)</f>
        <v>45618</v>
      </c>
      <c r="C1802" s="22">
        <v>2024</v>
      </c>
      <c r="D1802" s="23">
        <v>11</v>
      </c>
      <c r="E1802" s="24">
        <v>22</v>
      </c>
      <c r="F1802" s="42" t="s">
        <v>17</v>
      </c>
      <c r="G1802" s="42" t="s">
        <v>13</v>
      </c>
      <c r="H1802" s="42" t="s">
        <v>138</v>
      </c>
      <c r="I1802" s="42" t="s">
        <v>139</v>
      </c>
      <c r="J1802" s="10">
        <v>6000</v>
      </c>
      <c r="K1802" s="7">
        <v>-6000</v>
      </c>
      <c r="L1802" s="1" t="s">
        <v>619</v>
      </c>
    </row>
    <row r="1803" spans="1:13">
      <c r="A1803" s="21" t="str">
        <f>TEXT(TEXT(B1803,"yyyymmdd"),"00000000")&amp;TEXT(COUNTIF($B$2:B1803,B1803),"00")</f>
        <v>2024112301</v>
      </c>
      <c r="B1803" s="21">
        <f t="shared" ref="B1803" si="414">DATE(C1803,D1803,E1803)</f>
        <v>45619</v>
      </c>
      <c r="C1803" s="22">
        <v>2024</v>
      </c>
      <c r="D1803" s="23">
        <v>11</v>
      </c>
      <c r="E1803" s="24">
        <v>23</v>
      </c>
      <c r="F1803" s="42" t="s">
        <v>17</v>
      </c>
      <c r="G1803" s="42" t="s">
        <v>7</v>
      </c>
      <c r="H1803" s="42" t="s">
        <v>167</v>
      </c>
      <c r="I1803" s="42" t="s">
        <v>168</v>
      </c>
      <c r="J1803" s="10">
        <v>2300</v>
      </c>
      <c r="K1803" s="7">
        <v>-2300</v>
      </c>
      <c r="L1803" s="1" t="s">
        <v>748</v>
      </c>
      <c r="M1803" s="2" t="s">
        <v>1095</v>
      </c>
    </row>
    <row r="1804" spans="1:13">
      <c r="A1804" s="21" t="str">
        <f>TEXT(TEXT(B1804,"yyyymmdd"),"00000000")&amp;TEXT(COUNTIF($B$2:B1804,B1804),"00")</f>
        <v>2024112302</v>
      </c>
      <c r="B1804" s="21">
        <f t="shared" ref="B1804" si="415">DATE(C1804,D1804,E1804)</f>
        <v>45619</v>
      </c>
      <c r="C1804" s="22">
        <v>2024</v>
      </c>
      <c r="D1804" s="23">
        <v>11</v>
      </c>
      <c r="E1804" s="24">
        <v>23</v>
      </c>
      <c r="F1804" s="42" t="s">
        <v>17</v>
      </c>
      <c r="G1804" s="42" t="s">
        <v>13</v>
      </c>
      <c r="H1804" s="42" t="s">
        <v>138</v>
      </c>
      <c r="I1804" s="42" t="s">
        <v>139</v>
      </c>
      <c r="J1804" s="10">
        <v>8900</v>
      </c>
      <c r="K1804" s="7">
        <v>-8900</v>
      </c>
      <c r="L1804" s="1" t="s">
        <v>738</v>
      </c>
    </row>
    <row r="1805" spans="1:13">
      <c r="A1805" s="21" t="str">
        <f>TEXT(TEXT(B1805,"yyyymmdd"),"00000000")&amp;TEXT(COUNTIF($B$2:B1805,B1805),"00")</f>
        <v>2024112601</v>
      </c>
      <c r="B1805" s="21">
        <f t="shared" ref="B1805" si="416">DATE(C1805,D1805,E1805)</f>
        <v>45622</v>
      </c>
      <c r="C1805" s="22">
        <v>2024</v>
      </c>
      <c r="D1805" s="23">
        <v>11</v>
      </c>
      <c r="E1805" s="24">
        <v>26</v>
      </c>
      <c r="F1805" s="42" t="s">
        <v>17</v>
      </c>
      <c r="G1805" s="42" t="s">
        <v>13</v>
      </c>
      <c r="H1805" s="42" t="s">
        <v>138</v>
      </c>
      <c r="I1805" s="42" t="s">
        <v>139</v>
      </c>
      <c r="J1805" s="10">
        <v>5300</v>
      </c>
      <c r="K1805" s="7">
        <v>-5300</v>
      </c>
      <c r="L1805" s="1" t="s">
        <v>300</v>
      </c>
    </row>
    <row r="1806" spans="1:13">
      <c r="A1806" s="21" t="str">
        <f>TEXT(TEXT(B1806,"yyyymmdd"),"00000000")&amp;TEXT(COUNTIF($B$2:B1806,B1806),"00")</f>
        <v>2024112602</v>
      </c>
      <c r="B1806" s="21">
        <f t="shared" ref="B1806" si="417">DATE(C1806,D1806,E1806)</f>
        <v>45622</v>
      </c>
      <c r="C1806" s="22">
        <v>2024</v>
      </c>
      <c r="D1806" s="23">
        <v>11</v>
      </c>
      <c r="E1806" s="24">
        <v>26</v>
      </c>
      <c r="F1806" s="42" t="s">
        <v>17</v>
      </c>
      <c r="G1806" s="42" t="s">
        <v>13</v>
      </c>
      <c r="H1806" s="42" t="s">
        <v>138</v>
      </c>
      <c r="I1806" s="42" t="s">
        <v>139</v>
      </c>
      <c r="J1806" s="10">
        <v>6000</v>
      </c>
      <c r="K1806" s="7">
        <v>-6000</v>
      </c>
      <c r="L1806" s="1" t="s">
        <v>619</v>
      </c>
    </row>
    <row r="1807" spans="1:13">
      <c r="A1807" s="21" t="str">
        <f>TEXT(TEXT(B1807,"yyyymmdd"),"00000000")&amp;TEXT(COUNTIF($B$2:B1807,B1807),"00")</f>
        <v>2024112701</v>
      </c>
      <c r="B1807" s="21">
        <f t="shared" ref="B1807" si="418">DATE(C1807,D1807,E1807)</f>
        <v>45623</v>
      </c>
      <c r="C1807" s="22">
        <v>2024</v>
      </c>
      <c r="D1807" s="23">
        <v>11</v>
      </c>
      <c r="E1807" s="24">
        <v>27</v>
      </c>
      <c r="F1807" s="42" t="s">
        <v>17</v>
      </c>
      <c r="G1807" s="42" t="s">
        <v>13</v>
      </c>
      <c r="H1807" s="42" t="s">
        <v>138</v>
      </c>
      <c r="I1807" s="42" t="s">
        <v>139</v>
      </c>
      <c r="J1807" s="10">
        <v>5000</v>
      </c>
      <c r="K1807" s="7">
        <v>-5000</v>
      </c>
      <c r="L1807" s="1" t="s">
        <v>619</v>
      </c>
    </row>
    <row r="1808" spans="1:13">
      <c r="A1808" s="21" t="str">
        <f>TEXT(TEXT(B1808,"yyyymmdd"),"00000000")&amp;TEXT(COUNTIF($B$2:B1808,B1808),"00")</f>
        <v>2024112702</v>
      </c>
      <c r="B1808" s="21">
        <f t="shared" ref="B1808" si="419">DATE(C1808,D1808,E1808)</f>
        <v>45623</v>
      </c>
      <c r="C1808" s="22">
        <v>2024</v>
      </c>
      <c r="D1808" s="23">
        <v>11</v>
      </c>
      <c r="E1808" s="24">
        <v>27</v>
      </c>
      <c r="F1808" s="42" t="s">
        <v>17</v>
      </c>
      <c r="G1808" s="42" t="s">
        <v>7</v>
      </c>
      <c r="H1808" s="42" t="s">
        <v>110</v>
      </c>
      <c r="I1808" s="42" t="s">
        <v>120</v>
      </c>
      <c r="J1808" s="10">
        <v>1600</v>
      </c>
      <c r="K1808" s="7">
        <v>-1600</v>
      </c>
      <c r="L1808" s="1" t="s">
        <v>480</v>
      </c>
    </row>
    <row r="1809" spans="1:13">
      <c r="A1809" s="21" t="str">
        <f>TEXT(TEXT(B1809,"yyyymmdd"),"00000000")&amp;TEXT(COUNTIF($B$2:B1809,B1809),"00")</f>
        <v>2024112703</v>
      </c>
      <c r="B1809" s="21">
        <f t="shared" ref="B1809" si="420">DATE(C1809,D1809,E1809)</f>
        <v>45623</v>
      </c>
      <c r="C1809" s="22">
        <v>2024</v>
      </c>
      <c r="D1809" s="23">
        <v>11</v>
      </c>
      <c r="E1809" s="24">
        <v>27</v>
      </c>
      <c r="F1809" s="42" t="s">
        <v>17</v>
      </c>
      <c r="G1809" s="42" t="s">
        <v>13</v>
      </c>
      <c r="H1809" s="42" t="s">
        <v>138</v>
      </c>
      <c r="I1809" s="42" t="s">
        <v>139</v>
      </c>
      <c r="J1809" s="10">
        <v>8000</v>
      </c>
      <c r="K1809" s="7">
        <v>-8000</v>
      </c>
      <c r="L1809" s="1" t="s">
        <v>677</v>
      </c>
    </row>
    <row r="1810" spans="1:13">
      <c r="A1810" s="21" t="str">
        <f>TEXT(TEXT(B1810,"yyyymmdd"),"00000000")&amp;TEXT(COUNTIF($B$2:B1810,B1810),"00")</f>
        <v>2024112704</v>
      </c>
      <c r="B1810" s="21">
        <f t="shared" ref="B1810" si="421">DATE(C1810,D1810,E1810)</f>
        <v>45623</v>
      </c>
      <c r="C1810" s="22">
        <v>2024</v>
      </c>
      <c r="D1810" s="23">
        <v>11</v>
      </c>
      <c r="E1810" s="24">
        <v>27</v>
      </c>
      <c r="F1810" s="42" t="s">
        <v>17</v>
      </c>
      <c r="G1810" s="42" t="s">
        <v>7</v>
      </c>
      <c r="H1810" s="42" t="s">
        <v>167</v>
      </c>
      <c r="I1810" s="42" t="s">
        <v>168</v>
      </c>
      <c r="J1810" s="10">
        <v>8020</v>
      </c>
      <c r="K1810" s="7">
        <v>-8020</v>
      </c>
      <c r="L1810" s="1" t="s">
        <v>532</v>
      </c>
    </row>
    <row r="1811" spans="1:13">
      <c r="A1811" s="21" t="str">
        <f>TEXT(TEXT(B1811,"yyyymmdd"),"00000000")&amp;TEXT(COUNTIF($B$2:B1811,B1811),"00")</f>
        <v>2024112801</v>
      </c>
      <c r="B1811" s="21">
        <f t="shared" ref="B1811" si="422">DATE(C1811,D1811,E1811)</f>
        <v>45624</v>
      </c>
      <c r="C1811" s="22">
        <v>2024</v>
      </c>
      <c r="D1811" s="23">
        <v>11</v>
      </c>
      <c r="E1811" s="24">
        <v>28</v>
      </c>
      <c r="F1811" s="42" t="s">
        <v>17</v>
      </c>
      <c r="G1811" s="42" t="s">
        <v>13</v>
      </c>
      <c r="H1811" s="42" t="s">
        <v>138</v>
      </c>
      <c r="I1811" s="42" t="s">
        <v>139</v>
      </c>
      <c r="J1811" s="10">
        <v>2800</v>
      </c>
      <c r="K1811" s="7">
        <v>-2800</v>
      </c>
      <c r="L1811" s="1" t="s">
        <v>300</v>
      </c>
    </row>
    <row r="1812" spans="1:13">
      <c r="A1812" s="21" t="str">
        <f>TEXT(TEXT(B1812,"yyyymmdd"),"00000000")&amp;TEXT(COUNTIF($B$2:B1812,B1812),"00")</f>
        <v>2024112901</v>
      </c>
      <c r="B1812" s="21">
        <f t="shared" ref="B1812" si="423">DATE(C1812,D1812,E1812)</f>
        <v>45625</v>
      </c>
      <c r="C1812" s="22">
        <v>2024</v>
      </c>
      <c r="D1812" s="23">
        <v>11</v>
      </c>
      <c r="E1812" s="24">
        <v>29</v>
      </c>
      <c r="F1812" s="42" t="s">
        <v>17</v>
      </c>
      <c r="G1812" s="42" t="s">
        <v>13</v>
      </c>
      <c r="H1812" s="42" t="s">
        <v>138</v>
      </c>
      <c r="I1812" s="42" t="s">
        <v>139</v>
      </c>
      <c r="J1812" s="10">
        <v>8500</v>
      </c>
      <c r="K1812" s="7">
        <v>-8500</v>
      </c>
      <c r="L1812" s="1" t="s">
        <v>693</v>
      </c>
    </row>
    <row r="1813" spans="1:13">
      <c r="A1813" s="21" t="str">
        <f>TEXT(TEXT(B1813,"yyyymmdd"),"00000000")&amp;TEXT(COUNTIF($B$2:B1813,B1813),"00")</f>
        <v>2024113001</v>
      </c>
      <c r="B1813" s="21">
        <f t="shared" ref="B1813" si="424">DATE(C1813,D1813,E1813)</f>
        <v>45626</v>
      </c>
      <c r="C1813" s="22">
        <v>2024</v>
      </c>
      <c r="D1813" s="23">
        <v>11</v>
      </c>
      <c r="E1813" s="24">
        <v>30</v>
      </c>
      <c r="F1813" s="42" t="s">
        <v>17</v>
      </c>
      <c r="G1813" s="42" t="s">
        <v>13</v>
      </c>
      <c r="H1813" s="42" t="s">
        <v>113</v>
      </c>
      <c r="I1813" s="42" t="s">
        <v>171</v>
      </c>
      <c r="J1813" s="10">
        <v>15000</v>
      </c>
      <c r="K1813" s="7">
        <v>-15000</v>
      </c>
      <c r="L1813" s="1" t="s">
        <v>502</v>
      </c>
    </row>
    <row r="1814" spans="1:13">
      <c r="A1814" s="21" t="str">
        <f>TEXT(TEXT(B1814,"yyyymmdd"),"00000000")&amp;TEXT(COUNTIF($B$2:B1814,B1814),"00")</f>
        <v>2024113002</v>
      </c>
      <c r="B1814" s="21">
        <f t="shared" ref="B1814" si="425">DATE(C1814,D1814,E1814)</f>
        <v>45626</v>
      </c>
      <c r="C1814" s="22">
        <v>2024</v>
      </c>
      <c r="D1814" s="23">
        <v>11</v>
      </c>
      <c r="E1814" s="24">
        <v>30</v>
      </c>
      <c r="F1814" s="42" t="s">
        <v>17</v>
      </c>
      <c r="G1814" s="42" t="s">
        <v>170</v>
      </c>
      <c r="H1814" s="42" t="s">
        <v>155</v>
      </c>
      <c r="I1814" s="42" t="s">
        <v>156</v>
      </c>
      <c r="J1814" s="10">
        <v>1620</v>
      </c>
      <c r="K1814" s="7">
        <v>-1620</v>
      </c>
      <c r="L1814" s="1" t="s">
        <v>303</v>
      </c>
    </row>
    <row r="1815" spans="1:13">
      <c r="A1815" s="21" t="str">
        <f>TEXT(TEXT(B1815,"yyyymmdd"),"00000000")&amp;TEXT(COUNTIF($B$2:B1815,B1815),"00")</f>
        <v>2024120101</v>
      </c>
      <c r="B1815" s="21">
        <f t="shared" ref="B1815" si="426">DATE(C1815,D1815,E1815)</f>
        <v>45627</v>
      </c>
      <c r="C1815" s="22">
        <v>2024</v>
      </c>
      <c r="D1815" s="23">
        <v>12</v>
      </c>
      <c r="E1815" s="24">
        <v>1</v>
      </c>
      <c r="F1815" s="42" t="s">
        <v>17</v>
      </c>
      <c r="G1815" s="42" t="s">
        <v>151</v>
      </c>
      <c r="H1815" s="42" t="s">
        <v>151</v>
      </c>
      <c r="I1815" s="42" t="s">
        <v>152</v>
      </c>
      <c r="J1815" s="10">
        <v>-600000</v>
      </c>
      <c r="K1815" s="7">
        <v>600000</v>
      </c>
      <c r="L1815" s="1" t="s">
        <v>252</v>
      </c>
    </row>
    <row r="1816" spans="1:13">
      <c r="A1816" s="21" t="str">
        <f>TEXT(TEXT(B1816,"yyyymmdd"),"00000000")&amp;TEXT(COUNTIF($B$2:B1816,B1816),"00")</f>
        <v>2024120102</v>
      </c>
      <c r="B1816" s="21">
        <f t="shared" ref="B1816" si="427">DATE(C1816,D1816,E1816)</f>
        <v>45627</v>
      </c>
      <c r="C1816" s="22">
        <v>2024</v>
      </c>
      <c r="D1816" s="23">
        <v>12</v>
      </c>
      <c r="E1816" s="24">
        <v>1</v>
      </c>
      <c r="F1816" s="42" t="s">
        <v>17</v>
      </c>
      <c r="G1816" s="42" t="s">
        <v>13</v>
      </c>
      <c r="H1816" s="42" t="s">
        <v>138</v>
      </c>
      <c r="I1816" s="42" t="s">
        <v>139</v>
      </c>
      <c r="J1816" s="10">
        <v>7400</v>
      </c>
      <c r="K1816" s="7">
        <v>-7400</v>
      </c>
      <c r="L1816" s="1" t="s">
        <v>300</v>
      </c>
    </row>
    <row r="1817" spans="1:13">
      <c r="A1817" s="21" t="str">
        <f>TEXT(TEXT(B1817,"yyyymmdd"),"00000000")&amp;TEXT(COUNTIF($B$2:B1817,B1817),"00")</f>
        <v>2024120201</v>
      </c>
      <c r="B1817" s="21">
        <f t="shared" ref="B1817" si="428">DATE(C1817,D1817,E1817)</f>
        <v>45628</v>
      </c>
      <c r="C1817" s="22">
        <v>2024</v>
      </c>
      <c r="D1817" s="23">
        <v>12</v>
      </c>
      <c r="E1817" s="24">
        <v>2</v>
      </c>
      <c r="F1817" s="42" t="s">
        <v>17</v>
      </c>
      <c r="G1817" s="42" t="s">
        <v>13</v>
      </c>
      <c r="H1817" s="42" t="s">
        <v>138</v>
      </c>
      <c r="I1817" s="42" t="s">
        <v>139</v>
      </c>
      <c r="J1817" s="10">
        <v>6000</v>
      </c>
      <c r="K1817" s="7">
        <v>-6000</v>
      </c>
      <c r="L1817" s="1" t="s">
        <v>619</v>
      </c>
    </row>
    <row r="1818" spans="1:13">
      <c r="A1818" s="21" t="str">
        <f>TEXT(TEXT(B1818,"yyyymmdd"),"00000000")&amp;TEXT(COUNTIF($B$2:B1818,B1818),"00")</f>
        <v>2024120301</v>
      </c>
      <c r="B1818" s="21">
        <f t="shared" ref="B1818" si="429">DATE(C1818,D1818,E1818)</f>
        <v>45629</v>
      </c>
      <c r="C1818" s="22">
        <v>2024</v>
      </c>
      <c r="D1818" s="23">
        <v>12</v>
      </c>
      <c r="E1818" s="24">
        <v>3</v>
      </c>
      <c r="F1818" s="42" t="s">
        <v>17</v>
      </c>
      <c r="G1818" s="42" t="s">
        <v>7</v>
      </c>
      <c r="H1818" s="42" t="s">
        <v>155</v>
      </c>
      <c r="I1818" s="42" t="s">
        <v>221</v>
      </c>
      <c r="J1818" s="10">
        <v>14900</v>
      </c>
      <c r="K1818" s="7">
        <v>-14900</v>
      </c>
      <c r="L1818" s="1" t="s">
        <v>1038</v>
      </c>
      <c r="M1818" s="2" t="s">
        <v>1294</v>
      </c>
    </row>
    <row r="1819" spans="1:13">
      <c r="A1819" s="21" t="str">
        <f>TEXT(TEXT(B1819,"yyyymmdd"),"00000000")&amp;TEXT(COUNTIF($B$2:B1819,B1819),"00")</f>
        <v>2024120302</v>
      </c>
      <c r="B1819" s="21">
        <f t="shared" ref="B1819" si="430">DATE(C1819,D1819,E1819)</f>
        <v>45629</v>
      </c>
      <c r="C1819" s="22">
        <v>2024</v>
      </c>
      <c r="D1819" s="23">
        <v>12</v>
      </c>
      <c r="E1819" s="24">
        <v>3</v>
      </c>
      <c r="F1819" s="42" t="s">
        <v>17</v>
      </c>
      <c r="G1819" s="42" t="s">
        <v>13</v>
      </c>
      <c r="H1819" s="42" t="s">
        <v>167</v>
      </c>
      <c r="I1819" s="42" t="s">
        <v>168</v>
      </c>
      <c r="J1819" s="10">
        <v>5600</v>
      </c>
      <c r="K1819" s="7">
        <v>-5600</v>
      </c>
      <c r="L1819" s="1" t="s">
        <v>748</v>
      </c>
    </row>
    <row r="1820" spans="1:13">
      <c r="A1820" s="21" t="str">
        <f>TEXT(TEXT(B1820,"yyyymmdd"),"00000000")&amp;TEXT(COUNTIF($B$2:B1820,B1820),"00")</f>
        <v>2024120303</v>
      </c>
      <c r="B1820" s="21">
        <f t="shared" ref="B1820" si="431">DATE(C1820,D1820,E1820)</f>
        <v>45629</v>
      </c>
      <c r="C1820" s="22">
        <v>2024</v>
      </c>
      <c r="D1820" s="23">
        <v>12</v>
      </c>
      <c r="E1820" s="24">
        <v>3</v>
      </c>
      <c r="F1820" s="42" t="s">
        <v>17</v>
      </c>
      <c r="G1820" s="42" t="s">
        <v>13</v>
      </c>
      <c r="H1820" s="42" t="s">
        <v>138</v>
      </c>
      <c r="I1820" s="42" t="s">
        <v>139</v>
      </c>
      <c r="J1820" s="10">
        <v>6000</v>
      </c>
      <c r="K1820" s="7">
        <v>-6000</v>
      </c>
      <c r="L1820" s="1" t="s">
        <v>619</v>
      </c>
    </row>
    <row r="1821" spans="1:13">
      <c r="A1821" s="21" t="str">
        <f>TEXT(TEXT(B1821,"yyyymmdd"),"00000000")&amp;TEXT(COUNTIF($B$2:B1821,B1821),"00")</f>
        <v>2024120401</v>
      </c>
      <c r="B1821" s="21">
        <f t="shared" ref="B1821" si="432">DATE(C1821,D1821,E1821)</f>
        <v>45630</v>
      </c>
      <c r="C1821" s="22">
        <v>2024</v>
      </c>
      <c r="D1821" s="23">
        <v>12</v>
      </c>
      <c r="E1821" s="24">
        <v>4</v>
      </c>
      <c r="F1821" s="42" t="s">
        <v>17</v>
      </c>
      <c r="G1821" s="42" t="s">
        <v>13</v>
      </c>
      <c r="H1821" s="42" t="s">
        <v>138</v>
      </c>
      <c r="I1821" s="42" t="s">
        <v>139</v>
      </c>
      <c r="J1821" s="10">
        <v>5000</v>
      </c>
      <c r="K1821" s="7">
        <v>-5000</v>
      </c>
      <c r="L1821" s="1" t="s">
        <v>619</v>
      </c>
    </row>
    <row r="1822" spans="1:13">
      <c r="A1822" s="21" t="str">
        <f>TEXT(TEXT(B1822,"yyyymmdd"),"00000000")&amp;TEXT(COUNTIF($B$2:B1822,B1822),"00")</f>
        <v>2024120402</v>
      </c>
      <c r="B1822" s="21">
        <f t="shared" ref="B1822" si="433">DATE(C1822,D1822,E1822)</f>
        <v>45630</v>
      </c>
      <c r="C1822" s="22">
        <v>2024</v>
      </c>
      <c r="D1822" s="23">
        <v>12</v>
      </c>
      <c r="E1822" s="24">
        <v>4</v>
      </c>
      <c r="F1822" s="42" t="s">
        <v>17</v>
      </c>
      <c r="G1822" s="42" t="s">
        <v>13</v>
      </c>
      <c r="H1822" s="42" t="s">
        <v>138</v>
      </c>
      <c r="I1822" s="42" t="s">
        <v>139</v>
      </c>
      <c r="J1822" s="10">
        <v>6000</v>
      </c>
      <c r="K1822" s="7">
        <v>-6000</v>
      </c>
      <c r="L1822" s="1" t="s">
        <v>619</v>
      </c>
    </row>
    <row r="1823" spans="1:13">
      <c r="A1823" s="21" t="str">
        <f>TEXT(TEXT(B1823,"yyyymmdd"),"00000000")&amp;TEXT(COUNTIF($B$2:B1823,B1823),"00")</f>
        <v>2024120403</v>
      </c>
      <c r="B1823" s="21">
        <f t="shared" ref="B1823" si="434">DATE(C1823,D1823,E1823)</f>
        <v>45630</v>
      </c>
      <c r="C1823" s="22">
        <v>2024</v>
      </c>
      <c r="D1823" s="23">
        <v>12</v>
      </c>
      <c r="E1823" s="24">
        <v>4</v>
      </c>
      <c r="F1823" s="42" t="s">
        <v>17</v>
      </c>
      <c r="G1823" s="42" t="s">
        <v>7</v>
      </c>
      <c r="H1823" s="42" t="s">
        <v>173</v>
      </c>
      <c r="I1823" s="42" t="s">
        <v>207</v>
      </c>
      <c r="J1823" s="10">
        <v>10520</v>
      </c>
      <c r="K1823" s="7">
        <v>-10520</v>
      </c>
      <c r="L1823" s="1" t="s">
        <v>208</v>
      </c>
    </row>
    <row r="1824" spans="1:13">
      <c r="A1824" s="21" t="str">
        <f>TEXT(TEXT(B1824,"yyyymmdd"),"00000000")&amp;TEXT(COUNTIF($B$2:B1824,B1824),"00")</f>
        <v>2024120404</v>
      </c>
      <c r="B1824" s="21">
        <f t="shared" ref="B1824" si="435">DATE(C1824,D1824,E1824)</f>
        <v>45630</v>
      </c>
      <c r="C1824" s="22">
        <v>2024</v>
      </c>
      <c r="D1824" s="23">
        <v>12</v>
      </c>
      <c r="E1824" s="24">
        <v>4</v>
      </c>
      <c r="F1824" s="42" t="s">
        <v>17</v>
      </c>
      <c r="G1824" s="42" t="s">
        <v>7</v>
      </c>
      <c r="H1824" s="42" t="s">
        <v>167</v>
      </c>
      <c r="I1824" s="42" t="s">
        <v>168</v>
      </c>
      <c r="J1824" s="10">
        <v>8200</v>
      </c>
      <c r="K1824" s="7">
        <v>-8200</v>
      </c>
      <c r="L1824" s="1" t="s">
        <v>532</v>
      </c>
    </row>
    <row r="1825" spans="1:13">
      <c r="A1825" s="21" t="str">
        <f>TEXT(TEXT(B1825,"yyyymmdd"),"00000000")&amp;TEXT(COUNTIF($B$2:B1825,B1825),"00")</f>
        <v>2024120501</v>
      </c>
      <c r="B1825" s="21">
        <f t="shared" ref="B1825" si="436">DATE(C1825,D1825,E1825)</f>
        <v>45631</v>
      </c>
      <c r="C1825" s="22">
        <v>2024</v>
      </c>
      <c r="D1825" s="23">
        <v>12</v>
      </c>
      <c r="E1825" s="24">
        <v>5</v>
      </c>
      <c r="F1825" s="42" t="s">
        <v>17</v>
      </c>
      <c r="G1825" s="42" t="s">
        <v>13</v>
      </c>
      <c r="H1825" s="42" t="s">
        <v>138</v>
      </c>
      <c r="I1825" s="42" t="s">
        <v>139</v>
      </c>
      <c r="J1825" s="10">
        <v>6000</v>
      </c>
      <c r="K1825" s="7">
        <v>-6000</v>
      </c>
      <c r="L1825" s="1" t="s">
        <v>619</v>
      </c>
    </row>
    <row r="1826" spans="1:13">
      <c r="A1826" s="21" t="str">
        <f>TEXT(TEXT(B1826,"yyyymmdd"),"00000000")&amp;TEXT(COUNTIF($B$2:B1826,B1826),"00")</f>
        <v>2024120601</v>
      </c>
      <c r="B1826" s="21">
        <f t="shared" ref="B1826" si="437">DATE(C1826,D1826,E1826)</f>
        <v>45632</v>
      </c>
      <c r="C1826" s="22">
        <v>2024</v>
      </c>
      <c r="D1826" s="23">
        <v>12</v>
      </c>
      <c r="E1826" s="24">
        <v>6</v>
      </c>
      <c r="F1826" s="42" t="s">
        <v>17</v>
      </c>
      <c r="G1826" s="42" t="s">
        <v>13</v>
      </c>
      <c r="H1826" s="42" t="s">
        <v>138</v>
      </c>
      <c r="I1826" s="42" t="s">
        <v>139</v>
      </c>
      <c r="J1826" s="10">
        <v>5000</v>
      </c>
      <c r="K1826" s="7">
        <v>-5000</v>
      </c>
      <c r="L1826" s="1" t="s">
        <v>619</v>
      </c>
    </row>
    <row r="1827" spans="1:13">
      <c r="A1827" s="21" t="str">
        <f>TEXT(TEXT(B1827,"yyyymmdd"),"00000000")&amp;TEXT(COUNTIF($B$2:B1827,B1827),"00")</f>
        <v>2024120602</v>
      </c>
      <c r="B1827" s="21">
        <f t="shared" ref="B1827" si="438">DATE(C1827,D1827,E1827)</f>
        <v>45632</v>
      </c>
      <c r="C1827" s="22">
        <v>2024</v>
      </c>
      <c r="D1827" s="23">
        <v>12</v>
      </c>
      <c r="E1827" s="24">
        <v>6</v>
      </c>
      <c r="F1827" s="42" t="s">
        <v>17</v>
      </c>
      <c r="G1827" s="42" t="s">
        <v>7</v>
      </c>
      <c r="H1827" s="42" t="s">
        <v>167</v>
      </c>
      <c r="I1827" s="42" t="s">
        <v>168</v>
      </c>
      <c r="J1827" s="10">
        <v>2300</v>
      </c>
      <c r="K1827" s="7">
        <v>-2300</v>
      </c>
      <c r="L1827" s="1" t="s">
        <v>748</v>
      </c>
      <c r="M1827" s="2" t="s">
        <v>1295</v>
      </c>
    </row>
    <row r="1828" spans="1:13">
      <c r="A1828" s="21" t="str">
        <f>TEXT(TEXT(B1828,"yyyymmdd"),"00000000")&amp;TEXT(COUNTIF($B$2:B1828,B1828),"00")</f>
        <v>2024120701</v>
      </c>
      <c r="B1828" s="21">
        <f t="shared" ref="B1828" si="439">DATE(C1828,D1828,E1828)</f>
        <v>45633</v>
      </c>
      <c r="C1828" s="22">
        <v>2024</v>
      </c>
      <c r="D1828" s="23">
        <v>12</v>
      </c>
      <c r="E1828" s="24">
        <v>7</v>
      </c>
      <c r="F1828" s="42" t="s">
        <v>17</v>
      </c>
      <c r="G1828" s="42" t="s">
        <v>13</v>
      </c>
      <c r="H1828" s="42" t="s">
        <v>138</v>
      </c>
      <c r="I1828" s="42" t="s">
        <v>139</v>
      </c>
      <c r="J1828" s="10">
        <v>11850</v>
      </c>
      <c r="K1828" s="7">
        <v>-11850</v>
      </c>
      <c r="L1828" s="1" t="s">
        <v>1296</v>
      </c>
    </row>
    <row r="1829" spans="1:13">
      <c r="A1829" s="21" t="str">
        <f>TEXT(TEXT(B1829,"yyyymmdd"),"00000000")&amp;TEXT(COUNTIF($B$2:B1829,B1829),"00")</f>
        <v>2024120901</v>
      </c>
      <c r="B1829" s="21">
        <f t="shared" ref="B1829" si="440">DATE(C1829,D1829,E1829)</f>
        <v>45635</v>
      </c>
      <c r="C1829" s="22">
        <v>2024</v>
      </c>
      <c r="D1829" s="23">
        <v>12</v>
      </c>
      <c r="E1829" s="24">
        <v>9</v>
      </c>
      <c r="F1829" s="42" t="s">
        <v>17</v>
      </c>
      <c r="G1829" s="42" t="s">
        <v>13</v>
      </c>
      <c r="H1829" s="42" t="s">
        <v>138</v>
      </c>
      <c r="I1829" s="42" t="s">
        <v>139</v>
      </c>
      <c r="J1829" s="10">
        <v>6000</v>
      </c>
      <c r="K1829" s="7">
        <v>-6000</v>
      </c>
      <c r="L1829" s="1" t="s">
        <v>619</v>
      </c>
    </row>
    <row r="1830" spans="1:13">
      <c r="A1830" s="21" t="str">
        <f>TEXT(TEXT(B1830,"yyyymmdd"),"00000000")&amp;TEXT(COUNTIF($B$2:B1830,B1830),"00")</f>
        <v>2024120902</v>
      </c>
      <c r="B1830" s="21">
        <f t="shared" ref="B1830" si="441">DATE(C1830,D1830,E1830)</f>
        <v>45635</v>
      </c>
      <c r="C1830" s="22">
        <v>2024</v>
      </c>
      <c r="D1830" s="23">
        <v>12</v>
      </c>
      <c r="E1830" s="24">
        <v>9</v>
      </c>
      <c r="F1830" s="42" t="s">
        <v>17</v>
      </c>
      <c r="G1830" s="42" t="s">
        <v>13</v>
      </c>
      <c r="H1830" s="42" t="s">
        <v>138</v>
      </c>
      <c r="I1830" s="42" t="s">
        <v>139</v>
      </c>
      <c r="J1830" s="10">
        <v>8000</v>
      </c>
      <c r="K1830" s="7">
        <v>-8000</v>
      </c>
      <c r="L1830" s="1" t="s">
        <v>911</v>
      </c>
    </row>
    <row r="1831" spans="1:13">
      <c r="A1831" s="21" t="str">
        <f>TEXT(TEXT(B1831,"yyyymmdd"),"00000000")&amp;TEXT(COUNTIF($B$2:B1831,B1831),"00")</f>
        <v>2024121001</v>
      </c>
      <c r="B1831" s="21">
        <f t="shared" ref="B1831" si="442">DATE(C1831,D1831,E1831)</f>
        <v>45636</v>
      </c>
      <c r="C1831" s="22">
        <v>2024</v>
      </c>
      <c r="D1831" s="23">
        <v>12</v>
      </c>
      <c r="E1831" s="24">
        <v>10</v>
      </c>
      <c r="F1831" s="42" t="s">
        <v>17</v>
      </c>
      <c r="G1831" s="42" t="s">
        <v>13</v>
      </c>
      <c r="H1831" s="42" t="s">
        <v>138</v>
      </c>
      <c r="I1831" s="42" t="s">
        <v>139</v>
      </c>
      <c r="J1831" s="10">
        <v>5800</v>
      </c>
      <c r="K1831" s="7">
        <v>-5800</v>
      </c>
      <c r="L1831" s="1" t="s">
        <v>300</v>
      </c>
    </row>
    <row r="1832" spans="1:13">
      <c r="A1832" s="21" t="str">
        <f>TEXT(TEXT(B1832,"yyyymmdd"),"00000000")&amp;TEXT(COUNTIF($B$2:B1832,B1832),"00")</f>
        <v>2024121002</v>
      </c>
      <c r="B1832" s="21">
        <f t="shared" ref="B1832" si="443">DATE(C1832,D1832,E1832)</f>
        <v>45636</v>
      </c>
      <c r="C1832" s="22">
        <v>2024</v>
      </c>
      <c r="D1832" s="23">
        <v>12</v>
      </c>
      <c r="E1832" s="24">
        <v>10</v>
      </c>
      <c r="F1832" s="42" t="s">
        <v>17</v>
      </c>
      <c r="G1832" s="42" t="s">
        <v>7</v>
      </c>
      <c r="H1832" s="42" t="s">
        <v>167</v>
      </c>
      <c r="I1832" s="42" t="s">
        <v>214</v>
      </c>
      <c r="J1832" s="10">
        <v>3000</v>
      </c>
      <c r="K1832" s="7">
        <v>-3000</v>
      </c>
      <c r="L1832" s="1" t="s">
        <v>603</v>
      </c>
      <c r="M1832" s="2" t="s">
        <v>1297</v>
      </c>
    </row>
    <row r="1833" spans="1:13">
      <c r="A1833" s="21" t="str">
        <f>TEXT(TEXT(B1833,"yyyymmdd"),"00000000")&amp;TEXT(COUNTIF($B$2:B1833,B1833),"00")</f>
        <v>2024121101</v>
      </c>
      <c r="B1833" s="21">
        <f t="shared" ref="B1833" si="444">DATE(C1833,D1833,E1833)</f>
        <v>45637</v>
      </c>
      <c r="C1833" s="22">
        <v>2024</v>
      </c>
      <c r="D1833" s="23">
        <v>12</v>
      </c>
      <c r="E1833" s="24">
        <v>11</v>
      </c>
      <c r="F1833" s="42" t="s">
        <v>17</v>
      </c>
      <c r="G1833" s="42" t="s">
        <v>13</v>
      </c>
      <c r="H1833" s="42" t="s">
        <v>138</v>
      </c>
      <c r="I1833" s="42" t="s">
        <v>139</v>
      </c>
      <c r="J1833" s="10">
        <v>6000</v>
      </c>
      <c r="K1833" s="7">
        <v>-6000</v>
      </c>
      <c r="L1833" s="1" t="s">
        <v>619</v>
      </c>
    </row>
    <row r="1834" spans="1:13">
      <c r="A1834" s="21" t="str">
        <f>TEXT(TEXT(B1834,"yyyymmdd"),"00000000")&amp;TEXT(COUNTIF($B$2:B1834,B1834),"00")</f>
        <v>2024121201</v>
      </c>
      <c r="B1834" s="21">
        <f t="shared" ref="B1834" si="445">DATE(C1834,D1834,E1834)</f>
        <v>45638</v>
      </c>
      <c r="C1834" s="22">
        <v>2024</v>
      </c>
      <c r="D1834" s="23">
        <v>12</v>
      </c>
      <c r="E1834" s="24">
        <v>12</v>
      </c>
      <c r="F1834" s="42" t="s">
        <v>17</v>
      </c>
      <c r="G1834" s="42" t="s">
        <v>13</v>
      </c>
      <c r="H1834" s="42" t="s">
        <v>138</v>
      </c>
      <c r="I1834" s="42" t="s">
        <v>139</v>
      </c>
      <c r="J1834" s="10">
        <v>8500</v>
      </c>
      <c r="K1834" s="7">
        <v>-8500</v>
      </c>
      <c r="L1834" s="1" t="s">
        <v>677</v>
      </c>
    </row>
    <row r="1835" spans="1:13">
      <c r="A1835" s="21" t="str">
        <f>TEXT(TEXT(B1835,"yyyymmdd"),"00000000")&amp;TEXT(COUNTIF($B$2:B1835,B1835),"00")</f>
        <v>2024121202</v>
      </c>
      <c r="B1835" s="21">
        <f t="shared" ref="B1835" si="446">DATE(C1835,D1835,E1835)</f>
        <v>45638</v>
      </c>
      <c r="C1835" s="22">
        <v>2024</v>
      </c>
      <c r="D1835" s="23">
        <v>12</v>
      </c>
      <c r="E1835" s="24">
        <v>12</v>
      </c>
      <c r="F1835" s="42" t="s">
        <v>17</v>
      </c>
      <c r="G1835" s="42" t="s">
        <v>7</v>
      </c>
      <c r="H1835" s="42" t="s">
        <v>167</v>
      </c>
      <c r="I1835" s="42" t="s">
        <v>168</v>
      </c>
      <c r="J1835" s="10">
        <v>10450</v>
      </c>
      <c r="K1835" s="7">
        <v>-10450</v>
      </c>
      <c r="L1835" s="1" t="s">
        <v>532</v>
      </c>
      <c r="M1835" s="2" t="s">
        <v>1298</v>
      </c>
    </row>
    <row r="1836" spans="1:13">
      <c r="A1836" s="21" t="str">
        <f>TEXT(TEXT(B1836,"yyyymmdd"),"00000000")&amp;TEXT(COUNTIF($B$2:B1836,B1836),"00")</f>
        <v>2024121301</v>
      </c>
      <c r="B1836" s="21">
        <f t="shared" ref="B1836" si="447">DATE(C1836,D1836,E1836)</f>
        <v>45639</v>
      </c>
      <c r="C1836" s="22">
        <v>2024</v>
      </c>
      <c r="D1836" s="23">
        <v>12</v>
      </c>
      <c r="E1836" s="24">
        <v>13</v>
      </c>
      <c r="F1836" s="42" t="s">
        <v>17</v>
      </c>
      <c r="G1836" s="42" t="s">
        <v>170</v>
      </c>
      <c r="H1836" s="42" t="s">
        <v>114</v>
      </c>
      <c r="I1836" s="42" t="s">
        <v>1007</v>
      </c>
      <c r="J1836" s="10">
        <v>29530</v>
      </c>
      <c r="K1836" s="7">
        <v>-29530</v>
      </c>
      <c r="L1836" s="1" t="s">
        <v>1023</v>
      </c>
    </row>
    <row r="1837" spans="1:13">
      <c r="A1837" s="21" t="str">
        <f>TEXT(TEXT(B1837,"yyyymmdd"),"00000000")&amp;TEXT(COUNTIF($B$2:B1837,B1837),"00")</f>
        <v>2024121302</v>
      </c>
      <c r="B1837" s="21">
        <f t="shared" ref="B1837" si="448">DATE(C1837,D1837,E1837)</f>
        <v>45639</v>
      </c>
      <c r="C1837" s="22">
        <v>2024</v>
      </c>
      <c r="D1837" s="23">
        <v>12</v>
      </c>
      <c r="E1837" s="24">
        <v>13</v>
      </c>
      <c r="F1837" s="42" t="s">
        <v>17</v>
      </c>
      <c r="G1837" s="42" t="s">
        <v>13</v>
      </c>
      <c r="H1837" s="42" t="s">
        <v>138</v>
      </c>
      <c r="I1837" s="42" t="s">
        <v>139</v>
      </c>
      <c r="J1837" s="10">
        <v>6000</v>
      </c>
      <c r="K1837" s="7">
        <v>-6000</v>
      </c>
      <c r="L1837" s="1" t="s">
        <v>619</v>
      </c>
    </row>
    <row r="1838" spans="1:13">
      <c r="A1838" s="21" t="str">
        <f>TEXT(TEXT(B1838,"yyyymmdd"),"00000000")&amp;TEXT(COUNTIF($B$2:B1838,B1838),"00")</f>
        <v>2024121401</v>
      </c>
      <c r="B1838" s="21">
        <f t="shared" ref="B1838" si="449">DATE(C1838,D1838,E1838)</f>
        <v>45640</v>
      </c>
      <c r="C1838" s="22">
        <v>2024</v>
      </c>
      <c r="D1838" s="23">
        <v>12</v>
      </c>
      <c r="E1838" s="24">
        <v>14</v>
      </c>
      <c r="F1838" s="42" t="s">
        <v>17</v>
      </c>
      <c r="G1838" s="42" t="s">
        <v>13</v>
      </c>
      <c r="H1838" s="42" t="s">
        <v>138</v>
      </c>
      <c r="I1838" s="42" t="s">
        <v>139</v>
      </c>
      <c r="J1838" s="10">
        <v>7800</v>
      </c>
      <c r="K1838" s="7">
        <v>-7800</v>
      </c>
      <c r="L1838" s="1" t="s">
        <v>300</v>
      </c>
    </row>
    <row r="1839" spans="1:13">
      <c r="A1839" s="21" t="str">
        <f>TEXT(TEXT(B1839,"yyyymmdd"),"00000000")&amp;TEXT(COUNTIF($B$2:B1839,B1839),"00")</f>
        <v>2024121402</v>
      </c>
      <c r="B1839" s="21">
        <f t="shared" ref="B1839" si="450">DATE(C1839,D1839,E1839)</f>
        <v>45640</v>
      </c>
      <c r="C1839" s="22">
        <v>2024</v>
      </c>
      <c r="D1839" s="23">
        <v>12</v>
      </c>
      <c r="E1839" s="24">
        <v>14</v>
      </c>
      <c r="F1839" s="42" t="s">
        <v>17</v>
      </c>
      <c r="G1839" s="42" t="s">
        <v>13</v>
      </c>
      <c r="H1839" s="42" t="s">
        <v>138</v>
      </c>
      <c r="I1839" s="42" t="s">
        <v>139</v>
      </c>
      <c r="J1839" s="10">
        <v>8000</v>
      </c>
      <c r="K1839" s="7">
        <v>-8000</v>
      </c>
      <c r="L1839" s="1" t="s">
        <v>822</v>
      </c>
    </row>
    <row r="1840" spans="1:13">
      <c r="A1840" s="21" t="str">
        <f>TEXT(TEXT(B1840,"yyyymmdd"),"00000000")&amp;TEXT(COUNTIF($B$2:B1840,B1840),"00")</f>
        <v>2024121601</v>
      </c>
      <c r="B1840" s="21">
        <f t="shared" ref="B1840" si="451">DATE(C1840,D1840,E1840)</f>
        <v>45642</v>
      </c>
      <c r="C1840" s="22">
        <v>2024</v>
      </c>
      <c r="D1840" s="23">
        <v>12</v>
      </c>
      <c r="E1840" s="24">
        <v>16</v>
      </c>
      <c r="F1840" s="42" t="s">
        <v>17</v>
      </c>
      <c r="G1840" s="42" t="s">
        <v>7</v>
      </c>
      <c r="H1840" s="42" t="s">
        <v>167</v>
      </c>
      <c r="I1840" s="42" t="s">
        <v>214</v>
      </c>
      <c r="J1840" s="10">
        <v>18000</v>
      </c>
      <c r="K1840" s="7">
        <v>-18000</v>
      </c>
      <c r="L1840" s="1" t="s">
        <v>1253</v>
      </c>
      <c r="M1840" s="2" t="s">
        <v>1299</v>
      </c>
    </row>
    <row r="1841" spans="1:13">
      <c r="A1841" s="21" t="str">
        <f>TEXT(TEXT(B1841,"yyyymmdd"),"00000000")&amp;TEXT(COUNTIF($B$2:B1841,B1841),"00")</f>
        <v>2024121602</v>
      </c>
      <c r="B1841" s="21">
        <f t="shared" ref="B1841" si="452">DATE(C1841,D1841,E1841)</f>
        <v>45642</v>
      </c>
      <c r="C1841" s="22">
        <v>2024</v>
      </c>
      <c r="D1841" s="23">
        <v>12</v>
      </c>
      <c r="E1841" s="24">
        <v>16</v>
      </c>
      <c r="F1841" s="42" t="s">
        <v>17</v>
      </c>
      <c r="G1841" s="42" t="s">
        <v>7</v>
      </c>
      <c r="H1841" s="42" t="s">
        <v>117</v>
      </c>
      <c r="I1841" s="42" t="s">
        <v>1300</v>
      </c>
      <c r="J1841" s="10">
        <v>3000</v>
      </c>
      <c r="K1841" s="7">
        <v>-3000</v>
      </c>
      <c r="L1841" s="1" t="s">
        <v>603</v>
      </c>
      <c r="M1841" s="2" t="s">
        <v>1301</v>
      </c>
    </row>
    <row r="1842" spans="1:13">
      <c r="A1842" s="21" t="str">
        <f>TEXT(TEXT(B1842,"yyyymmdd"),"00000000")&amp;TEXT(COUNTIF($B$2:B1842,B1842),"00")</f>
        <v>2024121603</v>
      </c>
      <c r="B1842" s="21">
        <f t="shared" ref="B1842" si="453">DATE(C1842,D1842,E1842)</f>
        <v>45642</v>
      </c>
      <c r="C1842" s="22">
        <v>2024</v>
      </c>
      <c r="D1842" s="23">
        <v>12</v>
      </c>
      <c r="E1842" s="24">
        <v>16</v>
      </c>
      <c r="F1842" s="42" t="s">
        <v>17</v>
      </c>
      <c r="G1842" s="42" t="s">
        <v>13</v>
      </c>
      <c r="H1842" s="42" t="s">
        <v>138</v>
      </c>
      <c r="I1842" s="42" t="s">
        <v>139</v>
      </c>
      <c r="J1842" s="10">
        <v>8500</v>
      </c>
      <c r="K1842" s="7">
        <v>-8500</v>
      </c>
      <c r="L1842" s="1" t="s">
        <v>738</v>
      </c>
    </row>
    <row r="1843" spans="1:13">
      <c r="A1843" s="21" t="str">
        <f>TEXT(TEXT(B1843,"yyyymmdd"),"00000000")&amp;TEXT(COUNTIF($B$2:B1843,B1843),"00")</f>
        <v>2024121604</v>
      </c>
      <c r="B1843" s="21">
        <f t="shared" ref="B1843" si="454">DATE(C1843,D1843,E1843)</f>
        <v>45642</v>
      </c>
      <c r="C1843" s="22">
        <v>2024</v>
      </c>
      <c r="D1843" s="23">
        <v>12</v>
      </c>
      <c r="E1843" s="24">
        <v>16</v>
      </c>
      <c r="F1843" s="42" t="s">
        <v>17</v>
      </c>
      <c r="G1843" s="42" t="s">
        <v>7</v>
      </c>
      <c r="H1843" s="42" t="s">
        <v>116</v>
      </c>
      <c r="I1843" s="42" t="s">
        <v>217</v>
      </c>
      <c r="J1843" s="10">
        <v>300</v>
      </c>
      <c r="K1843" s="7">
        <v>-300</v>
      </c>
      <c r="L1843" s="1" t="s">
        <v>649</v>
      </c>
    </row>
    <row r="1844" spans="1:13">
      <c r="A1844" s="21" t="str">
        <f>TEXT(TEXT(B1844,"yyyymmdd"),"00000000")&amp;TEXT(COUNTIF($B$2:B1844,B1844),"00")</f>
        <v>2024121701</v>
      </c>
      <c r="B1844" s="21">
        <f t="shared" ref="B1844" si="455">DATE(C1844,D1844,E1844)</f>
        <v>45643</v>
      </c>
      <c r="C1844" s="22">
        <v>2024</v>
      </c>
      <c r="D1844" s="23">
        <v>12</v>
      </c>
      <c r="E1844" s="24">
        <v>17</v>
      </c>
      <c r="F1844" s="42" t="s">
        <v>17</v>
      </c>
      <c r="G1844" s="42" t="s">
        <v>7</v>
      </c>
      <c r="H1844" s="42" t="s">
        <v>115</v>
      </c>
      <c r="I1844" s="42" t="s">
        <v>630</v>
      </c>
      <c r="J1844" s="10">
        <v>10000</v>
      </c>
      <c r="K1844" s="7">
        <v>-10000</v>
      </c>
      <c r="L1844" s="1" t="s">
        <v>631</v>
      </c>
      <c r="M1844" s="2" t="s">
        <v>1302</v>
      </c>
    </row>
    <row r="1845" spans="1:13">
      <c r="A1845" s="21" t="str">
        <f>TEXT(TEXT(B1845,"yyyymmdd"),"00000000")&amp;TEXT(COUNTIF($B$2:B1845,B1845),"00")</f>
        <v>2024121702</v>
      </c>
      <c r="B1845" s="21">
        <f t="shared" ref="B1845" si="456">DATE(C1845,D1845,E1845)</f>
        <v>45643</v>
      </c>
      <c r="C1845" s="22">
        <v>2024</v>
      </c>
      <c r="D1845" s="23">
        <v>12</v>
      </c>
      <c r="E1845" s="24">
        <v>17</v>
      </c>
      <c r="F1845" s="42" t="s">
        <v>498</v>
      </c>
      <c r="G1845" s="42" t="s">
        <v>135</v>
      </c>
      <c r="H1845" s="42" t="s">
        <v>135</v>
      </c>
      <c r="I1845" s="42" t="s">
        <v>152</v>
      </c>
      <c r="J1845" s="10">
        <v>-550000</v>
      </c>
      <c r="K1845" s="7">
        <v>550000</v>
      </c>
      <c r="L1845" s="1" t="s">
        <v>1343</v>
      </c>
      <c r="M1845" s="2" t="s">
        <v>1344</v>
      </c>
    </row>
    <row r="1846" spans="1:13">
      <c r="A1846" s="21" t="str">
        <f>TEXT(TEXT(B1846,"yyyymmdd"),"00000000")&amp;TEXT(COUNTIF($B$2:B1846,B1846),"00")</f>
        <v>2024121703</v>
      </c>
      <c r="B1846" s="21">
        <f t="shared" ref="B1846" si="457">DATE(C1846,D1846,E1846)</f>
        <v>45643</v>
      </c>
      <c r="C1846" s="22">
        <v>2024</v>
      </c>
      <c r="D1846" s="23">
        <v>12</v>
      </c>
      <c r="E1846" s="24">
        <v>17</v>
      </c>
      <c r="F1846" s="42" t="s">
        <v>498</v>
      </c>
      <c r="G1846" s="42" t="s">
        <v>11</v>
      </c>
      <c r="H1846" s="42" t="s">
        <v>99</v>
      </c>
      <c r="I1846" s="42" t="s">
        <v>94</v>
      </c>
      <c r="J1846" s="10">
        <v>-3000000</v>
      </c>
      <c r="K1846" s="7">
        <v>3000000</v>
      </c>
      <c r="L1846" s="1" t="s">
        <v>1346</v>
      </c>
    </row>
    <row r="1847" spans="1:13">
      <c r="A1847" s="21" t="str">
        <f>TEXT(TEXT(B1847,"yyyymmdd"),"00000000")&amp;TEXT(COUNTIF($B$2:B1847,B1847),"00")</f>
        <v>2024122001</v>
      </c>
      <c r="B1847" s="21">
        <f t="shared" ref="B1847" si="458">DATE(C1847,D1847,E1847)</f>
        <v>45646</v>
      </c>
      <c r="C1847" s="22">
        <v>2024</v>
      </c>
      <c r="D1847" s="23">
        <v>12</v>
      </c>
      <c r="E1847" s="24">
        <v>20</v>
      </c>
      <c r="F1847" s="42" t="s">
        <v>17</v>
      </c>
      <c r="G1847" s="42" t="s">
        <v>135</v>
      </c>
      <c r="H1847" s="42" t="s">
        <v>135</v>
      </c>
      <c r="I1847" s="42" t="s">
        <v>143</v>
      </c>
      <c r="J1847" s="10">
        <v>-10000</v>
      </c>
      <c r="K1847" s="7">
        <v>10000</v>
      </c>
      <c r="L1847" s="1" t="s">
        <v>165</v>
      </c>
    </row>
    <row r="1848" spans="1:13">
      <c r="A1848" s="21" t="str">
        <f>TEXT(TEXT(B1848,"yyyymmdd"),"00000000")&amp;TEXT(COUNTIF($B$2:B1848,B1848),"00")</f>
        <v>2024122201</v>
      </c>
      <c r="B1848" s="21">
        <f t="shared" ref="B1848" si="459">DATE(C1848,D1848,E1848)</f>
        <v>45648</v>
      </c>
      <c r="C1848" s="22">
        <v>2024</v>
      </c>
      <c r="D1848" s="23">
        <v>12</v>
      </c>
      <c r="E1848" s="24">
        <v>22</v>
      </c>
      <c r="F1848" s="42" t="s">
        <v>17</v>
      </c>
      <c r="G1848" s="42" t="s">
        <v>170</v>
      </c>
      <c r="H1848" s="42" t="s">
        <v>114</v>
      </c>
      <c r="I1848" s="42" t="s">
        <v>1005</v>
      </c>
      <c r="J1848" s="10">
        <v>20740</v>
      </c>
      <c r="K1848" s="7">
        <v>-20740</v>
      </c>
      <c r="L1848" s="1" t="s">
        <v>1006</v>
      </c>
    </row>
    <row r="1849" spans="1:13">
      <c r="A1849" s="21" t="str">
        <f>TEXT(TEXT(B1849,"yyyymmdd"),"00000000")&amp;TEXT(COUNTIF($B$2:B1849,B1849),"00")</f>
        <v>2024122202</v>
      </c>
      <c r="B1849" s="21">
        <f t="shared" ref="B1849" si="460">DATE(C1849,D1849,E1849)</f>
        <v>45648</v>
      </c>
      <c r="C1849" s="22">
        <v>2024</v>
      </c>
      <c r="D1849" s="23">
        <v>12</v>
      </c>
      <c r="E1849" s="24">
        <v>22</v>
      </c>
      <c r="F1849" s="42" t="s">
        <v>17</v>
      </c>
      <c r="G1849" s="42" t="s">
        <v>7</v>
      </c>
      <c r="H1849" s="42" t="s">
        <v>119</v>
      </c>
      <c r="I1849" s="42" t="s">
        <v>180</v>
      </c>
      <c r="J1849" s="10">
        <v>3300</v>
      </c>
      <c r="K1849" s="7">
        <v>-3300</v>
      </c>
      <c r="L1849" s="1" t="s">
        <v>181</v>
      </c>
      <c r="M1849" s="2" t="s">
        <v>1303</v>
      </c>
    </row>
    <row r="1850" spans="1:13">
      <c r="A1850" s="21" t="str">
        <f>TEXT(TEXT(B1850,"yyyymmdd"),"00000000")&amp;TEXT(COUNTIF($B$2:B1850,B1850),"00")</f>
        <v>2024122601</v>
      </c>
      <c r="B1850" s="21">
        <f t="shared" ref="B1850" si="461">DATE(C1850,D1850,E1850)</f>
        <v>45652</v>
      </c>
      <c r="C1850" s="22">
        <v>2024</v>
      </c>
      <c r="D1850" s="23">
        <v>12</v>
      </c>
      <c r="E1850" s="24">
        <v>26</v>
      </c>
      <c r="F1850" s="42" t="s">
        <v>17</v>
      </c>
      <c r="G1850" s="42" t="s">
        <v>7</v>
      </c>
      <c r="H1850" s="42" t="s">
        <v>110</v>
      </c>
      <c r="I1850" s="42" t="s">
        <v>120</v>
      </c>
      <c r="J1850" s="10">
        <v>2900</v>
      </c>
      <c r="K1850" s="7">
        <v>-2900</v>
      </c>
      <c r="L1850" s="1" t="s">
        <v>480</v>
      </c>
    </row>
    <row r="1851" spans="1:13">
      <c r="A1851" s="21" t="str">
        <f>TEXT(TEXT(B1851,"yyyymmdd"),"00000000")&amp;TEXT(COUNTIF($B$2:B1851,B1851),"00")</f>
        <v>2024122602</v>
      </c>
      <c r="B1851" s="21">
        <f t="shared" ref="B1851" si="462">DATE(C1851,D1851,E1851)</f>
        <v>45652</v>
      </c>
      <c r="C1851" s="22">
        <v>2024</v>
      </c>
      <c r="D1851" s="23">
        <v>12</v>
      </c>
      <c r="E1851" s="24">
        <v>26</v>
      </c>
      <c r="F1851" s="42" t="s">
        <v>17</v>
      </c>
      <c r="G1851" s="42" t="s">
        <v>7</v>
      </c>
      <c r="H1851" s="42" t="s">
        <v>117</v>
      </c>
      <c r="I1851" s="42" t="s">
        <v>450</v>
      </c>
      <c r="J1851" s="10">
        <v>2730</v>
      </c>
      <c r="K1851" s="7">
        <v>-2730</v>
      </c>
      <c r="L1851" s="1" t="s">
        <v>567</v>
      </c>
      <c r="M1851" s="2" t="s">
        <v>1307</v>
      </c>
    </row>
    <row r="1852" spans="1:13">
      <c r="A1852" s="21" t="str">
        <f>TEXT(TEXT(B1852,"yyyymmdd"),"00000000")&amp;TEXT(COUNTIF($B$2:B1852,B1852),"00")</f>
        <v>2024122603</v>
      </c>
      <c r="B1852" s="21">
        <f t="shared" ref="B1852" si="463">DATE(C1852,D1852,E1852)</f>
        <v>45652</v>
      </c>
      <c r="C1852" s="22">
        <v>2024</v>
      </c>
      <c r="D1852" s="23">
        <v>12</v>
      </c>
      <c r="E1852" s="24">
        <v>26</v>
      </c>
      <c r="F1852" s="42" t="s">
        <v>498</v>
      </c>
      <c r="G1852" s="42" t="s">
        <v>11</v>
      </c>
      <c r="H1852" s="42" t="s">
        <v>99</v>
      </c>
      <c r="I1852" s="42" t="s">
        <v>11</v>
      </c>
      <c r="J1852" s="10">
        <v>3436785</v>
      </c>
      <c r="K1852" s="7">
        <v>-3436785</v>
      </c>
      <c r="L1852" s="1" t="s">
        <v>1345</v>
      </c>
      <c r="M1852" s="2" t="s">
        <v>1347</v>
      </c>
    </row>
    <row r="1853" spans="1:13">
      <c r="A1853" s="21" t="str">
        <f>TEXT(TEXT(B1853,"yyyymmdd"),"00000000")&amp;TEXT(COUNTIF($B$2:B1853,B1853),"00")</f>
        <v>2024122701</v>
      </c>
      <c r="B1853" s="21">
        <f t="shared" ref="B1853" si="464">DATE(C1853,D1853,E1853)</f>
        <v>45653</v>
      </c>
      <c r="C1853" s="22">
        <v>2024</v>
      </c>
      <c r="D1853" s="23">
        <v>12</v>
      </c>
      <c r="E1853" s="24">
        <v>27</v>
      </c>
      <c r="F1853" s="42" t="s">
        <v>17</v>
      </c>
      <c r="G1853" s="42" t="s">
        <v>7</v>
      </c>
      <c r="H1853" s="42" t="s">
        <v>119</v>
      </c>
      <c r="I1853" s="42" t="s">
        <v>180</v>
      </c>
      <c r="J1853" s="10">
        <v>13260</v>
      </c>
      <c r="K1853" s="7">
        <v>-13260</v>
      </c>
      <c r="L1853" s="1" t="s">
        <v>181</v>
      </c>
      <c r="M1853" s="2" t="s">
        <v>1304</v>
      </c>
    </row>
    <row r="1854" spans="1:13">
      <c r="A1854" s="21" t="str">
        <f>TEXT(TEXT(B1854,"yyyymmdd"),"00000000")&amp;TEXT(COUNTIF($B$2:B1854,B1854),"00")</f>
        <v>2024122702</v>
      </c>
      <c r="B1854" s="21">
        <f t="shared" ref="B1854" si="465">DATE(C1854,D1854,E1854)</f>
        <v>45653</v>
      </c>
      <c r="C1854" s="22">
        <v>2024</v>
      </c>
      <c r="D1854" s="23">
        <v>12</v>
      </c>
      <c r="E1854" s="24">
        <v>27</v>
      </c>
      <c r="F1854" s="42" t="s">
        <v>17</v>
      </c>
      <c r="G1854" s="42" t="s">
        <v>13</v>
      </c>
      <c r="H1854" s="42" t="s">
        <v>167</v>
      </c>
      <c r="I1854" s="42" t="s">
        <v>168</v>
      </c>
      <c r="J1854" s="10">
        <v>2200</v>
      </c>
      <c r="K1854" s="7">
        <v>-2200</v>
      </c>
      <c r="L1854" s="1" t="s">
        <v>532</v>
      </c>
      <c r="M1854" s="2" t="s">
        <v>672</v>
      </c>
    </row>
    <row r="1855" spans="1:13">
      <c r="A1855" s="21" t="str">
        <f>TEXT(TEXT(B1855,"yyyymmdd"),"00000000")&amp;TEXT(COUNTIF($B$2:B1855,B1855),"00")</f>
        <v>2024122703</v>
      </c>
      <c r="B1855" s="21">
        <f t="shared" ref="B1855" si="466">DATE(C1855,D1855,E1855)</f>
        <v>45653</v>
      </c>
      <c r="C1855" s="22">
        <v>2024</v>
      </c>
      <c r="D1855" s="23">
        <v>12</v>
      </c>
      <c r="E1855" s="24">
        <v>27</v>
      </c>
      <c r="F1855" s="42" t="s">
        <v>17</v>
      </c>
      <c r="G1855" s="42" t="s">
        <v>7</v>
      </c>
      <c r="H1855" s="42" t="s">
        <v>119</v>
      </c>
      <c r="I1855" s="42" t="s">
        <v>180</v>
      </c>
      <c r="J1855" s="10">
        <v>22000</v>
      </c>
      <c r="K1855" s="7">
        <v>-22000</v>
      </c>
      <c r="L1855" s="1" t="s">
        <v>1305</v>
      </c>
      <c r="M1855" s="2" t="s">
        <v>1306</v>
      </c>
    </row>
    <row r="1856" spans="1:13">
      <c r="A1856" s="21" t="str">
        <f>TEXT(TEXT(B1856,"yyyymmdd"),"00000000")&amp;TEXT(COUNTIF($B$2:B1856,B1856),"00")</f>
        <v>2024122704</v>
      </c>
      <c r="B1856" s="21">
        <f t="shared" ref="B1856" si="467">DATE(C1856,D1856,E1856)</f>
        <v>45653</v>
      </c>
      <c r="C1856" s="22">
        <v>2024</v>
      </c>
      <c r="D1856" s="23">
        <v>12</v>
      </c>
      <c r="E1856" s="24">
        <v>27</v>
      </c>
      <c r="F1856" s="42" t="s">
        <v>17</v>
      </c>
      <c r="G1856" s="42" t="s">
        <v>7</v>
      </c>
      <c r="H1856" s="42" t="s">
        <v>138</v>
      </c>
      <c r="I1856" s="42" t="s">
        <v>139</v>
      </c>
      <c r="J1856" s="10">
        <v>28571</v>
      </c>
      <c r="K1856" s="7">
        <v>-28571</v>
      </c>
      <c r="L1856" s="1" t="s">
        <v>1308</v>
      </c>
      <c r="M1856" s="2" t="s">
        <v>1309</v>
      </c>
    </row>
    <row r="1857" spans="1:13">
      <c r="A1857" s="21" t="str">
        <f>TEXT(TEXT(B1857,"yyyymmdd"),"00000000")&amp;TEXT(COUNTIF($B$2:B1857,B1857),"00")</f>
        <v>2024122705</v>
      </c>
      <c r="B1857" s="21">
        <f t="shared" ref="B1857" si="468">DATE(C1857,D1857,E1857)</f>
        <v>45653</v>
      </c>
      <c r="C1857" s="22">
        <v>2024</v>
      </c>
      <c r="D1857" s="23">
        <v>12</v>
      </c>
      <c r="E1857" s="24">
        <v>27</v>
      </c>
      <c r="F1857" s="42" t="s">
        <v>17</v>
      </c>
      <c r="G1857" s="42" t="s">
        <v>7</v>
      </c>
      <c r="H1857" s="42" t="s">
        <v>116</v>
      </c>
      <c r="I1857" s="42" t="s">
        <v>225</v>
      </c>
      <c r="J1857" s="10">
        <v>5000</v>
      </c>
      <c r="K1857" s="7">
        <v>-5000</v>
      </c>
      <c r="L1857" s="1" t="s">
        <v>1257</v>
      </c>
      <c r="M1857" s="2" t="s">
        <v>1310</v>
      </c>
    </row>
    <row r="1858" spans="1:13">
      <c r="A1858" s="21" t="str">
        <f>TEXT(TEXT(B1858,"yyyymmdd"),"00000000")&amp;TEXT(COUNTIF($B$2:B1858,B1858),"00")</f>
        <v>2024122801</v>
      </c>
      <c r="B1858" s="21">
        <f t="shared" ref="B1858" si="469">DATE(C1858,D1858,E1858)</f>
        <v>45654</v>
      </c>
      <c r="C1858" s="22">
        <v>2024</v>
      </c>
      <c r="D1858" s="23">
        <v>12</v>
      </c>
      <c r="E1858" s="24">
        <v>28</v>
      </c>
      <c r="F1858" s="42" t="s">
        <v>17</v>
      </c>
      <c r="G1858" s="42" t="s">
        <v>7</v>
      </c>
      <c r="H1858" s="42" t="s">
        <v>138</v>
      </c>
      <c r="I1858" s="42" t="s">
        <v>139</v>
      </c>
      <c r="J1858" s="10">
        <v>15000</v>
      </c>
      <c r="K1858" s="7">
        <v>-15000</v>
      </c>
      <c r="L1858" s="1" t="s">
        <v>1311</v>
      </c>
      <c r="M1858" s="2" t="s">
        <v>637</v>
      </c>
    </row>
    <row r="1859" spans="1:13">
      <c r="A1859" s="21" t="str">
        <f>TEXT(TEXT(B1859,"yyyymmdd"),"00000000")&amp;TEXT(COUNTIF($B$2:B1859,B1859),"00")</f>
        <v>2024122901</v>
      </c>
      <c r="B1859" s="21">
        <f t="shared" ref="B1859" si="470">DATE(C1859,D1859,E1859)</f>
        <v>45655</v>
      </c>
      <c r="C1859" s="22">
        <v>2024</v>
      </c>
      <c r="D1859" s="23">
        <v>12</v>
      </c>
      <c r="E1859" s="24">
        <v>29</v>
      </c>
      <c r="F1859" s="42" t="s">
        <v>17</v>
      </c>
      <c r="G1859" s="42" t="s">
        <v>13</v>
      </c>
      <c r="H1859" s="42" t="s">
        <v>167</v>
      </c>
      <c r="I1859" s="42" t="s">
        <v>168</v>
      </c>
      <c r="J1859" s="10">
        <v>1800</v>
      </c>
      <c r="K1859" s="7">
        <v>-1800</v>
      </c>
      <c r="L1859" s="1" t="s">
        <v>532</v>
      </c>
      <c r="M1859" s="2" t="s">
        <v>672</v>
      </c>
    </row>
    <row r="1860" spans="1:13">
      <c r="A1860" s="21" t="str">
        <f>TEXT(TEXT(B1860,"yyyymmdd"),"00000000")&amp;TEXT(COUNTIF($B$2:B1860,B1860),"00")</f>
        <v>2024123001</v>
      </c>
      <c r="B1860" s="21">
        <f t="shared" ref="B1860" si="471">DATE(C1860,D1860,E1860)</f>
        <v>45656</v>
      </c>
      <c r="C1860" s="22">
        <v>2024</v>
      </c>
      <c r="D1860" s="23">
        <v>12</v>
      </c>
      <c r="E1860" s="24">
        <v>30</v>
      </c>
      <c r="F1860" s="42" t="s">
        <v>17</v>
      </c>
      <c r="G1860" s="42" t="s">
        <v>13</v>
      </c>
      <c r="H1860" s="42" t="s">
        <v>138</v>
      </c>
      <c r="I1860" s="42" t="s">
        <v>139</v>
      </c>
      <c r="J1860" s="10">
        <v>11000</v>
      </c>
      <c r="K1860" s="7">
        <v>-11000</v>
      </c>
      <c r="L1860" s="1" t="s">
        <v>1312</v>
      </c>
      <c r="M1860" s="2" t="s">
        <v>1313</v>
      </c>
    </row>
    <row r="1861" spans="1:13">
      <c r="A1861" s="21" t="str">
        <f>TEXT(TEXT(B1861,"yyyymmdd"),"00000000")&amp;TEXT(COUNTIF($B$2:B1861,B1861),"00")</f>
        <v>2024123101</v>
      </c>
      <c r="B1861" s="21">
        <f t="shared" ref="B1861" si="472">DATE(C1861,D1861,E1861)</f>
        <v>45657</v>
      </c>
      <c r="C1861" s="22">
        <v>2024</v>
      </c>
      <c r="D1861" s="23">
        <v>12</v>
      </c>
      <c r="E1861" s="24">
        <v>31</v>
      </c>
      <c r="F1861" s="42" t="s">
        <v>17</v>
      </c>
      <c r="G1861" s="42" t="s">
        <v>170</v>
      </c>
      <c r="H1861" s="42" t="s">
        <v>155</v>
      </c>
      <c r="I1861" s="42" t="s">
        <v>156</v>
      </c>
      <c r="J1861" s="10">
        <v>8184</v>
      </c>
      <c r="K1861" s="7">
        <v>-8184</v>
      </c>
      <c r="L1861" s="1" t="s">
        <v>303</v>
      </c>
    </row>
    <row r="1862" spans="1:13">
      <c r="A1862" s="21" t="str">
        <f>TEXT(TEXT(B1862,"yyyymmdd"),"00000000")&amp;TEXT(COUNTIF($B$2:B1862,B1862),"00")</f>
        <v>2024123102</v>
      </c>
      <c r="B1862" s="21">
        <f t="shared" ref="B1862" si="473">DATE(C1862,D1862,E1862)</f>
        <v>45657</v>
      </c>
      <c r="C1862" s="22">
        <v>2024</v>
      </c>
      <c r="D1862" s="23">
        <v>12</v>
      </c>
      <c r="E1862" s="24">
        <v>31</v>
      </c>
      <c r="F1862" s="42" t="s">
        <v>17</v>
      </c>
      <c r="G1862" s="42" t="s">
        <v>13</v>
      </c>
      <c r="H1862" s="42" t="s">
        <v>113</v>
      </c>
      <c r="I1862" s="42" t="s">
        <v>171</v>
      </c>
      <c r="J1862" s="10">
        <v>15000</v>
      </c>
      <c r="K1862" s="7">
        <v>-15000</v>
      </c>
      <c r="L1862" s="1" t="s">
        <v>502</v>
      </c>
    </row>
    <row r="1863" spans="1:13">
      <c r="A1863" s="21" t="str">
        <f>TEXT(TEXT(B1863,"yyyymmdd"),"00000000")&amp;TEXT(COUNTIF($B$2:B1863,B1863),"00")</f>
        <v>2025010101</v>
      </c>
      <c r="B1863" s="21">
        <f t="shared" ref="B1863" si="474">DATE(C1863,D1863,E1863)</f>
        <v>45658</v>
      </c>
      <c r="C1863" s="22">
        <v>2025</v>
      </c>
      <c r="D1863" s="23">
        <v>1</v>
      </c>
      <c r="E1863" s="24">
        <v>1</v>
      </c>
      <c r="F1863" s="42" t="s">
        <v>17</v>
      </c>
      <c r="G1863" s="42" t="s">
        <v>151</v>
      </c>
      <c r="H1863" s="42" t="s">
        <v>151</v>
      </c>
      <c r="I1863" s="42" t="s">
        <v>152</v>
      </c>
      <c r="J1863" s="10">
        <v>-600000</v>
      </c>
      <c r="K1863" s="7">
        <v>600000</v>
      </c>
      <c r="L1863" s="1" t="s">
        <v>252</v>
      </c>
      <c r="M1863" s="2" t="s">
        <v>1314</v>
      </c>
    </row>
    <row r="1864" spans="1:13">
      <c r="A1864" s="21" t="str">
        <f>TEXT(TEXT(B1864,"yyyymmdd"),"00000000")&amp;TEXT(COUNTIF($B$2:B1864,B1864),"00")</f>
        <v>2025010201</v>
      </c>
      <c r="B1864" s="21">
        <f t="shared" ref="B1864" si="475">DATE(C1864,D1864,E1864)</f>
        <v>45659</v>
      </c>
      <c r="C1864" s="22">
        <v>2025</v>
      </c>
      <c r="D1864" s="23">
        <v>1</v>
      </c>
      <c r="E1864" s="24">
        <v>2</v>
      </c>
      <c r="F1864" s="42" t="s">
        <v>17</v>
      </c>
      <c r="G1864" s="42" t="s">
        <v>7</v>
      </c>
      <c r="H1864" s="42" t="s">
        <v>116</v>
      </c>
      <c r="I1864" s="42" t="s">
        <v>217</v>
      </c>
      <c r="J1864" s="10">
        <v>9100</v>
      </c>
      <c r="K1864" s="7">
        <v>-9100</v>
      </c>
      <c r="L1864" s="1" t="s">
        <v>218</v>
      </c>
      <c r="M1864" s="2" t="s">
        <v>1316</v>
      </c>
    </row>
    <row r="1865" spans="1:13">
      <c r="A1865" s="21" t="str">
        <f>TEXT(TEXT(B1865,"yyyymmdd"),"00000000")&amp;TEXT(COUNTIF($B$2:B1865,B1865),"00")</f>
        <v>2025010202</v>
      </c>
      <c r="B1865" s="21">
        <f t="shared" ref="B1865" si="476">DATE(C1865,D1865,E1865)</f>
        <v>45659</v>
      </c>
      <c r="C1865" s="22">
        <v>2025</v>
      </c>
      <c r="D1865" s="23">
        <v>1</v>
      </c>
      <c r="E1865" s="24">
        <v>2</v>
      </c>
      <c r="F1865" s="42" t="s">
        <v>17</v>
      </c>
      <c r="G1865" s="42" t="s">
        <v>7</v>
      </c>
      <c r="H1865" s="42" t="s">
        <v>116</v>
      </c>
      <c r="I1865" s="42" t="s">
        <v>217</v>
      </c>
      <c r="J1865" s="10">
        <v>10020</v>
      </c>
      <c r="K1865" s="7">
        <v>-10020</v>
      </c>
      <c r="L1865" s="1" t="s">
        <v>586</v>
      </c>
      <c r="M1865" s="2" t="s">
        <v>1315</v>
      </c>
    </row>
    <row r="1866" spans="1:13">
      <c r="A1866" s="21" t="str">
        <f>TEXT(TEXT(B1866,"yyyymmdd"),"00000000")&amp;TEXT(COUNTIF($B$2:B1866,B1866),"00")</f>
        <v>2025010401</v>
      </c>
      <c r="B1866" s="21">
        <f t="shared" ref="B1866" si="477">DATE(C1866,D1866,E1866)</f>
        <v>45661</v>
      </c>
      <c r="C1866" s="22">
        <v>2025</v>
      </c>
      <c r="D1866" s="23">
        <v>1</v>
      </c>
      <c r="E1866" s="24">
        <v>4</v>
      </c>
      <c r="F1866" s="42" t="s">
        <v>17</v>
      </c>
      <c r="G1866" s="42" t="s">
        <v>7</v>
      </c>
      <c r="H1866" s="42" t="s">
        <v>138</v>
      </c>
      <c r="I1866" s="42" t="s">
        <v>139</v>
      </c>
      <c r="J1866" s="10">
        <v>3000</v>
      </c>
      <c r="K1866" s="7">
        <v>-3000</v>
      </c>
      <c r="L1866" s="1" t="s">
        <v>300</v>
      </c>
      <c r="M1866" s="2" t="s">
        <v>1318</v>
      </c>
    </row>
    <row r="1867" spans="1:13">
      <c r="A1867" s="21" t="str">
        <f>TEXT(TEXT(B1867,"yyyymmdd"),"00000000")&amp;TEXT(COUNTIF($B$2:B1867,B1867),"00")</f>
        <v>2025010501</v>
      </c>
      <c r="B1867" s="21">
        <f t="shared" ref="B1867" si="478">DATE(C1867,D1867,E1867)</f>
        <v>45662</v>
      </c>
      <c r="C1867" s="22">
        <v>2025</v>
      </c>
      <c r="D1867" s="23">
        <v>1</v>
      </c>
      <c r="E1867" s="24">
        <v>5</v>
      </c>
      <c r="F1867" s="42" t="s">
        <v>17</v>
      </c>
      <c r="G1867" s="42" t="s">
        <v>13</v>
      </c>
      <c r="H1867" s="42" t="s">
        <v>167</v>
      </c>
      <c r="I1867" s="42" t="s">
        <v>168</v>
      </c>
      <c r="J1867" s="10">
        <v>5950</v>
      </c>
      <c r="K1867" s="7">
        <v>-5950</v>
      </c>
      <c r="L1867" s="1" t="s">
        <v>532</v>
      </c>
      <c r="M1867" s="2" t="s">
        <v>672</v>
      </c>
    </row>
    <row r="1868" spans="1:13">
      <c r="A1868" s="21" t="str">
        <f>TEXT(TEXT(B1868,"yyyymmdd"),"00000000")&amp;TEXT(COUNTIF($B$2:B1868,B1868),"00")</f>
        <v>2025010601</v>
      </c>
      <c r="B1868" s="21">
        <f t="shared" ref="B1868" si="479">DATE(C1868,D1868,E1868)</f>
        <v>45663</v>
      </c>
      <c r="C1868" s="22">
        <v>2025</v>
      </c>
      <c r="D1868" s="23">
        <v>1</v>
      </c>
      <c r="E1868" s="24">
        <v>6</v>
      </c>
      <c r="F1868" s="42" t="s">
        <v>17</v>
      </c>
      <c r="G1868" s="42" t="s">
        <v>13</v>
      </c>
      <c r="H1868" s="42" t="s">
        <v>138</v>
      </c>
      <c r="I1868" s="42" t="s">
        <v>139</v>
      </c>
      <c r="J1868" s="10">
        <v>6800</v>
      </c>
      <c r="K1868" s="7">
        <v>-6800</v>
      </c>
      <c r="L1868" s="1" t="s">
        <v>300</v>
      </c>
    </row>
    <row r="1869" spans="1:13">
      <c r="A1869" s="21" t="str">
        <f>TEXT(TEXT(B1869,"yyyymmdd"),"00000000")&amp;TEXT(COUNTIF($B$2:B1869,B1869),"00")</f>
        <v>2025010602</v>
      </c>
      <c r="B1869" s="21">
        <f t="shared" ref="B1869" si="480">DATE(C1869,D1869,E1869)</f>
        <v>45663</v>
      </c>
      <c r="C1869" s="22">
        <v>2025</v>
      </c>
      <c r="D1869" s="23">
        <v>1</v>
      </c>
      <c r="E1869" s="24">
        <v>6</v>
      </c>
      <c r="F1869" s="42" t="s">
        <v>17</v>
      </c>
      <c r="G1869" s="42" t="s">
        <v>13</v>
      </c>
      <c r="H1869" s="42" t="s">
        <v>167</v>
      </c>
      <c r="I1869" s="42" t="s">
        <v>214</v>
      </c>
      <c r="J1869" s="10">
        <v>47300</v>
      </c>
      <c r="K1869" s="7">
        <v>-47300</v>
      </c>
      <c r="L1869" s="1" t="s">
        <v>1227</v>
      </c>
    </row>
    <row r="1870" spans="1:13">
      <c r="A1870" s="21" t="str">
        <f>TEXT(TEXT(B1870,"yyyymmdd"),"00000000")&amp;TEXT(COUNTIF($B$2:B1870,B1870),"00")</f>
        <v>2025010603</v>
      </c>
      <c r="B1870" s="21">
        <f t="shared" ref="B1870" si="481">DATE(C1870,D1870,E1870)</f>
        <v>45663</v>
      </c>
      <c r="C1870" s="22">
        <v>2025</v>
      </c>
      <c r="D1870" s="23">
        <v>1</v>
      </c>
      <c r="E1870" s="24">
        <v>6</v>
      </c>
      <c r="F1870" s="42" t="s">
        <v>17</v>
      </c>
      <c r="G1870" s="42" t="s">
        <v>7</v>
      </c>
      <c r="H1870" s="42" t="s">
        <v>173</v>
      </c>
      <c r="I1870" s="42" t="s">
        <v>207</v>
      </c>
      <c r="J1870" s="10">
        <v>29300</v>
      </c>
      <c r="K1870" s="7">
        <v>-29300</v>
      </c>
      <c r="L1870" s="1" t="s">
        <v>208</v>
      </c>
    </row>
    <row r="1871" spans="1:13">
      <c r="A1871" s="21" t="str">
        <f>TEXT(TEXT(B1871,"yyyymmdd"),"00000000")&amp;TEXT(COUNTIF($B$2:B1871,B1871),"00")</f>
        <v>2025010701</v>
      </c>
      <c r="B1871" s="21">
        <f t="shared" ref="B1871" si="482">DATE(C1871,D1871,E1871)</f>
        <v>45664</v>
      </c>
      <c r="C1871" s="22">
        <v>2025</v>
      </c>
      <c r="D1871" s="23">
        <v>1</v>
      </c>
      <c r="E1871" s="24">
        <v>7</v>
      </c>
      <c r="F1871" s="42" t="s">
        <v>17</v>
      </c>
      <c r="G1871" s="42" t="s">
        <v>7</v>
      </c>
      <c r="H1871" s="42" t="s">
        <v>167</v>
      </c>
      <c r="I1871" s="42" t="s">
        <v>214</v>
      </c>
      <c r="J1871" s="10">
        <v>27970</v>
      </c>
      <c r="K1871" s="7">
        <v>-27970</v>
      </c>
      <c r="L1871" s="1" t="s">
        <v>1001</v>
      </c>
    </row>
    <row r="1872" spans="1:13">
      <c r="A1872" s="21" t="str">
        <f>TEXT(TEXT(B1872,"yyyymmdd"),"00000000")&amp;TEXT(COUNTIF($B$2:B1872,B1872),"00")</f>
        <v>2025010901</v>
      </c>
      <c r="B1872" s="21">
        <f t="shared" ref="B1872" si="483">DATE(C1872,D1872,E1872)</f>
        <v>45666</v>
      </c>
      <c r="C1872" s="22">
        <v>2025</v>
      </c>
      <c r="D1872" s="23">
        <v>1</v>
      </c>
      <c r="E1872" s="24">
        <v>9</v>
      </c>
      <c r="F1872" s="42" t="s">
        <v>17</v>
      </c>
      <c r="G1872" s="42" t="s">
        <v>7</v>
      </c>
      <c r="H1872" s="42" t="s">
        <v>173</v>
      </c>
      <c r="I1872" s="42" t="s">
        <v>1044</v>
      </c>
      <c r="J1872" s="10">
        <v>64830</v>
      </c>
      <c r="K1872" s="7">
        <v>-64830</v>
      </c>
      <c r="L1872" s="1" t="s">
        <v>1043</v>
      </c>
    </row>
    <row r="1873" spans="1:13">
      <c r="A1873" s="21" t="str">
        <f>TEXT(TEXT(B1873,"yyyymmdd"),"00000000")&amp;TEXT(COUNTIF($B$2:B1873,B1873),"00")</f>
        <v>2025010902</v>
      </c>
      <c r="B1873" s="21">
        <f t="shared" ref="B1873" si="484">DATE(C1873,D1873,E1873)</f>
        <v>45666</v>
      </c>
      <c r="C1873" s="22">
        <v>2025</v>
      </c>
      <c r="D1873" s="23">
        <v>1</v>
      </c>
      <c r="E1873" s="24">
        <v>9</v>
      </c>
      <c r="F1873" s="42" t="s">
        <v>17</v>
      </c>
      <c r="G1873" s="42" t="s">
        <v>7</v>
      </c>
      <c r="H1873" s="42" t="s">
        <v>116</v>
      </c>
      <c r="I1873" s="42" t="s">
        <v>212</v>
      </c>
      <c r="J1873" s="10">
        <v>5000</v>
      </c>
      <c r="K1873" s="7">
        <v>-5000</v>
      </c>
      <c r="L1873" s="1" t="s">
        <v>230</v>
      </c>
    </row>
    <row r="1874" spans="1:13">
      <c r="A1874" s="21" t="str">
        <f>TEXT(TEXT(B1874,"yyyymmdd"),"00000000")&amp;TEXT(COUNTIF($B$2:B1874,B1874),"00")</f>
        <v>2025010903</v>
      </c>
      <c r="B1874" s="21">
        <f t="shared" ref="B1874" si="485">DATE(C1874,D1874,E1874)</f>
        <v>45666</v>
      </c>
      <c r="C1874" s="22">
        <v>2025</v>
      </c>
      <c r="D1874" s="23">
        <v>1</v>
      </c>
      <c r="E1874" s="24">
        <v>9</v>
      </c>
      <c r="F1874" s="42" t="s">
        <v>17</v>
      </c>
      <c r="G1874" s="42" t="s">
        <v>7</v>
      </c>
      <c r="H1874" s="42" t="s">
        <v>32</v>
      </c>
      <c r="I1874" s="42" t="s">
        <v>141</v>
      </c>
      <c r="J1874" s="10">
        <v>5400</v>
      </c>
      <c r="K1874" s="7">
        <v>-5400</v>
      </c>
      <c r="L1874" s="1" t="s">
        <v>1319</v>
      </c>
    </row>
    <row r="1875" spans="1:13">
      <c r="A1875" s="21" t="str">
        <f>TEXT(TEXT(B1875,"yyyymmdd"),"00000000")&amp;TEXT(COUNTIF($B$2:B1875,B1875),"00")</f>
        <v>2025011001</v>
      </c>
      <c r="B1875" s="21">
        <f t="shared" ref="B1875" si="486">DATE(C1875,D1875,E1875)</f>
        <v>45667</v>
      </c>
      <c r="C1875" s="22">
        <v>2025</v>
      </c>
      <c r="D1875" s="23">
        <v>1</v>
      </c>
      <c r="E1875" s="24">
        <v>10</v>
      </c>
      <c r="F1875" s="42" t="s">
        <v>17</v>
      </c>
      <c r="G1875" s="42" t="s">
        <v>13</v>
      </c>
      <c r="H1875" s="42" t="s">
        <v>167</v>
      </c>
      <c r="I1875" s="42" t="s">
        <v>214</v>
      </c>
      <c r="J1875" s="10">
        <v>28830</v>
      </c>
      <c r="K1875" s="7">
        <v>-28830</v>
      </c>
      <c r="L1875" s="1" t="s">
        <v>957</v>
      </c>
    </row>
    <row r="1876" spans="1:13">
      <c r="A1876" s="21" t="str">
        <f>TEXT(TEXT(B1876,"yyyymmdd"),"00000000")&amp;TEXT(COUNTIF($B$2:B1876,B1876),"00")</f>
        <v>2025011002</v>
      </c>
      <c r="B1876" s="21">
        <f t="shared" ref="B1876" si="487">DATE(C1876,D1876,E1876)</f>
        <v>45667</v>
      </c>
      <c r="C1876" s="22">
        <v>2025</v>
      </c>
      <c r="D1876" s="23">
        <v>1</v>
      </c>
      <c r="E1876" s="24">
        <v>10</v>
      </c>
      <c r="F1876" s="42" t="s">
        <v>17</v>
      </c>
      <c r="G1876" s="42" t="s">
        <v>170</v>
      </c>
      <c r="H1876" s="42" t="s">
        <v>114</v>
      </c>
      <c r="I1876" s="42" t="s">
        <v>1007</v>
      </c>
      <c r="J1876" s="10">
        <v>43110</v>
      </c>
      <c r="K1876" s="7">
        <v>-43110</v>
      </c>
      <c r="L1876" s="1" t="s">
        <v>1023</v>
      </c>
    </row>
    <row r="1877" spans="1:13">
      <c r="A1877" s="21" t="str">
        <f>TEXT(TEXT(B1877,"yyyymmdd"),"00000000")&amp;TEXT(COUNTIF($B$2:B1877,B1877),"00")</f>
        <v>2025011101</v>
      </c>
      <c r="B1877" s="21">
        <f t="shared" ref="B1877" si="488">DATE(C1877,D1877,E1877)</f>
        <v>45668</v>
      </c>
      <c r="C1877" s="22">
        <v>2025</v>
      </c>
      <c r="D1877" s="23">
        <v>1</v>
      </c>
      <c r="E1877" s="24">
        <v>11</v>
      </c>
      <c r="F1877" s="42" t="s">
        <v>17</v>
      </c>
      <c r="G1877" s="42" t="s">
        <v>7</v>
      </c>
      <c r="H1877" s="42" t="s">
        <v>110</v>
      </c>
      <c r="I1877" s="42" t="s">
        <v>120</v>
      </c>
      <c r="J1877" s="10">
        <v>8400</v>
      </c>
      <c r="K1877" s="7">
        <v>-8400</v>
      </c>
      <c r="L1877" s="1" t="s">
        <v>1320</v>
      </c>
    </row>
    <row r="1878" spans="1:13">
      <c r="A1878" s="21" t="str">
        <f>TEXT(TEXT(B1878,"yyyymmdd"),"00000000")&amp;TEXT(COUNTIF($B$2:B1878,B1878),"00")</f>
        <v>2025011201</v>
      </c>
      <c r="B1878" s="21">
        <f t="shared" ref="B1878" si="489">DATE(C1878,D1878,E1878)</f>
        <v>45669</v>
      </c>
      <c r="C1878" s="22">
        <v>2025</v>
      </c>
      <c r="D1878" s="23">
        <v>1</v>
      </c>
      <c r="E1878" s="24">
        <v>12</v>
      </c>
      <c r="F1878" s="42" t="s">
        <v>17</v>
      </c>
      <c r="G1878" s="42" t="s">
        <v>7</v>
      </c>
      <c r="H1878" s="42" t="s">
        <v>119</v>
      </c>
      <c r="I1878" s="42" t="s">
        <v>975</v>
      </c>
      <c r="J1878" s="10">
        <v>100000</v>
      </c>
      <c r="K1878" s="7">
        <v>-100000</v>
      </c>
      <c r="L1878" s="1" t="s">
        <v>1321</v>
      </c>
    </row>
    <row r="1879" spans="1:13">
      <c r="A1879" s="21" t="str">
        <f>TEXT(TEXT(B1879,"yyyymmdd"),"00000000")&amp;TEXT(COUNTIF($B$2:B1879,B1879),"00")</f>
        <v>2025011202</v>
      </c>
      <c r="B1879" s="21">
        <f t="shared" ref="B1879" si="490">DATE(C1879,D1879,E1879)</f>
        <v>45669</v>
      </c>
      <c r="C1879" s="22">
        <v>2025</v>
      </c>
      <c r="D1879" s="23">
        <v>1</v>
      </c>
      <c r="E1879" s="24">
        <v>12</v>
      </c>
      <c r="F1879" s="42" t="s">
        <v>17</v>
      </c>
      <c r="G1879" s="42" t="s">
        <v>7</v>
      </c>
      <c r="H1879" s="42" t="s">
        <v>167</v>
      </c>
      <c r="I1879" s="42" t="s">
        <v>168</v>
      </c>
      <c r="J1879" s="10">
        <v>9500</v>
      </c>
      <c r="K1879" s="7">
        <v>-9500</v>
      </c>
      <c r="L1879" s="1" t="s">
        <v>532</v>
      </c>
      <c r="M1879" s="2" t="s">
        <v>1322</v>
      </c>
    </row>
    <row r="1880" spans="1:13">
      <c r="A1880" s="21" t="str">
        <f>TEXT(TEXT(B1880,"yyyymmdd"),"00000000")&amp;TEXT(COUNTIF($B$2:B1880,B1880),"00")</f>
        <v>2025011203</v>
      </c>
      <c r="B1880" s="21">
        <f t="shared" ref="B1880" si="491">DATE(C1880,D1880,E1880)</f>
        <v>45669</v>
      </c>
      <c r="C1880" s="22">
        <v>2025</v>
      </c>
      <c r="D1880" s="23">
        <v>1</v>
      </c>
      <c r="E1880" s="24">
        <v>12</v>
      </c>
      <c r="F1880" s="42" t="s">
        <v>17</v>
      </c>
      <c r="G1880" s="42" t="s">
        <v>7</v>
      </c>
      <c r="H1880" s="42" t="s">
        <v>116</v>
      </c>
      <c r="I1880" s="42" t="s">
        <v>212</v>
      </c>
      <c r="J1880" s="10">
        <v>4000</v>
      </c>
      <c r="K1880" s="7">
        <v>-4000</v>
      </c>
      <c r="L1880" s="1" t="s">
        <v>1323</v>
      </c>
    </row>
    <row r="1881" spans="1:13">
      <c r="A1881" s="21" t="str">
        <f>TEXT(TEXT(B1881,"yyyymmdd"),"00000000")&amp;TEXT(COUNTIF($B$2:B1881,B1881),"00")</f>
        <v>2025011401</v>
      </c>
      <c r="B1881" s="21">
        <f t="shared" ref="B1881" si="492">DATE(C1881,D1881,E1881)</f>
        <v>45671</v>
      </c>
      <c r="C1881" s="22">
        <v>2025</v>
      </c>
      <c r="D1881" s="23">
        <v>1</v>
      </c>
      <c r="E1881" s="24">
        <v>14</v>
      </c>
      <c r="F1881" s="42" t="s">
        <v>17</v>
      </c>
      <c r="G1881" s="42" t="s">
        <v>7</v>
      </c>
      <c r="H1881" s="42" t="s">
        <v>32</v>
      </c>
      <c r="I1881" s="42" t="s">
        <v>1218</v>
      </c>
      <c r="J1881" s="10">
        <v>9220</v>
      </c>
      <c r="K1881" s="7">
        <v>-9220</v>
      </c>
      <c r="L1881" s="1" t="s">
        <v>1219</v>
      </c>
    </row>
    <row r="1882" spans="1:13">
      <c r="A1882" s="21" t="str">
        <f>TEXT(TEXT(B1882,"yyyymmdd"),"00000000")&amp;TEXT(COUNTIF($B$2:B1882,B1882),"00")</f>
        <v>2025011701</v>
      </c>
      <c r="B1882" s="21">
        <f t="shared" ref="B1882" si="493">DATE(C1882,D1882,E1882)</f>
        <v>45674</v>
      </c>
      <c r="C1882" s="22">
        <v>2025</v>
      </c>
      <c r="D1882" s="23">
        <v>1</v>
      </c>
      <c r="E1882" s="24">
        <v>17</v>
      </c>
      <c r="F1882" s="42" t="s">
        <v>17</v>
      </c>
      <c r="G1882" s="42" t="s">
        <v>7</v>
      </c>
      <c r="H1882" s="42" t="s">
        <v>111</v>
      </c>
      <c r="I1882" s="42" t="s">
        <v>334</v>
      </c>
      <c r="J1882" s="10">
        <v>45000</v>
      </c>
      <c r="K1882" s="7">
        <v>-45000</v>
      </c>
      <c r="L1882" s="1" t="s">
        <v>1324</v>
      </c>
    </row>
    <row r="1883" spans="1:13">
      <c r="A1883" s="21" t="str">
        <f>TEXT(TEXT(B1883,"yyyymmdd"),"00000000")&amp;TEXT(COUNTIF($B$2:B1883,B1883),"00")</f>
        <v>2025011901</v>
      </c>
      <c r="B1883" s="21">
        <f t="shared" ref="B1883" si="494">DATE(C1883,D1883,E1883)</f>
        <v>45676</v>
      </c>
      <c r="C1883" s="22">
        <v>2025</v>
      </c>
      <c r="D1883" s="23">
        <v>1</v>
      </c>
      <c r="E1883" s="24">
        <v>19</v>
      </c>
      <c r="F1883" s="42" t="s">
        <v>17</v>
      </c>
      <c r="G1883" s="42" t="s">
        <v>7</v>
      </c>
      <c r="H1883" s="42" t="s">
        <v>167</v>
      </c>
      <c r="I1883" s="42" t="s">
        <v>168</v>
      </c>
      <c r="J1883" s="10">
        <v>2000</v>
      </c>
      <c r="K1883" s="7">
        <v>-2000</v>
      </c>
      <c r="L1883" s="1" t="s">
        <v>671</v>
      </c>
      <c r="M1883" s="2" t="s">
        <v>1325</v>
      </c>
    </row>
    <row r="1884" spans="1:13">
      <c r="A1884" s="21" t="str">
        <f>TEXT(TEXT(B1884,"yyyymmdd"),"00000000")&amp;TEXT(COUNTIF($B$2:B1884,B1884),"00")</f>
        <v>2025011902</v>
      </c>
      <c r="B1884" s="21">
        <f t="shared" ref="B1884" si="495">DATE(C1884,D1884,E1884)</f>
        <v>45676</v>
      </c>
      <c r="C1884" s="22">
        <v>2025</v>
      </c>
      <c r="D1884" s="23">
        <v>1</v>
      </c>
      <c r="E1884" s="24">
        <v>19</v>
      </c>
      <c r="F1884" s="42" t="s">
        <v>17</v>
      </c>
      <c r="G1884" s="42" t="s">
        <v>7</v>
      </c>
      <c r="H1884" s="42" t="s">
        <v>138</v>
      </c>
      <c r="I1884" s="42" t="s">
        <v>139</v>
      </c>
      <c r="J1884" s="10">
        <v>8000</v>
      </c>
      <c r="K1884" s="7">
        <v>-8000</v>
      </c>
      <c r="L1884" s="1" t="s">
        <v>1326</v>
      </c>
    </row>
    <row r="1885" spans="1:13">
      <c r="A1885" s="21" t="str">
        <f>TEXT(TEXT(B1885,"yyyymmdd"),"00000000")&amp;TEXT(COUNTIF($B$2:B1885,B1885),"00")</f>
        <v>2025011903</v>
      </c>
      <c r="B1885" s="21">
        <f t="shared" ref="B1885" si="496">DATE(C1885,D1885,E1885)</f>
        <v>45676</v>
      </c>
      <c r="C1885" s="22">
        <v>2025</v>
      </c>
      <c r="D1885" s="23">
        <v>1</v>
      </c>
      <c r="E1885" s="24">
        <v>19</v>
      </c>
      <c r="F1885" s="42" t="s">
        <v>17</v>
      </c>
      <c r="G1885" s="42" t="s">
        <v>13</v>
      </c>
      <c r="H1885" s="42" t="s">
        <v>167</v>
      </c>
      <c r="I1885" s="42" t="s">
        <v>168</v>
      </c>
      <c r="J1885" s="10">
        <v>5950</v>
      </c>
      <c r="K1885" s="7">
        <v>-5950</v>
      </c>
      <c r="L1885" s="1" t="s">
        <v>532</v>
      </c>
      <c r="M1885" s="2" t="s">
        <v>672</v>
      </c>
    </row>
    <row r="1886" spans="1:13">
      <c r="A1886" s="21" t="str">
        <f>TEXT(TEXT(B1886,"yyyymmdd"),"00000000")&amp;TEXT(COUNTIF($B$2:B1886,B1886),"00")</f>
        <v>2025012001</v>
      </c>
      <c r="B1886" s="21">
        <f t="shared" ref="B1886" si="497">DATE(C1886,D1886,E1886)</f>
        <v>45677</v>
      </c>
      <c r="C1886" s="22">
        <v>2025</v>
      </c>
      <c r="D1886" s="23">
        <v>1</v>
      </c>
      <c r="E1886" s="24">
        <v>20</v>
      </c>
      <c r="F1886" s="42" t="s">
        <v>17</v>
      </c>
      <c r="G1886" s="42" t="s">
        <v>7</v>
      </c>
      <c r="H1886" s="42" t="s">
        <v>110</v>
      </c>
      <c r="I1886" s="42" t="s">
        <v>122</v>
      </c>
      <c r="J1886" s="10">
        <v>20000</v>
      </c>
      <c r="K1886" s="7">
        <v>-20000</v>
      </c>
      <c r="L1886" s="1" t="s">
        <v>1327</v>
      </c>
    </row>
    <row r="1887" spans="1:13">
      <c r="A1887" s="21" t="str">
        <f>TEXT(TEXT(B1887,"yyyymmdd"),"00000000")&amp;TEXT(COUNTIF($B$2:B1887,B1887),"00")</f>
        <v>2025012002</v>
      </c>
      <c r="B1887" s="21">
        <f t="shared" ref="B1887" si="498">DATE(C1887,D1887,E1887)</f>
        <v>45677</v>
      </c>
      <c r="C1887" s="22">
        <v>2025</v>
      </c>
      <c r="D1887" s="23">
        <v>1</v>
      </c>
      <c r="E1887" s="24">
        <v>20</v>
      </c>
      <c r="F1887" s="42" t="s">
        <v>17</v>
      </c>
      <c r="G1887" s="42" t="s">
        <v>7</v>
      </c>
      <c r="H1887" s="42" t="s">
        <v>167</v>
      </c>
      <c r="I1887" s="42" t="s">
        <v>168</v>
      </c>
      <c r="J1887" s="10">
        <v>2160</v>
      </c>
      <c r="K1887" s="7">
        <v>-2160</v>
      </c>
      <c r="L1887" s="1" t="s">
        <v>532</v>
      </c>
    </row>
    <row r="1888" spans="1:13">
      <c r="A1888" s="21" t="str">
        <f>TEXT(TEXT(B1888,"yyyymmdd"),"00000000")&amp;TEXT(COUNTIF($B$2:B1888,B1888),"00")</f>
        <v>2025012101</v>
      </c>
      <c r="B1888" s="21">
        <f t="shared" ref="B1888" si="499">DATE(C1888,D1888,E1888)</f>
        <v>45678</v>
      </c>
      <c r="C1888" s="22">
        <v>2025</v>
      </c>
      <c r="D1888" s="23">
        <v>1</v>
      </c>
      <c r="E1888" s="24">
        <v>21</v>
      </c>
      <c r="F1888" s="42" t="s">
        <v>17</v>
      </c>
      <c r="G1888" s="42" t="s">
        <v>7</v>
      </c>
      <c r="H1888" s="42" t="s">
        <v>119</v>
      </c>
      <c r="I1888" s="42" t="s">
        <v>780</v>
      </c>
      <c r="J1888" s="10">
        <v>50000</v>
      </c>
      <c r="K1888" s="7">
        <v>-50000</v>
      </c>
      <c r="L1888" s="1" t="s">
        <v>1328</v>
      </c>
    </row>
    <row r="1889" spans="1:13">
      <c r="A1889" s="21" t="str">
        <f>TEXT(TEXT(B1889,"yyyymmdd"),"00000000")&amp;TEXT(COUNTIF($B$2:B1889,B1889),"00")</f>
        <v>2025012102</v>
      </c>
      <c r="B1889" s="21">
        <f t="shared" ref="B1889" si="500">DATE(C1889,D1889,E1889)</f>
        <v>45678</v>
      </c>
      <c r="C1889" s="22">
        <v>2025</v>
      </c>
      <c r="D1889" s="23">
        <v>1</v>
      </c>
      <c r="E1889" s="24">
        <v>21</v>
      </c>
      <c r="F1889" s="42" t="s">
        <v>17</v>
      </c>
      <c r="G1889" s="42" t="s">
        <v>170</v>
      </c>
      <c r="H1889" s="42" t="s">
        <v>114</v>
      </c>
      <c r="I1889" s="42" t="s">
        <v>1266</v>
      </c>
      <c r="J1889" s="10">
        <v>4490</v>
      </c>
      <c r="K1889" s="7">
        <v>-4490</v>
      </c>
      <c r="L1889" s="1" t="s">
        <v>1267</v>
      </c>
      <c r="M1889" s="2" t="s">
        <v>1268</v>
      </c>
    </row>
    <row r="1890" spans="1:13">
      <c r="A1890" s="21" t="str">
        <f>TEXT(TEXT(B1890,"yyyymmdd"),"00000000")&amp;TEXT(COUNTIF($B$2:B1890,B1890),"00")</f>
        <v>2025012103</v>
      </c>
      <c r="B1890" s="21">
        <f t="shared" ref="B1890" si="501">DATE(C1890,D1890,E1890)</f>
        <v>45678</v>
      </c>
      <c r="C1890" s="22">
        <v>2025</v>
      </c>
      <c r="D1890" s="23">
        <v>1</v>
      </c>
      <c r="E1890" s="24">
        <v>21</v>
      </c>
      <c r="F1890" s="42" t="s">
        <v>17</v>
      </c>
      <c r="G1890" s="42" t="s">
        <v>170</v>
      </c>
      <c r="H1890" s="42" t="s">
        <v>114</v>
      </c>
      <c r="I1890" s="42" t="s">
        <v>1005</v>
      </c>
      <c r="J1890" s="10">
        <v>18310</v>
      </c>
      <c r="K1890" s="7">
        <v>-18310</v>
      </c>
      <c r="L1890" s="1" t="s">
        <v>1006</v>
      </c>
    </row>
    <row r="1891" spans="1:13">
      <c r="A1891" s="21" t="str">
        <f>TEXT(TEXT(B1891,"yyyymmdd"),"00000000")&amp;TEXT(COUNTIF($B$2:B1891,B1891),"00")</f>
        <v>2025012104</v>
      </c>
      <c r="B1891" s="21">
        <f t="shared" ref="B1891" si="502">DATE(C1891,D1891,E1891)</f>
        <v>45678</v>
      </c>
      <c r="C1891" s="22">
        <v>2025</v>
      </c>
      <c r="D1891" s="23">
        <v>1</v>
      </c>
      <c r="E1891" s="24">
        <v>21</v>
      </c>
      <c r="F1891" s="42" t="s">
        <v>17</v>
      </c>
      <c r="G1891" s="42" t="s">
        <v>7</v>
      </c>
      <c r="H1891" s="42" t="s">
        <v>173</v>
      </c>
      <c r="I1891" s="42" t="s">
        <v>262</v>
      </c>
      <c r="J1891" s="10">
        <v>1800</v>
      </c>
      <c r="K1891" s="7">
        <v>-1800</v>
      </c>
      <c r="L1891" s="1" t="s">
        <v>1154</v>
      </c>
    </row>
    <row r="1892" spans="1:13">
      <c r="A1892" s="21" t="str">
        <f>TEXT(TEXT(B1892,"yyyymmdd"),"00000000")&amp;TEXT(COUNTIF($B$2:B1892,B1892),"00")</f>
        <v>2025012201</v>
      </c>
      <c r="B1892" s="21">
        <f t="shared" ref="B1892" si="503">DATE(C1892,D1892,E1892)</f>
        <v>45679</v>
      </c>
      <c r="C1892" s="22">
        <v>2025</v>
      </c>
      <c r="D1892" s="23">
        <v>1</v>
      </c>
      <c r="E1892" s="24">
        <v>22</v>
      </c>
      <c r="F1892" s="42" t="s">
        <v>17</v>
      </c>
      <c r="G1892" s="42" t="s">
        <v>13</v>
      </c>
      <c r="H1892" s="42" t="s">
        <v>138</v>
      </c>
      <c r="I1892" s="42" t="s">
        <v>197</v>
      </c>
      <c r="J1892" s="10">
        <v>3000</v>
      </c>
      <c r="K1892" s="7">
        <v>-3000</v>
      </c>
      <c r="L1892" s="1" t="s">
        <v>1329</v>
      </c>
      <c r="M1892" s="2" t="s">
        <v>1330</v>
      </c>
    </row>
    <row r="1893" spans="1:13">
      <c r="A1893" s="21" t="str">
        <f>TEXT(TEXT(B1893,"yyyymmdd"),"00000000")&amp;TEXT(COUNTIF($B$2:B1893,B1893),"00")</f>
        <v>2025012202</v>
      </c>
      <c r="B1893" s="21">
        <f t="shared" ref="B1893" si="504">DATE(C1893,D1893,E1893)</f>
        <v>45679</v>
      </c>
      <c r="C1893" s="22">
        <v>2025</v>
      </c>
      <c r="D1893" s="23">
        <v>1</v>
      </c>
      <c r="E1893" s="24">
        <v>22</v>
      </c>
      <c r="F1893" s="42" t="s">
        <v>17</v>
      </c>
      <c r="G1893" s="42" t="s">
        <v>7</v>
      </c>
      <c r="H1893" s="42" t="s">
        <v>167</v>
      </c>
      <c r="I1893" s="42" t="s">
        <v>168</v>
      </c>
      <c r="J1893" s="10">
        <v>12500</v>
      </c>
      <c r="K1893" s="7">
        <v>-12500</v>
      </c>
      <c r="L1893" s="1" t="s">
        <v>532</v>
      </c>
      <c r="M1893" s="2" t="s">
        <v>1331</v>
      </c>
    </row>
    <row r="1894" spans="1:13">
      <c r="A1894" s="21" t="str">
        <f>TEXT(TEXT(B1894,"yyyymmdd"),"00000000")&amp;TEXT(COUNTIF($B$2:B1894,B1894),"00")</f>
        <v>2025012301</v>
      </c>
      <c r="B1894" s="21">
        <f t="shared" ref="B1894" si="505">DATE(C1894,D1894,E1894)</f>
        <v>45680</v>
      </c>
      <c r="C1894" s="22">
        <v>2025</v>
      </c>
      <c r="D1894" s="23">
        <v>1</v>
      </c>
      <c r="E1894" s="24">
        <v>23</v>
      </c>
      <c r="F1894" s="42" t="s">
        <v>17</v>
      </c>
      <c r="G1894" s="42" t="s">
        <v>7</v>
      </c>
      <c r="H1894" s="42" t="s">
        <v>138</v>
      </c>
      <c r="I1894" s="42" t="s">
        <v>139</v>
      </c>
      <c r="J1894" s="10">
        <v>17500</v>
      </c>
      <c r="K1894" s="7">
        <v>-17500</v>
      </c>
      <c r="L1894" s="1" t="s">
        <v>1332</v>
      </c>
    </row>
    <row r="1895" spans="1:13">
      <c r="A1895" s="21" t="str">
        <f>TEXT(TEXT(B1895,"yyyymmdd"),"00000000")&amp;TEXT(COUNTIF($B$2:B1895,B1895),"00")</f>
        <v>2025012302</v>
      </c>
      <c r="B1895" s="21">
        <f t="shared" ref="B1895" si="506">DATE(C1895,D1895,E1895)</f>
        <v>45680</v>
      </c>
      <c r="C1895" s="22">
        <v>2025</v>
      </c>
      <c r="D1895" s="23">
        <v>1</v>
      </c>
      <c r="E1895" s="24">
        <v>23</v>
      </c>
      <c r="F1895" s="42" t="s">
        <v>17</v>
      </c>
      <c r="G1895" s="42" t="s">
        <v>7</v>
      </c>
      <c r="H1895" s="42" t="s">
        <v>116</v>
      </c>
      <c r="I1895" s="42" t="s">
        <v>217</v>
      </c>
      <c r="J1895" s="10">
        <v>5000</v>
      </c>
      <c r="K1895" s="7">
        <v>-5000</v>
      </c>
      <c r="L1895" s="1" t="s">
        <v>1333</v>
      </c>
    </row>
    <row r="1896" spans="1:13">
      <c r="A1896" s="21" t="str">
        <f>TEXT(TEXT(B1896,"yyyymmdd"),"00000000")&amp;TEXT(COUNTIF($B$2:B1896,B1896),"00")</f>
        <v>2025012303</v>
      </c>
      <c r="B1896" s="21">
        <f t="shared" ref="B1896" si="507">DATE(C1896,D1896,E1896)</f>
        <v>45680</v>
      </c>
      <c r="C1896" s="22">
        <v>2025</v>
      </c>
      <c r="D1896" s="23">
        <v>1</v>
      </c>
      <c r="E1896" s="24">
        <v>23</v>
      </c>
      <c r="F1896" s="42" t="s">
        <v>17</v>
      </c>
      <c r="G1896" s="42" t="s">
        <v>7</v>
      </c>
      <c r="H1896" s="42" t="s">
        <v>116</v>
      </c>
      <c r="I1896" s="42" t="s">
        <v>128</v>
      </c>
      <c r="J1896" s="10">
        <v>2000</v>
      </c>
      <c r="K1896" s="7">
        <v>-2000</v>
      </c>
      <c r="L1896" s="1" t="s">
        <v>1334</v>
      </c>
    </row>
    <row r="1897" spans="1:13">
      <c r="A1897" s="21" t="str">
        <f>TEXT(TEXT(B1897,"yyyymmdd"),"00000000")&amp;TEXT(COUNTIF($B$2:B1897,B1897),"00")</f>
        <v>2025012304</v>
      </c>
      <c r="B1897" s="21">
        <f t="shared" ref="B1897" si="508">DATE(C1897,D1897,E1897)</f>
        <v>45680</v>
      </c>
      <c r="C1897" s="22">
        <v>2025</v>
      </c>
      <c r="D1897" s="23">
        <v>1</v>
      </c>
      <c r="E1897" s="24">
        <v>23</v>
      </c>
      <c r="F1897" s="42" t="s">
        <v>17</v>
      </c>
      <c r="G1897" s="42" t="s">
        <v>7</v>
      </c>
      <c r="H1897" s="42" t="s">
        <v>111</v>
      </c>
      <c r="I1897" s="42" t="s">
        <v>334</v>
      </c>
      <c r="J1897" s="10">
        <v>29825</v>
      </c>
      <c r="K1897" s="7">
        <v>-29825</v>
      </c>
      <c r="L1897" s="1" t="s">
        <v>1211</v>
      </c>
    </row>
    <row r="1898" spans="1:13">
      <c r="A1898" s="21" t="str">
        <f>TEXT(TEXT(B1898,"yyyymmdd"),"00000000")&amp;TEXT(COUNTIF($B$2:B1898,B1898),"00")</f>
        <v>2025012305</v>
      </c>
      <c r="B1898" s="21">
        <f t="shared" ref="B1898" si="509">DATE(C1898,D1898,E1898)</f>
        <v>45680</v>
      </c>
      <c r="C1898" s="22">
        <v>2025</v>
      </c>
      <c r="D1898" s="23">
        <v>1</v>
      </c>
      <c r="E1898" s="24">
        <v>23</v>
      </c>
      <c r="F1898" s="42" t="s">
        <v>17</v>
      </c>
      <c r="G1898" s="42" t="s">
        <v>7</v>
      </c>
      <c r="H1898" s="42" t="s">
        <v>110</v>
      </c>
      <c r="I1898" s="42" t="s">
        <v>120</v>
      </c>
      <c r="J1898" s="10">
        <v>5750</v>
      </c>
      <c r="K1898" s="7">
        <v>-5750</v>
      </c>
      <c r="L1898" s="1" t="s">
        <v>651</v>
      </c>
    </row>
    <row r="1899" spans="1:13">
      <c r="A1899" s="21" t="str">
        <f>TEXT(TEXT(B1899,"yyyymmdd"),"00000000")&amp;TEXT(COUNTIF($B$2:B1899,B1899),"00")</f>
        <v>2025012501</v>
      </c>
      <c r="B1899" s="21">
        <f t="shared" ref="B1899" si="510">DATE(C1899,D1899,E1899)</f>
        <v>45682</v>
      </c>
      <c r="C1899" s="22">
        <v>2025</v>
      </c>
      <c r="D1899" s="23">
        <v>1</v>
      </c>
      <c r="E1899" s="24">
        <v>25</v>
      </c>
      <c r="F1899" s="42" t="s">
        <v>17</v>
      </c>
      <c r="G1899" s="42" t="s">
        <v>7</v>
      </c>
      <c r="H1899" s="42" t="s">
        <v>116</v>
      </c>
      <c r="I1899" s="42" t="s">
        <v>217</v>
      </c>
      <c r="J1899" s="10">
        <v>1530</v>
      </c>
      <c r="K1899" s="7">
        <v>-1530</v>
      </c>
      <c r="L1899" s="1" t="s">
        <v>1335</v>
      </c>
      <c r="M1899" s="2" t="s">
        <v>1336</v>
      </c>
    </row>
    <row r="1900" spans="1:13">
      <c r="A1900" s="21" t="str">
        <f>TEXT(TEXT(B1900,"yyyymmdd"),"00000000")&amp;TEXT(COUNTIF($B$2:B1900,B1900),"00")</f>
        <v>2025012701</v>
      </c>
      <c r="B1900" s="21">
        <f t="shared" ref="B1900" si="511">DATE(C1900,D1900,E1900)</f>
        <v>45684</v>
      </c>
      <c r="C1900" s="22">
        <v>2025</v>
      </c>
      <c r="D1900" s="23">
        <v>1</v>
      </c>
      <c r="E1900" s="24">
        <v>27</v>
      </c>
      <c r="F1900" s="42" t="s">
        <v>17</v>
      </c>
      <c r="G1900" s="42" t="s">
        <v>7</v>
      </c>
      <c r="H1900" s="42" t="s">
        <v>110</v>
      </c>
      <c r="I1900" s="42" t="s">
        <v>120</v>
      </c>
      <c r="J1900" s="10">
        <v>2000</v>
      </c>
      <c r="K1900" s="7">
        <v>-2000</v>
      </c>
      <c r="L1900" s="1" t="s">
        <v>807</v>
      </c>
    </row>
    <row r="1901" spans="1:13">
      <c r="A1901" s="21" t="str">
        <f>TEXT(TEXT(B1901,"yyyymmdd"),"00000000")&amp;TEXT(COUNTIF($B$2:B1901,B1901),"00")</f>
        <v>2025013001</v>
      </c>
      <c r="B1901" s="21">
        <f t="shared" ref="B1901" si="512">DATE(C1901,D1901,E1901)</f>
        <v>45687</v>
      </c>
      <c r="C1901" s="22">
        <v>2025</v>
      </c>
      <c r="D1901" s="23">
        <v>1</v>
      </c>
      <c r="E1901" s="24">
        <v>30</v>
      </c>
      <c r="F1901" s="42" t="s">
        <v>17</v>
      </c>
      <c r="G1901" s="42" t="s">
        <v>7</v>
      </c>
      <c r="H1901" s="42" t="s">
        <v>110</v>
      </c>
      <c r="I1901" s="42" t="s">
        <v>120</v>
      </c>
      <c r="J1901" s="10">
        <v>4000</v>
      </c>
      <c r="K1901" s="7">
        <v>-4000</v>
      </c>
      <c r="L1901" s="1" t="s">
        <v>480</v>
      </c>
    </row>
    <row r="1902" spans="1:13">
      <c r="A1902" s="21" t="str">
        <f>TEXT(TEXT(B1902,"yyyymmdd"),"00000000")&amp;TEXT(COUNTIF($B$2:B1902,B1902),"00")</f>
        <v>2025013101</v>
      </c>
      <c r="B1902" s="21">
        <f t="shared" ref="B1902" si="513">DATE(C1902,D1902,E1902)</f>
        <v>45688</v>
      </c>
      <c r="C1902" s="22">
        <v>2025</v>
      </c>
      <c r="D1902" s="23">
        <v>1</v>
      </c>
      <c r="E1902" s="24">
        <v>31</v>
      </c>
      <c r="F1902" s="42" t="s">
        <v>17</v>
      </c>
      <c r="G1902" s="42" t="s">
        <v>13</v>
      </c>
      <c r="H1902" s="42" t="s">
        <v>113</v>
      </c>
      <c r="I1902" s="42" t="s">
        <v>171</v>
      </c>
      <c r="J1902" s="10">
        <v>15000</v>
      </c>
      <c r="K1902" s="7">
        <v>-15000</v>
      </c>
      <c r="L1902" s="1" t="s">
        <v>502</v>
      </c>
    </row>
    <row r="1903" spans="1:13">
      <c r="A1903" s="21" t="str">
        <f>TEXT(TEXT(B1903,"yyyymmdd"),"00000000")&amp;TEXT(COUNTIF($B$2:B1903,B1903),"00")</f>
        <v>2025020101</v>
      </c>
      <c r="B1903" s="21">
        <f t="shared" ref="B1903" si="514">DATE(C1903,D1903,E1903)</f>
        <v>45689</v>
      </c>
      <c r="C1903" s="22">
        <v>2025</v>
      </c>
      <c r="D1903" s="23">
        <v>2</v>
      </c>
      <c r="E1903" s="24">
        <v>1</v>
      </c>
      <c r="F1903" s="42" t="s">
        <v>17</v>
      </c>
      <c r="G1903" s="42" t="s">
        <v>151</v>
      </c>
      <c r="H1903" s="42" t="s">
        <v>151</v>
      </c>
      <c r="I1903" s="42" t="s">
        <v>152</v>
      </c>
      <c r="J1903" s="10">
        <v>-600000</v>
      </c>
      <c r="K1903" s="7">
        <v>600000</v>
      </c>
      <c r="L1903" s="1" t="s">
        <v>252</v>
      </c>
      <c r="M1903" s="2" t="s">
        <v>985</v>
      </c>
    </row>
    <row r="1904" spans="1:13">
      <c r="A1904" s="21" t="str">
        <f>TEXT(TEXT(B1904,"yyyymmdd"),"00000000")&amp;TEXT(COUNTIF($B$2:B1904,B1904),"00")</f>
        <v>2025020102</v>
      </c>
      <c r="B1904" s="21">
        <f t="shared" ref="B1904" si="515">DATE(C1904,D1904,E1904)</f>
        <v>45689</v>
      </c>
      <c r="C1904" s="22">
        <v>2025</v>
      </c>
      <c r="D1904" s="23">
        <v>2</v>
      </c>
      <c r="E1904" s="24">
        <v>1</v>
      </c>
      <c r="F1904" s="42" t="s">
        <v>17</v>
      </c>
      <c r="G1904" s="42" t="s">
        <v>7</v>
      </c>
      <c r="H1904" s="42" t="s">
        <v>155</v>
      </c>
      <c r="I1904" s="42" t="s">
        <v>221</v>
      </c>
      <c r="J1904" s="10">
        <v>8900</v>
      </c>
      <c r="K1904" s="7">
        <v>-8900</v>
      </c>
      <c r="L1904" s="1" t="s">
        <v>541</v>
      </c>
      <c r="M1904" s="2" t="s">
        <v>1337</v>
      </c>
    </row>
    <row r="1905" spans="1:13">
      <c r="A1905" s="21" t="str">
        <f>TEXT(TEXT(B1905,"yyyymmdd"),"00000000")&amp;TEXT(COUNTIF($B$2:B1905,B1905),"00")</f>
        <v>2025020201</v>
      </c>
      <c r="B1905" s="21">
        <f t="shared" ref="B1905" si="516">DATE(C1905,D1905,E1905)</f>
        <v>45690</v>
      </c>
      <c r="C1905" s="22">
        <v>2025</v>
      </c>
      <c r="D1905" s="23">
        <v>2</v>
      </c>
      <c r="E1905" s="24">
        <v>2</v>
      </c>
      <c r="F1905" s="42" t="s">
        <v>17</v>
      </c>
      <c r="G1905" s="42" t="s">
        <v>13</v>
      </c>
      <c r="H1905" s="42" t="s">
        <v>167</v>
      </c>
      <c r="I1905" s="42" t="s">
        <v>214</v>
      </c>
      <c r="J1905" s="10">
        <v>39340</v>
      </c>
      <c r="K1905" s="7">
        <v>-39340</v>
      </c>
      <c r="L1905" s="1" t="s">
        <v>957</v>
      </c>
    </row>
    <row r="1906" spans="1:13">
      <c r="A1906" s="21" t="str">
        <f>TEXT(TEXT(B1906,"yyyymmdd"),"00000000")&amp;TEXT(COUNTIF($B$2:B1906,B1906),"00")</f>
        <v>2025020202</v>
      </c>
      <c r="B1906" s="21">
        <f t="shared" ref="B1906" si="517">DATE(C1906,D1906,E1906)</f>
        <v>45690</v>
      </c>
      <c r="C1906" s="22">
        <v>2025</v>
      </c>
      <c r="D1906" s="23">
        <v>2</v>
      </c>
      <c r="E1906" s="24">
        <v>2</v>
      </c>
      <c r="F1906" s="42" t="s">
        <v>498</v>
      </c>
      <c r="G1906" s="42" t="s">
        <v>11</v>
      </c>
      <c r="H1906" s="42" t="s">
        <v>99</v>
      </c>
      <c r="I1906" s="42" t="s">
        <v>11</v>
      </c>
      <c r="J1906" s="10">
        <v>-500000</v>
      </c>
      <c r="K1906" s="7">
        <v>500000</v>
      </c>
      <c r="L1906" s="1" t="s">
        <v>1338</v>
      </c>
      <c r="M1906" s="2" t="s">
        <v>1348</v>
      </c>
    </row>
    <row r="1907" spans="1:13">
      <c r="A1907" s="21" t="str">
        <f>TEXT(TEXT(B1907,"yyyymmdd"),"00000000")&amp;TEXT(COUNTIF($B$2:B1907,B1907),"00")</f>
        <v>2025020301</v>
      </c>
      <c r="B1907" s="21">
        <f t="shared" ref="B1907" si="518">DATE(C1907,D1907,E1907)</f>
        <v>45691</v>
      </c>
      <c r="C1907" s="22">
        <v>2025</v>
      </c>
      <c r="D1907" s="23">
        <v>2</v>
      </c>
      <c r="E1907" s="24">
        <v>3</v>
      </c>
      <c r="F1907" s="42" t="s">
        <v>17</v>
      </c>
      <c r="G1907" s="42" t="s">
        <v>7</v>
      </c>
      <c r="H1907" s="42" t="s">
        <v>110</v>
      </c>
      <c r="I1907" s="42" t="s">
        <v>120</v>
      </c>
      <c r="J1907" s="10">
        <v>5500</v>
      </c>
      <c r="K1907" s="7">
        <v>-5500</v>
      </c>
      <c r="L1907" s="1" t="s">
        <v>769</v>
      </c>
    </row>
    <row r="1908" spans="1:13">
      <c r="A1908" s="21" t="str">
        <f>TEXT(TEXT(B1908,"yyyymmdd"),"00000000")&amp;TEXT(COUNTIF($B$2:B1908,B1908),"00")</f>
        <v>2025020302</v>
      </c>
      <c r="B1908" s="21">
        <f t="shared" ref="B1908" si="519">DATE(C1908,D1908,E1908)</f>
        <v>45691</v>
      </c>
      <c r="C1908" s="22">
        <v>2025</v>
      </c>
      <c r="D1908" s="23">
        <v>2</v>
      </c>
      <c r="E1908" s="24">
        <v>3</v>
      </c>
      <c r="F1908" s="42" t="s">
        <v>17</v>
      </c>
      <c r="G1908" s="42" t="s">
        <v>7</v>
      </c>
      <c r="H1908" s="42" t="s">
        <v>138</v>
      </c>
      <c r="I1908" s="42" t="s">
        <v>139</v>
      </c>
      <c r="J1908" s="10">
        <v>10700</v>
      </c>
      <c r="K1908" s="7">
        <v>-10700</v>
      </c>
      <c r="L1908" s="1" t="s">
        <v>1339</v>
      </c>
    </row>
    <row r="1909" spans="1:13">
      <c r="A1909" s="21" t="str">
        <f>TEXT(TEXT(B1909,"yyyymmdd"),"00000000")&amp;TEXT(COUNTIF($B$2:B1909,B1909),"00")</f>
        <v>2025020303</v>
      </c>
      <c r="B1909" s="21">
        <f t="shared" ref="B1909" si="520">DATE(C1909,D1909,E1909)</f>
        <v>45691</v>
      </c>
      <c r="C1909" s="22">
        <v>2025</v>
      </c>
      <c r="D1909" s="23">
        <v>2</v>
      </c>
      <c r="E1909" s="24">
        <v>3</v>
      </c>
      <c r="F1909" s="42" t="s">
        <v>17</v>
      </c>
      <c r="G1909" s="42" t="s">
        <v>7</v>
      </c>
      <c r="H1909" s="42" t="s">
        <v>167</v>
      </c>
      <c r="I1909" s="42" t="s">
        <v>214</v>
      </c>
      <c r="J1909" s="10">
        <v>5000</v>
      </c>
      <c r="K1909" s="7">
        <v>-5000</v>
      </c>
      <c r="L1909" s="1" t="s">
        <v>603</v>
      </c>
      <c r="M1909" s="2" t="s">
        <v>1340</v>
      </c>
    </row>
    <row r="1910" spans="1:13">
      <c r="A1910" s="21" t="str">
        <f>TEXT(TEXT(B1910,"yyyymmdd"),"00000000")&amp;TEXT(COUNTIF($B$2:B1910,B1910),"00")</f>
        <v>2025020304</v>
      </c>
      <c r="B1910" s="21">
        <f t="shared" ref="B1910" si="521">DATE(C1910,D1910,E1910)</f>
        <v>45691</v>
      </c>
      <c r="C1910" s="22">
        <v>2025</v>
      </c>
      <c r="D1910" s="23">
        <v>2</v>
      </c>
      <c r="E1910" s="24">
        <v>3</v>
      </c>
      <c r="F1910" s="42" t="s">
        <v>17</v>
      </c>
      <c r="G1910" s="42" t="s">
        <v>7</v>
      </c>
      <c r="H1910" s="42" t="s">
        <v>111</v>
      </c>
      <c r="I1910" s="42" t="s">
        <v>334</v>
      </c>
      <c r="J1910" s="10">
        <v>10800</v>
      </c>
      <c r="K1910" s="7">
        <v>-10800</v>
      </c>
      <c r="L1910" s="1" t="s">
        <v>977</v>
      </c>
    </row>
    <row r="1911" spans="1:13">
      <c r="A1911" s="21" t="str">
        <f>TEXT(TEXT(B1911,"yyyymmdd"),"00000000")&amp;TEXT(COUNTIF($B$2:B1911,B1911),"00")</f>
        <v>2025020401</v>
      </c>
      <c r="B1911" s="21">
        <f t="shared" ref="B1911" si="522">DATE(C1911,D1911,E1911)</f>
        <v>45692</v>
      </c>
      <c r="C1911" s="22">
        <v>2025</v>
      </c>
      <c r="D1911" s="23">
        <v>2</v>
      </c>
      <c r="E1911" s="24">
        <v>4</v>
      </c>
      <c r="F1911" s="42" t="s">
        <v>17</v>
      </c>
      <c r="G1911" s="42" t="s">
        <v>7</v>
      </c>
      <c r="H1911" s="42" t="s">
        <v>119</v>
      </c>
      <c r="I1911" s="42" t="s">
        <v>180</v>
      </c>
      <c r="J1911" s="10">
        <v>23100</v>
      </c>
      <c r="K1911" s="7">
        <v>-23100</v>
      </c>
      <c r="L1911" s="1" t="s">
        <v>1204</v>
      </c>
      <c r="M1911" s="2" t="s">
        <v>1341</v>
      </c>
    </row>
    <row r="1912" spans="1:13">
      <c r="A1912" s="21" t="str">
        <f>TEXT(TEXT(B1912,"yyyymmdd"),"00000000")&amp;TEXT(COUNTIF($B$2:B1912,B1912),"00")</f>
        <v>2025020402</v>
      </c>
      <c r="B1912" s="21">
        <f t="shared" ref="B1912" si="523">DATE(C1912,D1912,E1912)</f>
        <v>45692</v>
      </c>
      <c r="C1912" s="22">
        <v>2025</v>
      </c>
      <c r="D1912" s="23">
        <v>2</v>
      </c>
      <c r="E1912" s="24">
        <v>4</v>
      </c>
      <c r="F1912" s="42" t="s">
        <v>498</v>
      </c>
      <c r="G1912" s="42" t="s">
        <v>135</v>
      </c>
      <c r="H1912" s="42" t="s">
        <v>135</v>
      </c>
      <c r="I1912" s="42" t="s">
        <v>152</v>
      </c>
      <c r="J1912" s="10">
        <v>-400000</v>
      </c>
      <c r="K1912" s="7">
        <v>400000</v>
      </c>
      <c r="L1912" s="1" t="s">
        <v>1342</v>
      </c>
    </row>
    <row r="1913" spans="1:13">
      <c r="A1913" s="21" t="str">
        <f>TEXT(TEXT(B1913,"yyyymmdd"),"00000000")&amp;TEXT(COUNTIF($B$2:B1913,B1913),"00")</f>
        <v>2025020403</v>
      </c>
      <c r="B1913" s="21">
        <f t="shared" ref="B1913" si="524">DATE(C1913,D1913,E1913)</f>
        <v>45692</v>
      </c>
      <c r="C1913" s="22">
        <v>2025</v>
      </c>
      <c r="D1913" s="23">
        <v>2</v>
      </c>
      <c r="E1913" s="24">
        <v>4</v>
      </c>
      <c r="F1913" s="42" t="s">
        <v>17</v>
      </c>
      <c r="G1913" s="42" t="s">
        <v>11</v>
      </c>
      <c r="H1913" s="42" t="s">
        <v>99</v>
      </c>
      <c r="I1913" s="42" t="s">
        <v>11</v>
      </c>
      <c r="J1913" s="10">
        <v>5000</v>
      </c>
      <c r="K1913" s="7">
        <v>-5000</v>
      </c>
      <c r="L1913" s="1" t="s">
        <v>1349</v>
      </c>
      <c r="M1913" s="2" t="s">
        <v>1355</v>
      </c>
    </row>
    <row r="1914" spans="1:13">
      <c r="A1914" s="21" t="str">
        <f>TEXT(TEXT(B1914,"yyyymmdd"),"00000000")&amp;TEXT(COUNTIF($B$2:B1914,B1914),"00")</f>
        <v>2025020501</v>
      </c>
      <c r="B1914" s="21">
        <f t="shared" ref="B1914:B1915" si="525">DATE(C1914,D1914,E1914)</f>
        <v>45693</v>
      </c>
      <c r="C1914" s="22">
        <v>2025</v>
      </c>
      <c r="D1914" s="23">
        <v>2</v>
      </c>
      <c r="E1914" s="24">
        <v>5</v>
      </c>
      <c r="F1914" s="42" t="s">
        <v>17</v>
      </c>
      <c r="G1914" s="42" t="s">
        <v>11</v>
      </c>
      <c r="H1914" s="42" t="s">
        <v>99</v>
      </c>
      <c r="I1914" s="42" t="s">
        <v>94</v>
      </c>
      <c r="J1914" s="10">
        <v>10000</v>
      </c>
      <c r="K1914" s="7">
        <v>-10000</v>
      </c>
      <c r="L1914" s="1" t="s">
        <v>1353</v>
      </c>
    </row>
    <row r="1915" spans="1:13">
      <c r="A1915" s="21" t="str">
        <f>TEXT(TEXT(B1915,"yyyymmdd"),"00000000")&amp;TEXT(COUNTIF($B$2:B1915,B1915),"00")</f>
        <v>2025020502</v>
      </c>
      <c r="B1915" s="21">
        <f t="shared" si="525"/>
        <v>45693</v>
      </c>
      <c r="C1915" s="22">
        <v>2025</v>
      </c>
      <c r="D1915" s="23">
        <v>2</v>
      </c>
      <c r="E1915" s="24">
        <v>5</v>
      </c>
      <c r="F1915" s="42" t="s">
        <v>1351</v>
      </c>
      <c r="G1915" s="42" t="s">
        <v>11</v>
      </c>
      <c r="H1915" s="42" t="s">
        <v>99</v>
      </c>
      <c r="I1915" s="42" t="s">
        <v>94</v>
      </c>
      <c r="J1915" s="10">
        <v>-10000</v>
      </c>
      <c r="K1915" s="7">
        <v>10000</v>
      </c>
      <c r="L1915" s="1" t="s">
        <v>1353</v>
      </c>
    </row>
    <row r="1916" spans="1:13">
      <c r="A1916" s="21" t="str">
        <f>TEXT(TEXT(B1916,"yyyymmdd"),"00000000")&amp;TEXT(COUNTIF($B$2:B1916,B1916),"00")</f>
        <v>2025020503</v>
      </c>
      <c r="B1916" s="21">
        <f t="shared" ref="B1916" si="526">DATE(C1916,D1916,E1916)</f>
        <v>45693</v>
      </c>
      <c r="C1916" s="22">
        <v>2025</v>
      </c>
      <c r="D1916" s="23">
        <v>2</v>
      </c>
      <c r="E1916" s="24">
        <v>5</v>
      </c>
      <c r="F1916" s="42" t="s">
        <v>17</v>
      </c>
      <c r="G1916" s="42" t="s">
        <v>7</v>
      </c>
      <c r="H1916" s="42" t="s">
        <v>173</v>
      </c>
      <c r="I1916" s="42" t="s">
        <v>207</v>
      </c>
      <c r="J1916" s="10">
        <v>32200</v>
      </c>
      <c r="K1916" s="7">
        <v>-32200</v>
      </c>
      <c r="L1916" s="1" t="s">
        <v>208</v>
      </c>
    </row>
    <row r="1917" spans="1:13">
      <c r="A1917" s="21" t="str">
        <f>TEXT(TEXT(B1917,"yyyymmdd"),"00000000")&amp;TEXT(COUNTIF($B$2:B1917,B1917),"00")</f>
        <v>2025020601</v>
      </c>
      <c r="B1917" s="21">
        <f t="shared" ref="B1917" si="527">DATE(C1917,D1917,E1917)</f>
        <v>45694</v>
      </c>
      <c r="C1917" s="22">
        <v>2025</v>
      </c>
      <c r="D1917" s="23">
        <v>2</v>
      </c>
      <c r="E1917" s="24">
        <v>6</v>
      </c>
      <c r="F1917" s="42" t="s">
        <v>17</v>
      </c>
      <c r="G1917" s="42" t="s">
        <v>7</v>
      </c>
      <c r="H1917" s="42" t="s">
        <v>155</v>
      </c>
      <c r="I1917" s="42" t="s">
        <v>617</v>
      </c>
      <c r="J1917" s="10">
        <v>1000</v>
      </c>
      <c r="K1917" s="7">
        <v>-1000</v>
      </c>
      <c r="L1917" s="1" t="s">
        <v>808</v>
      </c>
    </row>
    <row r="1918" spans="1:13">
      <c r="A1918" s="21" t="str">
        <f>TEXT(TEXT(B1918,"yyyymmdd"),"00000000")&amp;TEXT(COUNTIF($B$2:B1918,B1918),"00")</f>
        <v>2025020602</v>
      </c>
      <c r="B1918" s="21">
        <f t="shared" ref="B1918" si="528">DATE(C1918,D1918,E1918)</f>
        <v>45694</v>
      </c>
      <c r="C1918" s="22">
        <v>2025</v>
      </c>
      <c r="D1918" s="23">
        <v>2</v>
      </c>
      <c r="E1918" s="24">
        <v>6</v>
      </c>
      <c r="F1918" s="42" t="s">
        <v>17</v>
      </c>
      <c r="G1918" s="42" t="s">
        <v>7</v>
      </c>
      <c r="H1918" s="42" t="s">
        <v>155</v>
      </c>
      <c r="I1918" s="42" t="s">
        <v>221</v>
      </c>
      <c r="J1918" s="10">
        <v>14000</v>
      </c>
      <c r="K1918" s="7">
        <v>-14000</v>
      </c>
      <c r="L1918" s="1" t="s">
        <v>1038</v>
      </c>
      <c r="M1918" s="2" t="s">
        <v>1356</v>
      </c>
    </row>
    <row r="1919" spans="1:13">
      <c r="A1919" s="21" t="str">
        <f>TEXT(TEXT(B1919,"yyyymmdd"),"00000000")&amp;TEXT(COUNTIF($B$2:B1919,B1919),"00")</f>
        <v>2025020603</v>
      </c>
      <c r="B1919" s="21">
        <f t="shared" ref="B1919" si="529">DATE(C1919,D1919,E1919)</f>
        <v>45694</v>
      </c>
      <c r="C1919" s="22">
        <v>2025</v>
      </c>
      <c r="D1919" s="23">
        <v>2</v>
      </c>
      <c r="E1919" s="24">
        <v>6</v>
      </c>
      <c r="F1919" s="42" t="s">
        <v>17</v>
      </c>
      <c r="G1919" s="42" t="s">
        <v>7</v>
      </c>
      <c r="H1919" s="42" t="s">
        <v>167</v>
      </c>
      <c r="I1919" s="42" t="s">
        <v>214</v>
      </c>
      <c r="J1919" s="10">
        <v>7000</v>
      </c>
      <c r="K1919" s="7">
        <v>-7000</v>
      </c>
      <c r="L1919" s="1" t="s">
        <v>603</v>
      </c>
      <c r="M1919" s="2" t="s">
        <v>1358</v>
      </c>
    </row>
    <row r="1920" spans="1:13">
      <c r="A1920" s="21" t="str">
        <f>TEXT(TEXT(B1920,"yyyymmdd"),"00000000")&amp;TEXT(COUNTIF($B$2:B1920,B1920),"00")</f>
        <v>2025020604</v>
      </c>
      <c r="B1920" s="21">
        <f t="shared" ref="B1920" si="530">DATE(C1920,D1920,E1920)</f>
        <v>45694</v>
      </c>
      <c r="C1920" s="22">
        <v>2025</v>
      </c>
      <c r="D1920" s="23">
        <v>2</v>
      </c>
      <c r="E1920" s="24">
        <v>6</v>
      </c>
      <c r="F1920" s="42" t="s">
        <v>17</v>
      </c>
      <c r="G1920" s="42" t="s">
        <v>7</v>
      </c>
      <c r="H1920" s="42" t="s">
        <v>138</v>
      </c>
      <c r="I1920" s="42" t="s">
        <v>197</v>
      </c>
      <c r="J1920" s="10">
        <v>29800</v>
      </c>
      <c r="K1920" s="7">
        <v>-29800</v>
      </c>
      <c r="L1920" s="1" t="s">
        <v>1359</v>
      </c>
      <c r="M1920" s="2" t="s">
        <v>1357</v>
      </c>
    </row>
    <row r="1921" spans="1:13">
      <c r="A1921" s="21" t="str">
        <f>TEXT(TEXT(B1921,"yyyymmdd"),"00000000")&amp;TEXT(COUNTIF($B$2:B1921,B1921),"00")</f>
        <v>2025020701</v>
      </c>
      <c r="B1921" s="21">
        <f t="shared" ref="B1921" si="531">DATE(C1921,D1921,E1921)</f>
        <v>45695</v>
      </c>
      <c r="C1921" s="22">
        <v>2025</v>
      </c>
      <c r="D1921" s="23">
        <v>2</v>
      </c>
      <c r="E1921" s="24">
        <v>7</v>
      </c>
      <c r="F1921" s="42" t="s">
        <v>17</v>
      </c>
      <c r="G1921" s="42" t="s">
        <v>13</v>
      </c>
      <c r="H1921" s="42" t="s">
        <v>167</v>
      </c>
      <c r="I1921" s="42" t="s">
        <v>214</v>
      </c>
      <c r="J1921" s="10">
        <v>14310</v>
      </c>
      <c r="K1921" s="7">
        <v>-14310</v>
      </c>
      <c r="L1921" s="1" t="s">
        <v>957</v>
      </c>
    </row>
    <row r="1922" spans="1:13">
      <c r="A1922" s="21" t="str">
        <f>TEXT(TEXT(B1922,"yyyymmdd"),"00000000")&amp;TEXT(COUNTIF($B$2:B1922,B1922),"00")</f>
        <v>2025020801</v>
      </c>
      <c r="B1922" s="21">
        <f t="shared" ref="B1922" si="532">DATE(C1922,D1922,E1922)</f>
        <v>45696</v>
      </c>
      <c r="C1922" s="22">
        <v>2025</v>
      </c>
      <c r="D1922" s="23">
        <v>2</v>
      </c>
      <c r="E1922" s="24">
        <v>8</v>
      </c>
      <c r="F1922" s="42" t="s">
        <v>17</v>
      </c>
      <c r="G1922" s="42" t="s">
        <v>7</v>
      </c>
      <c r="H1922" s="42" t="s">
        <v>138</v>
      </c>
      <c r="I1922" s="42" t="s">
        <v>139</v>
      </c>
      <c r="J1922" s="10">
        <v>20000</v>
      </c>
      <c r="K1922" s="7">
        <v>-20000</v>
      </c>
      <c r="L1922" s="1" t="s">
        <v>1361</v>
      </c>
      <c r="M1922" s="2" t="s">
        <v>1354</v>
      </c>
    </row>
    <row r="1923" spans="1:13">
      <c r="A1923" s="21" t="str">
        <f>TEXT(TEXT(B1923,"yyyymmdd"),"00000000")&amp;TEXT(COUNTIF($B$2:B1923,B1923),"00")</f>
        <v>2025020802</v>
      </c>
      <c r="B1923" s="21">
        <f t="shared" ref="B1923" si="533">DATE(C1923,D1923,E1923)</f>
        <v>45696</v>
      </c>
      <c r="C1923" s="22">
        <v>2025</v>
      </c>
      <c r="D1923" s="23">
        <v>2</v>
      </c>
      <c r="E1923" s="24">
        <v>8</v>
      </c>
      <c r="F1923" s="42" t="s">
        <v>17</v>
      </c>
      <c r="G1923" s="42" t="s">
        <v>7</v>
      </c>
      <c r="H1923" s="42" t="s">
        <v>138</v>
      </c>
      <c r="I1923" s="42" t="s">
        <v>139</v>
      </c>
      <c r="J1923" s="10">
        <v>27600</v>
      </c>
      <c r="K1923" s="7">
        <v>-27600</v>
      </c>
      <c r="L1923" s="1" t="s">
        <v>1030</v>
      </c>
      <c r="M1923" s="2" t="s">
        <v>1360</v>
      </c>
    </row>
    <row r="1924" spans="1:13">
      <c r="A1924" s="21" t="str">
        <f>TEXT(TEXT(B1924,"yyyymmdd"),"00000000")&amp;TEXT(COUNTIF($B$2:B1924,B1924),"00")</f>
        <v>2025021001</v>
      </c>
      <c r="B1924" s="21">
        <f t="shared" ref="B1924" si="534">DATE(C1924,D1924,E1924)</f>
        <v>45698</v>
      </c>
      <c r="C1924" s="22">
        <v>2025</v>
      </c>
      <c r="D1924" s="23">
        <v>2</v>
      </c>
      <c r="E1924" s="24">
        <v>10</v>
      </c>
      <c r="F1924" s="42" t="s">
        <v>17</v>
      </c>
      <c r="G1924" s="42" t="s">
        <v>13</v>
      </c>
      <c r="H1924" s="42" t="s">
        <v>138</v>
      </c>
      <c r="I1924" s="42" t="s">
        <v>139</v>
      </c>
      <c r="J1924" s="10">
        <v>2000</v>
      </c>
      <c r="K1924" s="7">
        <v>-2000</v>
      </c>
      <c r="L1924" s="1" t="s">
        <v>864</v>
      </c>
    </row>
    <row r="1925" spans="1:13">
      <c r="A1925" s="21" t="str">
        <f>TEXT(TEXT(B1925,"yyyymmdd"),"00000000")&amp;TEXT(COUNTIF($B$2:B1925,B1925),"00")</f>
        <v>2025021002</v>
      </c>
      <c r="B1925" s="21">
        <f t="shared" ref="B1925" si="535">DATE(C1925,D1925,E1925)</f>
        <v>45698</v>
      </c>
      <c r="C1925" s="22">
        <v>2025</v>
      </c>
      <c r="D1925" s="23">
        <v>2</v>
      </c>
      <c r="E1925" s="24">
        <v>10</v>
      </c>
      <c r="F1925" s="42" t="s">
        <v>17</v>
      </c>
      <c r="G1925" s="42" t="s">
        <v>170</v>
      </c>
      <c r="H1925" s="42" t="s">
        <v>114</v>
      </c>
      <c r="I1925" s="42" t="s">
        <v>1007</v>
      </c>
      <c r="J1925" s="10">
        <v>51640</v>
      </c>
      <c r="K1925" s="7">
        <v>-51640</v>
      </c>
      <c r="L1925" s="1" t="s">
        <v>1023</v>
      </c>
    </row>
    <row r="1926" spans="1:13">
      <c r="A1926" s="21" t="str">
        <f>TEXT(TEXT(B1926,"yyyymmdd"),"00000000")&amp;TEXT(COUNTIF($B$2:B1926,B1926),"00")</f>
        <v>2025021101</v>
      </c>
      <c r="B1926" s="21">
        <f t="shared" ref="B1926" si="536">DATE(C1926,D1926,E1926)</f>
        <v>45699</v>
      </c>
      <c r="C1926" s="22">
        <v>2025</v>
      </c>
      <c r="D1926" s="23">
        <v>2</v>
      </c>
      <c r="E1926" s="24">
        <v>11</v>
      </c>
      <c r="F1926" s="42" t="s">
        <v>17</v>
      </c>
      <c r="G1926" s="42" t="s">
        <v>7</v>
      </c>
      <c r="H1926" s="42" t="s">
        <v>116</v>
      </c>
      <c r="I1926" s="42" t="s">
        <v>217</v>
      </c>
      <c r="J1926" s="10">
        <v>30987</v>
      </c>
      <c r="K1926" s="7">
        <v>-30987</v>
      </c>
      <c r="L1926" s="1" t="s">
        <v>992</v>
      </c>
      <c r="M1926" s="2" t="s">
        <v>1362</v>
      </c>
    </row>
    <row r="1927" spans="1:13">
      <c r="A1927" s="21" t="str">
        <f>TEXT(TEXT(B1927,"yyyymmdd"),"00000000")&amp;TEXT(COUNTIF($B$2:B1927,B1927),"00")</f>
        <v>2025021102</v>
      </c>
      <c r="B1927" s="21">
        <f t="shared" ref="B1927" si="537">DATE(C1927,D1927,E1927)</f>
        <v>45699</v>
      </c>
      <c r="C1927" s="22">
        <v>2025</v>
      </c>
      <c r="D1927" s="23">
        <v>2</v>
      </c>
      <c r="E1927" s="24">
        <v>11</v>
      </c>
      <c r="F1927" s="42" t="s">
        <v>17</v>
      </c>
      <c r="G1927" s="42" t="s">
        <v>7</v>
      </c>
      <c r="H1927" s="42" t="s">
        <v>116</v>
      </c>
      <c r="I1927" s="42" t="s">
        <v>217</v>
      </c>
      <c r="J1927" s="10">
        <v>9000</v>
      </c>
      <c r="K1927" s="7">
        <v>-9000</v>
      </c>
      <c r="L1927" s="1" t="s">
        <v>586</v>
      </c>
      <c r="M1927" s="2" t="s">
        <v>1363</v>
      </c>
    </row>
    <row r="1928" spans="1:13">
      <c r="A1928" s="21" t="str">
        <f>TEXT(TEXT(B1928,"yyyymmdd"),"00000000")&amp;TEXT(COUNTIF($B$2:B1928,B1928),"00")</f>
        <v>2025021301</v>
      </c>
      <c r="B1928" s="21">
        <f t="shared" ref="B1928" si="538">DATE(C1928,D1928,E1928)</f>
        <v>45701</v>
      </c>
      <c r="C1928" s="22">
        <v>2025</v>
      </c>
      <c r="D1928" s="23">
        <v>2</v>
      </c>
      <c r="E1928" s="24">
        <v>13</v>
      </c>
      <c r="F1928" s="42" t="s">
        <v>17</v>
      </c>
      <c r="G1928" s="42" t="s">
        <v>7</v>
      </c>
      <c r="H1928" s="42" t="s">
        <v>138</v>
      </c>
      <c r="I1928" s="42" t="s">
        <v>139</v>
      </c>
      <c r="J1928" s="10">
        <v>21700</v>
      </c>
      <c r="K1928" s="7">
        <v>-21700</v>
      </c>
      <c r="L1928" s="1" t="s">
        <v>1364</v>
      </c>
    </row>
    <row r="1929" spans="1:13">
      <c r="A1929" s="21" t="str">
        <f>TEXT(TEXT(B1929,"yyyymmdd"),"00000000")&amp;TEXT(COUNTIF($B$2:B1929,B1929),"00")</f>
        <v>2025021302</v>
      </c>
      <c r="B1929" s="21">
        <f t="shared" ref="B1929" si="539">DATE(C1929,D1929,E1929)</f>
        <v>45701</v>
      </c>
      <c r="C1929" s="22">
        <v>2025</v>
      </c>
      <c r="D1929" s="23">
        <v>2</v>
      </c>
      <c r="E1929" s="24">
        <v>13</v>
      </c>
      <c r="F1929" s="42" t="s">
        <v>17</v>
      </c>
      <c r="G1929" s="42" t="s">
        <v>7</v>
      </c>
      <c r="H1929" s="42" t="s">
        <v>110</v>
      </c>
      <c r="I1929" s="42" t="s">
        <v>124</v>
      </c>
      <c r="J1929" s="10">
        <v>7100</v>
      </c>
      <c r="K1929" s="7">
        <v>-7100</v>
      </c>
      <c r="L1929" s="1" t="s">
        <v>1282</v>
      </c>
    </row>
    <row r="1930" spans="1:13">
      <c r="A1930" s="21" t="str">
        <f>TEXT(TEXT(B1930,"yyyymmdd"),"00000000")&amp;TEXT(COUNTIF($B$2:B1930,B1930),"00")</f>
        <v>2025021501</v>
      </c>
      <c r="B1930" s="21">
        <f t="shared" ref="B1930" si="540">DATE(C1930,D1930,E1930)</f>
        <v>45703</v>
      </c>
      <c r="C1930" s="22">
        <v>2025</v>
      </c>
      <c r="D1930" s="23">
        <v>2</v>
      </c>
      <c r="E1930" s="24">
        <v>15</v>
      </c>
      <c r="F1930" s="42" t="s">
        <v>17</v>
      </c>
      <c r="G1930" s="42" t="s">
        <v>135</v>
      </c>
      <c r="H1930" s="42" t="s">
        <v>135</v>
      </c>
      <c r="I1930" s="42" t="s">
        <v>190</v>
      </c>
      <c r="J1930" s="10">
        <v>-294</v>
      </c>
      <c r="K1930" s="7">
        <v>294</v>
      </c>
      <c r="L1930" s="1" t="s">
        <v>210</v>
      </c>
    </row>
    <row r="1931" spans="1:13">
      <c r="A1931" s="21" t="str">
        <f>TEXT(TEXT(B1931,"yyyymmdd"),"00000000")&amp;TEXT(COUNTIF($B$2:B1931,B1931),"00")</f>
        <v>2025021502</v>
      </c>
      <c r="B1931" s="21">
        <f t="shared" ref="B1931" si="541">DATE(C1931,D1931,E1931)</f>
        <v>45703</v>
      </c>
      <c r="C1931" s="22">
        <v>2025</v>
      </c>
      <c r="D1931" s="23">
        <v>2</v>
      </c>
      <c r="E1931" s="24">
        <v>15</v>
      </c>
      <c r="F1931" s="42" t="s">
        <v>17</v>
      </c>
      <c r="G1931" s="42" t="s">
        <v>7</v>
      </c>
      <c r="H1931" s="42" t="s">
        <v>167</v>
      </c>
      <c r="I1931" s="42" t="s">
        <v>565</v>
      </c>
      <c r="J1931" s="10">
        <v>15000</v>
      </c>
      <c r="K1931" s="7">
        <v>-15000</v>
      </c>
      <c r="L1931" s="1" t="s">
        <v>978</v>
      </c>
      <c r="M1931" s="2" t="s">
        <v>1365</v>
      </c>
    </row>
    <row r="1932" spans="1:13">
      <c r="A1932" s="21" t="str">
        <f>TEXT(TEXT(B1932,"yyyymmdd"),"00000000")&amp;TEXT(COUNTIF($B$2:B1932,B1932),"00")</f>
        <v>2025021503</v>
      </c>
      <c r="B1932" s="21">
        <f t="shared" ref="B1932" si="542">DATE(C1932,D1932,E1932)</f>
        <v>45703</v>
      </c>
      <c r="C1932" s="22">
        <v>2025</v>
      </c>
      <c r="D1932" s="23">
        <v>2</v>
      </c>
      <c r="E1932" s="24">
        <v>15</v>
      </c>
      <c r="F1932" s="42" t="s">
        <v>17</v>
      </c>
      <c r="G1932" s="42" t="s">
        <v>7</v>
      </c>
      <c r="H1932" s="42" t="s">
        <v>110</v>
      </c>
      <c r="I1932" s="42" t="s">
        <v>120</v>
      </c>
      <c r="J1932" s="10">
        <v>3000</v>
      </c>
      <c r="K1932" s="7">
        <v>-3000</v>
      </c>
      <c r="L1932" s="1" t="s">
        <v>1142</v>
      </c>
    </row>
    <row r="1933" spans="1:13">
      <c r="A1933" s="21" t="str">
        <f>TEXT(TEXT(B1933,"yyyymmdd"),"00000000")&amp;TEXT(COUNTIF($B$2:B1933,B1933),"00")</f>
        <v>2025021601</v>
      </c>
      <c r="B1933" s="21">
        <f t="shared" ref="B1933" si="543">DATE(C1933,D1933,E1933)</f>
        <v>45704</v>
      </c>
      <c r="C1933" s="22">
        <v>2025</v>
      </c>
      <c r="D1933" s="23">
        <v>2</v>
      </c>
      <c r="E1933" s="24">
        <v>16</v>
      </c>
      <c r="F1933" s="42" t="s">
        <v>17</v>
      </c>
      <c r="G1933" s="42" t="s">
        <v>7</v>
      </c>
      <c r="H1933" s="42" t="s">
        <v>167</v>
      </c>
      <c r="I1933" s="42" t="s">
        <v>168</v>
      </c>
      <c r="J1933" s="10">
        <v>5950</v>
      </c>
      <c r="K1933" s="7">
        <v>-5950</v>
      </c>
      <c r="L1933" s="1" t="s">
        <v>532</v>
      </c>
    </row>
    <row r="1934" spans="1:13">
      <c r="A1934" s="21" t="str">
        <f>TEXT(TEXT(B1934,"yyyymmdd"),"00000000")&amp;TEXT(COUNTIF($B$2:B1934,B1934),"00")</f>
        <v>2025021602</v>
      </c>
      <c r="B1934" s="21">
        <f t="shared" ref="B1934" si="544">DATE(C1934,D1934,E1934)</f>
        <v>45704</v>
      </c>
      <c r="C1934" s="22">
        <v>2025</v>
      </c>
      <c r="D1934" s="23">
        <v>2</v>
      </c>
      <c r="E1934" s="24">
        <v>16</v>
      </c>
      <c r="F1934" s="42" t="s">
        <v>17</v>
      </c>
      <c r="G1934" s="42" t="s">
        <v>7</v>
      </c>
      <c r="H1934" s="42" t="s">
        <v>138</v>
      </c>
      <c r="I1934" s="42" t="s">
        <v>139</v>
      </c>
      <c r="J1934" s="10">
        <v>39000</v>
      </c>
      <c r="K1934" s="7">
        <v>-39000</v>
      </c>
      <c r="L1934" s="1" t="s">
        <v>1366</v>
      </c>
    </row>
    <row r="1935" spans="1:13">
      <c r="A1935" s="21" t="str">
        <f>TEXT(TEXT(B1935,"yyyymmdd"),"00000000")&amp;TEXT(COUNTIF($B$2:B1935,B1935),"00")</f>
        <v>2025021603</v>
      </c>
      <c r="B1935" s="21">
        <f t="shared" ref="B1935" si="545">DATE(C1935,D1935,E1935)</f>
        <v>45704</v>
      </c>
      <c r="C1935" s="22">
        <v>2025</v>
      </c>
      <c r="D1935" s="23">
        <v>2</v>
      </c>
      <c r="E1935" s="24">
        <v>16</v>
      </c>
      <c r="F1935" s="42" t="s">
        <v>17</v>
      </c>
      <c r="G1935" s="42" t="s">
        <v>7</v>
      </c>
      <c r="H1935" s="42" t="s">
        <v>116</v>
      </c>
      <c r="I1935" s="42" t="s">
        <v>212</v>
      </c>
      <c r="J1935" s="10">
        <v>5000</v>
      </c>
      <c r="K1935" s="7">
        <v>-5000</v>
      </c>
      <c r="L1935" s="1" t="s">
        <v>1367</v>
      </c>
    </row>
    <row r="1936" spans="1:13">
      <c r="A1936" s="21" t="str">
        <f>TEXT(TEXT(B1936,"yyyymmdd"),"00000000")&amp;TEXT(COUNTIF($B$2:B1936,B1936),"00")</f>
        <v>2025021701</v>
      </c>
      <c r="B1936" s="21">
        <f t="shared" ref="B1936" si="546">DATE(C1936,D1936,E1936)</f>
        <v>45705</v>
      </c>
      <c r="C1936" s="22">
        <v>2025</v>
      </c>
      <c r="D1936" s="23">
        <v>2</v>
      </c>
      <c r="E1936" s="24">
        <v>17</v>
      </c>
      <c r="F1936" s="42" t="s">
        <v>17</v>
      </c>
      <c r="G1936" s="42" t="s">
        <v>7</v>
      </c>
      <c r="H1936" s="42" t="s">
        <v>138</v>
      </c>
      <c r="I1936" s="42" t="s">
        <v>139</v>
      </c>
      <c r="J1936" s="10">
        <v>12000</v>
      </c>
      <c r="K1936" s="7">
        <v>-12000</v>
      </c>
      <c r="L1936" s="1" t="s">
        <v>1368</v>
      </c>
    </row>
    <row r="1937" spans="1:13">
      <c r="A1937" s="21" t="str">
        <f>TEXT(TEXT(B1937,"yyyymmdd"),"00000000")&amp;TEXT(COUNTIF($B$2:B1937,B1937),"00")</f>
        <v>2025021702</v>
      </c>
      <c r="B1937" s="21">
        <f t="shared" ref="B1937" si="547">DATE(C1937,D1937,E1937)</f>
        <v>45705</v>
      </c>
      <c r="C1937" s="22">
        <v>2025</v>
      </c>
      <c r="D1937" s="23">
        <v>2</v>
      </c>
      <c r="E1937" s="24">
        <v>17</v>
      </c>
      <c r="F1937" s="42" t="s">
        <v>17</v>
      </c>
      <c r="G1937" s="42" t="s">
        <v>13</v>
      </c>
      <c r="H1937" s="42" t="s">
        <v>167</v>
      </c>
      <c r="I1937" s="42" t="s">
        <v>214</v>
      </c>
      <c r="J1937" s="10">
        <v>27400</v>
      </c>
      <c r="K1937" s="7">
        <v>-27400</v>
      </c>
      <c r="L1937" s="1" t="s">
        <v>957</v>
      </c>
    </row>
    <row r="1938" spans="1:13">
      <c r="A1938" s="21" t="str">
        <f>TEXT(TEXT(B1938,"yyyymmdd"),"00000000")&amp;TEXT(COUNTIF($B$2:B1938,B1938),"00")</f>
        <v>2025021703</v>
      </c>
      <c r="B1938" s="21">
        <f t="shared" ref="B1938" si="548">DATE(C1938,D1938,E1938)</f>
        <v>45705</v>
      </c>
      <c r="C1938" s="22">
        <v>2025</v>
      </c>
      <c r="D1938" s="23">
        <v>2</v>
      </c>
      <c r="E1938" s="24">
        <v>17</v>
      </c>
      <c r="F1938" s="42" t="s">
        <v>17</v>
      </c>
      <c r="G1938" s="42" t="s">
        <v>7</v>
      </c>
      <c r="H1938" s="42" t="s">
        <v>167</v>
      </c>
      <c r="I1938" s="42" t="s">
        <v>214</v>
      </c>
      <c r="J1938" s="10">
        <v>40300</v>
      </c>
      <c r="K1938" s="7">
        <v>-40300</v>
      </c>
      <c r="L1938" s="1" t="s">
        <v>1001</v>
      </c>
    </row>
    <row r="1939" spans="1:13">
      <c r="A1939" s="21" t="str">
        <f>TEXT(TEXT(B1939,"yyyymmdd"),"00000000")&amp;TEXT(COUNTIF($B$2:B1939,B1939),"00")</f>
        <v>2025021801</v>
      </c>
      <c r="B1939" s="21">
        <f t="shared" ref="B1939" si="549">DATE(C1939,D1939,E1939)</f>
        <v>45706</v>
      </c>
      <c r="C1939" s="22">
        <v>2025</v>
      </c>
      <c r="D1939" s="23">
        <v>2</v>
      </c>
      <c r="E1939" s="24">
        <v>18</v>
      </c>
      <c r="F1939" s="42" t="s">
        <v>17</v>
      </c>
      <c r="G1939" s="42" t="s">
        <v>7</v>
      </c>
      <c r="H1939" s="42" t="s">
        <v>116</v>
      </c>
      <c r="I1939" s="42" t="s">
        <v>217</v>
      </c>
      <c r="J1939" s="10">
        <v>4500</v>
      </c>
      <c r="K1939" s="7">
        <v>-4500</v>
      </c>
      <c r="L1939" s="1" t="s">
        <v>1182</v>
      </c>
    </row>
    <row r="1940" spans="1:13">
      <c r="A1940" s="21" t="str">
        <f>TEXT(TEXT(B1940,"yyyymmdd"),"00000000")&amp;TEXT(COUNTIF($B$2:B1940,B1940),"00")</f>
        <v>2025021802</v>
      </c>
      <c r="B1940" s="21">
        <f t="shared" ref="B1940" si="550">DATE(C1940,D1940,E1940)</f>
        <v>45706</v>
      </c>
      <c r="C1940" s="22">
        <v>2025</v>
      </c>
      <c r="D1940" s="23">
        <v>2</v>
      </c>
      <c r="E1940" s="24">
        <v>18</v>
      </c>
      <c r="F1940" s="42" t="s">
        <v>17</v>
      </c>
      <c r="G1940" s="42" t="s">
        <v>7</v>
      </c>
      <c r="H1940" s="42" t="s">
        <v>110</v>
      </c>
      <c r="I1940" s="42" t="s">
        <v>374</v>
      </c>
      <c r="J1940" s="10">
        <v>13000</v>
      </c>
      <c r="K1940" s="7">
        <v>-13000</v>
      </c>
      <c r="L1940" s="1" t="s">
        <v>728</v>
      </c>
      <c r="M1940" s="2" t="s">
        <v>1369</v>
      </c>
    </row>
    <row r="1941" spans="1:13">
      <c r="A1941" s="21" t="str">
        <f>TEXT(TEXT(B1941,"yyyymmdd"),"00000000")&amp;TEXT(COUNTIF($B$2:B1941,B1941),"00")</f>
        <v>2025021803</v>
      </c>
      <c r="B1941" s="21">
        <f t="shared" ref="B1941" si="551">DATE(C1941,D1941,E1941)</f>
        <v>45706</v>
      </c>
      <c r="C1941" s="22">
        <v>2025</v>
      </c>
      <c r="D1941" s="23">
        <v>2</v>
      </c>
      <c r="E1941" s="24">
        <v>18</v>
      </c>
      <c r="F1941" s="42" t="s">
        <v>17</v>
      </c>
      <c r="G1941" s="42" t="s">
        <v>7</v>
      </c>
      <c r="H1941" s="42" t="s">
        <v>116</v>
      </c>
      <c r="I1941" s="42" t="s">
        <v>225</v>
      </c>
      <c r="J1941" s="10">
        <v>2000</v>
      </c>
      <c r="K1941" s="7">
        <v>-2000</v>
      </c>
      <c r="L1941" s="1" t="s">
        <v>1178</v>
      </c>
    </row>
    <row r="1942" spans="1:13">
      <c r="A1942" s="21" t="str">
        <f>TEXT(TEXT(B1942,"yyyymmdd"),"00000000")&amp;TEXT(COUNTIF($B$2:B1942,B1942),"00")</f>
        <v>2025021804</v>
      </c>
      <c r="B1942" s="21">
        <f t="shared" ref="B1942" si="552">DATE(C1942,D1942,E1942)</f>
        <v>45706</v>
      </c>
      <c r="C1942" s="22">
        <v>2025</v>
      </c>
      <c r="D1942" s="23">
        <v>2</v>
      </c>
      <c r="E1942" s="24">
        <v>18</v>
      </c>
      <c r="F1942" s="42" t="s">
        <v>17</v>
      </c>
      <c r="G1942" s="42" t="s">
        <v>7</v>
      </c>
      <c r="H1942" s="42" t="s">
        <v>116</v>
      </c>
      <c r="I1942" s="42" t="s">
        <v>225</v>
      </c>
      <c r="J1942" s="10">
        <v>1000</v>
      </c>
      <c r="K1942" s="7">
        <v>-1000</v>
      </c>
      <c r="L1942" s="1" t="s">
        <v>1370</v>
      </c>
    </row>
    <row r="1943" spans="1:13">
      <c r="A1943" s="21" t="str">
        <f>TEXT(TEXT(B1943,"yyyymmdd"),"00000000")&amp;TEXT(COUNTIF($B$2:B1943,B1943),"00")</f>
        <v>2025021805</v>
      </c>
      <c r="B1943" s="21">
        <f t="shared" ref="B1943" si="553">DATE(C1943,D1943,E1943)</f>
        <v>45706</v>
      </c>
      <c r="C1943" s="22">
        <v>2025</v>
      </c>
      <c r="D1943" s="23">
        <v>2</v>
      </c>
      <c r="E1943" s="24">
        <v>18</v>
      </c>
      <c r="F1943" s="42" t="s">
        <v>17</v>
      </c>
      <c r="G1943" s="42" t="s">
        <v>7</v>
      </c>
      <c r="H1943" s="42" t="s">
        <v>138</v>
      </c>
      <c r="I1943" s="42" t="s">
        <v>197</v>
      </c>
      <c r="J1943" s="10">
        <v>13800</v>
      </c>
      <c r="K1943" s="7">
        <v>-13800</v>
      </c>
      <c r="L1943" s="1" t="s">
        <v>1371</v>
      </c>
      <c r="M1943" s="2" t="s">
        <v>1372</v>
      </c>
    </row>
    <row r="1944" spans="1:13">
      <c r="A1944" s="21" t="str">
        <f>TEXT(TEXT(B1944,"yyyymmdd"),"00000000")&amp;TEXT(COUNTIF($B$2:B1944,B1944),"00")</f>
        <v>2025021901</v>
      </c>
      <c r="B1944" s="21">
        <f t="shared" ref="B1944" si="554">DATE(C1944,D1944,E1944)</f>
        <v>45707</v>
      </c>
      <c r="C1944" s="22">
        <v>2025</v>
      </c>
      <c r="D1944" s="23">
        <v>2</v>
      </c>
      <c r="E1944" s="24">
        <v>19</v>
      </c>
      <c r="F1944" s="42" t="s">
        <v>17</v>
      </c>
      <c r="G1944" s="42" t="s">
        <v>7</v>
      </c>
      <c r="H1944" s="42" t="s">
        <v>167</v>
      </c>
      <c r="I1944" s="42" t="s">
        <v>168</v>
      </c>
      <c r="J1944" s="10">
        <v>1400</v>
      </c>
      <c r="K1944" s="7">
        <v>-1400</v>
      </c>
      <c r="L1944" s="1" t="s">
        <v>532</v>
      </c>
    </row>
    <row r="1945" spans="1:13">
      <c r="A1945" s="21" t="str">
        <f>TEXT(TEXT(B1945,"yyyymmdd"),"00000000")&amp;TEXT(COUNTIF($B$2:B1945,B1945),"00")</f>
        <v>2025022001</v>
      </c>
      <c r="B1945" s="21">
        <f t="shared" ref="B1945" si="555">DATE(C1945,D1945,E1945)</f>
        <v>45708</v>
      </c>
      <c r="C1945" s="22">
        <v>2025</v>
      </c>
      <c r="D1945" s="23">
        <v>2</v>
      </c>
      <c r="E1945" s="24">
        <v>20</v>
      </c>
      <c r="F1945" s="42" t="s">
        <v>17</v>
      </c>
      <c r="G1945" s="42" t="s">
        <v>170</v>
      </c>
      <c r="H1945" s="42" t="s">
        <v>114</v>
      </c>
      <c r="I1945" s="42" t="s">
        <v>1005</v>
      </c>
      <c r="J1945" s="10">
        <v>23620</v>
      </c>
      <c r="K1945" s="7">
        <v>-23620</v>
      </c>
      <c r="L1945" s="1" t="s">
        <v>1006</v>
      </c>
    </row>
    <row r="1946" spans="1:13">
      <c r="A1946" s="21" t="str">
        <f>TEXT(TEXT(B1946,"yyyymmdd"),"00000000")&amp;TEXT(COUNTIF($B$2:B1946,B1946),"00")</f>
        <v>2025022401</v>
      </c>
      <c r="B1946" s="21">
        <f t="shared" ref="B1946" si="556">DATE(C1946,D1946,E1946)</f>
        <v>45712</v>
      </c>
      <c r="C1946" s="22">
        <v>2025</v>
      </c>
      <c r="D1946" s="23">
        <v>2</v>
      </c>
      <c r="E1946" s="24">
        <v>24</v>
      </c>
      <c r="F1946" s="42" t="s">
        <v>17</v>
      </c>
      <c r="G1946" s="42" t="s">
        <v>7</v>
      </c>
      <c r="H1946" s="42" t="s">
        <v>138</v>
      </c>
      <c r="I1946" s="42" t="s">
        <v>139</v>
      </c>
      <c r="J1946" s="10">
        <v>15000</v>
      </c>
      <c r="K1946" s="7">
        <v>-15000</v>
      </c>
      <c r="L1946" s="1" t="s">
        <v>1368</v>
      </c>
    </row>
    <row r="1947" spans="1:13">
      <c r="A1947" s="21" t="str">
        <f>TEXT(TEXT(B1947,"yyyymmdd"),"00000000")&amp;TEXT(COUNTIF($B$2:B1947,B1947),"00")</f>
        <v>2025022402</v>
      </c>
      <c r="B1947" s="21">
        <f t="shared" ref="B1947" si="557">DATE(C1947,D1947,E1947)</f>
        <v>45712</v>
      </c>
      <c r="C1947" s="22">
        <v>2025</v>
      </c>
      <c r="D1947" s="23">
        <v>2</v>
      </c>
      <c r="E1947" s="24">
        <v>24</v>
      </c>
      <c r="F1947" s="42" t="s">
        <v>17</v>
      </c>
      <c r="G1947" s="42" t="s">
        <v>7</v>
      </c>
      <c r="H1947" s="42" t="s">
        <v>110</v>
      </c>
      <c r="I1947" s="42" t="s">
        <v>122</v>
      </c>
      <c r="J1947" s="10">
        <v>3900</v>
      </c>
      <c r="K1947" s="7">
        <v>-3900</v>
      </c>
      <c r="L1947" s="1" t="s">
        <v>1373</v>
      </c>
    </row>
    <row r="1948" spans="1:13">
      <c r="A1948" s="21" t="str">
        <f>TEXT(TEXT(B1948,"yyyymmdd"),"00000000")&amp;TEXT(COUNTIF($B$2:B1948,B1948),"00")</f>
        <v>2025022403</v>
      </c>
      <c r="B1948" s="21">
        <f t="shared" ref="B1948" si="558">DATE(C1948,D1948,E1948)</f>
        <v>45712</v>
      </c>
      <c r="C1948" s="22">
        <v>2025</v>
      </c>
      <c r="D1948" s="23">
        <v>2</v>
      </c>
      <c r="E1948" s="24">
        <v>24</v>
      </c>
      <c r="F1948" s="42" t="s">
        <v>17</v>
      </c>
      <c r="G1948" s="42" t="s">
        <v>7</v>
      </c>
      <c r="H1948" s="42" t="s">
        <v>167</v>
      </c>
      <c r="I1948" s="42" t="s">
        <v>168</v>
      </c>
      <c r="J1948" s="10">
        <v>5950</v>
      </c>
      <c r="K1948" s="7">
        <v>-5950</v>
      </c>
      <c r="L1948" s="1" t="s">
        <v>532</v>
      </c>
    </row>
    <row r="1949" spans="1:13">
      <c r="A1949" s="21" t="str">
        <f>TEXT(TEXT(B1949,"yyyymmdd"),"00000000")&amp;TEXT(COUNTIF($B$2:B1949,B1949),"00")</f>
        <v>2025022501</v>
      </c>
      <c r="B1949" s="21">
        <f t="shared" ref="B1949" si="559">DATE(C1949,D1949,E1949)</f>
        <v>45713</v>
      </c>
      <c r="C1949" s="22">
        <v>2025</v>
      </c>
      <c r="D1949" s="23">
        <v>2</v>
      </c>
      <c r="E1949" s="24">
        <v>25</v>
      </c>
      <c r="F1949" s="42" t="s">
        <v>17</v>
      </c>
      <c r="G1949" s="42" t="s">
        <v>13</v>
      </c>
      <c r="H1949" s="42" t="s">
        <v>138</v>
      </c>
      <c r="I1949" s="42" t="s">
        <v>139</v>
      </c>
      <c r="J1949" s="10">
        <v>8900</v>
      </c>
      <c r="K1949" s="7">
        <v>-8900</v>
      </c>
      <c r="L1949" s="1" t="s">
        <v>750</v>
      </c>
    </row>
    <row r="1950" spans="1:13">
      <c r="A1950" s="21" t="str">
        <f>TEXT(TEXT(B1950,"yyyymmdd"),"00000000")&amp;TEXT(COUNTIF($B$2:B1950,B1950),"00")</f>
        <v>2025022502</v>
      </c>
      <c r="B1950" s="21">
        <f t="shared" ref="B1950" si="560">DATE(C1950,D1950,E1950)</f>
        <v>45713</v>
      </c>
      <c r="C1950" s="22">
        <v>2025</v>
      </c>
      <c r="D1950" s="23">
        <v>2</v>
      </c>
      <c r="E1950" s="24">
        <v>25</v>
      </c>
      <c r="F1950" s="42" t="s">
        <v>17</v>
      </c>
      <c r="G1950" s="42" t="s">
        <v>7</v>
      </c>
      <c r="H1950" s="42" t="s">
        <v>110</v>
      </c>
      <c r="I1950" s="42" t="s">
        <v>120</v>
      </c>
      <c r="J1950" s="10">
        <v>100</v>
      </c>
      <c r="K1950" s="7">
        <v>-100</v>
      </c>
      <c r="L1950" s="1" t="s">
        <v>665</v>
      </c>
      <c r="M1950" s="2" t="s">
        <v>1196</v>
      </c>
    </row>
    <row r="1951" spans="1:13">
      <c r="A1951" s="21" t="str">
        <f>TEXT(TEXT(B1951,"yyyymmdd"),"00000000")&amp;TEXT(COUNTIF($B$2:B1951,B1951),"00")</f>
        <v>2025022503</v>
      </c>
      <c r="B1951" s="21">
        <f t="shared" ref="B1951" si="561">DATE(C1951,D1951,E1951)</f>
        <v>45713</v>
      </c>
      <c r="C1951" s="22">
        <v>2025</v>
      </c>
      <c r="D1951" s="23">
        <v>2</v>
      </c>
      <c r="E1951" s="24">
        <v>25</v>
      </c>
      <c r="F1951" s="42" t="s">
        <v>17</v>
      </c>
      <c r="G1951" s="42" t="s">
        <v>13</v>
      </c>
      <c r="H1951" s="42" t="s">
        <v>138</v>
      </c>
      <c r="I1951" s="42" t="s">
        <v>197</v>
      </c>
      <c r="J1951" s="10">
        <v>14400</v>
      </c>
      <c r="K1951" s="7">
        <v>-14400</v>
      </c>
      <c r="L1951" s="1" t="s">
        <v>1296</v>
      </c>
    </row>
    <row r="1952" spans="1:13">
      <c r="A1952" s="21" t="str">
        <f>TEXT(TEXT(B1952,"yyyymmdd"),"00000000")&amp;TEXT(COUNTIF($B$2:B1952,B1952),"00")</f>
        <v>2025022701</v>
      </c>
      <c r="B1952" s="21">
        <f t="shared" ref="B1952" si="562">DATE(C1952,D1952,E1952)</f>
        <v>45715</v>
      </c>
      <c r="C1952" s="22">
        <v>2025</v>
      </c>
      <c r="D1952" s="23">
        <v>2</v>
      </c>
      <c r="E1952" s="24">
        <v>27</v>
      </c>
      <c r="F1952" s="42" t="s">
        <v>17</v>
      </c>
      <c r="G1952" s="42" t="s">
        <v>13</v>
      </c>
      <c r="H1952" s="42" t="s">
        <v>167</v>
      </c>
      <c r="I1952" s="42" t="s">
        <v>214</v>
      </c>
      <c r="J1952" s="10">
        <v>42610</v>
      </c>
      <c r="K1952" s="7">
        <v>-42610</v>
      </c>
      <c r="L1952" s="1" t="s">
        <v>1227</v>
      </c>
    </row>
    <row r="1953" spans="1:13">
      <c r="A1953" s="21" t="str">
        <f>TEXT(TEXT(B1953,"yyyymmdd"),"00000000")&amp;TEXT(COUNTIF($B$2:B1953,B1953),"00")</f>
        <v>2025022702</v>
      </c>
      <c r="B1953" s="21">
        <f t="shared" ref="B1953" si="563">DATE(C1953,D1953,E1953)</f>
        <v>45715</v>
      </c>
      <c r="C1953" s="22">
        <v>2025</v>
      </c>
      <c r="D1953" s="23">
        <v>2</v>
      </c>
      <c r="E1953" s="24">
        <v>27</v>
      </c>
      <c r="F1953" s="42" t="s">
        <v>498</v>
      </c>
      <c r="G1953" s="42" t="s">
        <v>11</v>
      </c>
      <c r="H1953" s="42" t="s">
        <v>99</v>
      </c>
      <c r="I1953" s="42" t="s">
        <v>11</v>
      </c>
      <c r="J1953" s="10">
        <v>-160000</v>
      </c>
      <c r="K1953" s="7">
        <v>160000</v>
      </c>
      <c r="L1953" s="1" t="s">
        <v>1338</v>
      </c>
      <c r="M1953" s="2" t="s">
        <v>1374</v>
      </c>
    </row>
    <row r="1954" spans="1:13">
      <c r="A1954" s="21" t="str">
        <f>TEXT(TEXT(B1954,"yyyymmdd"),"00000000")&amp;TEXT(COUNTIF($B$2:B1954,B1954),"00")</f>
        <v>2025022801</v>
      </c>
      <c r="B1954" s="21">
        <f t="shared" ref="B1954" si="564">DATE(C1954,D1954,E1954)</f>
        <v>45716</v>
      </c>
      <c r="C1954" s="22">
        <v>2025</v>
      </c>
      <c r="D1954" s="23">
        <v>2</v>
      </c>
      <c r="E1954" s="24">
        <v>28</v>
      </c>
      <c r="F1954" s="42" t="s">
        <v>1351</v>
      </c>
      <c r="G1954" s="42" t="s">
        <v>170</v>
      </c>
      <c r="H1954" s="42" t="s">
        <v>155</v>
      </c>
      <c r="I1954" s="42" t="s">
        <v>156</v>
      </c>
      <c r="J1954" s="10">
        <v>8280</v>
      </c>
      <c r="K1954" s="7">
        <v>-8280</v>
      </c>
      <c r="L1954" s="1" t="s">
        <v>387</v>
      </c>
    </row>
    <row r="1955" spans="1:13">
      <c r="A1955" s="21" t="str">
        <f>TEXT(TEXT(B1955,"yyyymmdd"),"00000000")&amp;TEXT(COUNTIF($B$2:B1955,B1955),"00")</f>
        <v>2025022802</v>
      </c>
      <c r="B1955" s="21">
        <f t="shared" ref="B1955" si="565">DATE(C1955,D1955,E1955)</f>
        <v>45716</v>
      </c>
      <c r="C1955" s="22">
        <v>2025</v>
      </c>
      <c r="D1955" s="23">
        <v>2</v>
      </c>
      <c r="E1955" s="24">
        <v>28</v>
      </c>
      <c r="F1955" s="42" t="s">
        <v>17</v>
      </c>
      <c r="G1955" s="42" t="s">
        <v>7</v>
      </c>
      <c r="H1955" s="42" t="s">
        <v>116</v>
      </c>
      <c r="I1955" s="42" t="s">
        <v>217</v>
      </c>
      <c r="J1955" s="10">
        <v>9000</v>
      </c>
      <c r="K1955" s="7">
        <v>-9000</v>
      </c>
      <c r="L1955" s="1" t="s">
        <v>586</v>
      </c>
    </row>
    <row r="1956" spans="1:13">
      <c r="A1956" s="21" t="str">
        <f>TEXT(TEXT(B1956,"yyyymmdd"),"00000000")&amp;TEXT(COUNTIF($B$2:B1956,B1956),"00")</f>
        <v>2025022803</v>
      </c>
      <c r="B1956" s="21">
        <f t="shared" ref="B1956" si="566">DATE(C1956,D1956,E1956)</f>
        <v>45716</v>
      </c>
      <c r="C1956" s="22">
        <v>2025</v>
      </c>
      <c r="D1956" s="23">
        <v>2</v>
      </c>
      <c r="E1956" s="24">
        <v>28</v>
      </c>
      <c r="F1956" s="42" t="s">
        <v>17</v>
      </c>
      <c r="G1956" s="42" t="s">
        <v>7</v>
      </c>
      <c r="H1956" s="42" t="s">
        <v>138</v>
      </c>
      <c r="I1956" s="42" t="s">
        <v>139</v>
      </c>
      <c r="J1956" s="10">
        <v>14550</v>
      </c>
      <c r="K1956" s="7">
        <v>-14550</v>
      </c>
      <c r="L1956" s="1" t="s">
        <v>1375</v>
      </c>
    </row>
    <row r="1957" spans="1:13">
      <c r="A1957" s="21" t="str">
        <f>TEXT(TEXT(B1957,"yyyymmdd"),"00000000")&amp;TEXT(COUNTIF($B$2:B1957,B1957),"00")</f>
        <v>2025022804</v>
      </c>
      <c r="B1957" s="21">
        <f t="shared" ref="B1957" si="567">DATE(C1957,D1957,E1957)</f>
        <v>45716</v>
      </c>
      <c r="C1957" s="22">
        <v>2025</v>
      </c>
      <c r="D1957" s="23">
        <v>2</v>
      </c>
      <c r="E1957" s="24">
        <v>28</v>
      </c>
      <c r="F1957" s="42" t="s">
        <v>17</v>
      </c>
      <c r="G1957" s="42" t="s">
        <v>7</v>
      </c>
      <c r="H1957" s="42" t="s">
        <v>167</v>
      </c>
      <c r="I1957" s="42" t="s">
        <v>214</v>
      </c>
      <c r="J1957" s="10">
        <v>4900</v>
      </c>
      <c r="K1957" s="7">
        <v>-4900</v>
      </c>
      <c r="L1957" s="1" t="s">
        <v>1376</v>
      </c>
      <c r="M1957" s="2" t="s">
        <v>1377</v>
      </c>
    </row>
    <row r="1958" spans="1:13">
      <c r="A1958" s="21" t="str">
        <f>TEXT(TEXT(B1958,"yyyymmdd"),"00000000")&amp;TEXT(COUNTIF($B$2:B1958,B1958),"00")</f>
        <v>2025022805</v>
      </c>
      <c r="B1958" s="21">
        <f t="shared" ref="B1958" si="568">DATE(C1958,D1958,E1958)</f>
        <v>45716</v>
      </c>
      <c r="C1958" s="22">
        <v>2025</v>
      </c>
      <c r="D1958" s="23">
        <v>2</v>
      </c>
      <c r="E1958" s="24">
        <v>28</v>
      </c>
      <c r="F1958" s="42" t="s">
        <v>17</v>
      </c>
      <c r="G1958" s="42" t="s">
        <v>7</v>
      </c>
      <c r="H1958" s="42" t="s">
        <v>110</v>
      </c>
      <c r="I1958" s="42" t="s">
        <v>374</v>
      </c>
      <c r="J1958" s="10">
        <v>9900</v>
      </c>
      <c r="K1958" s="7">
        <v>-9900</v>
      </c>
      <c r="L1958" s="1" t="s">
        <v>1079</v>
      </c>
    </row>
    <row r="1959" spans="1:13">
      <c r="A1959" s="21" t="str">
        <f>TEXT(TEXT(B1959,"yyyymmdd"),"00000000")&amp;TEXT(COUNTIF($B$2:B1959,B1959),"00")</f>
        <v>2025022806</v>
      </c>
      <c r="B1959" s="21">
        <f t="shared" ref="B1959" si="569">DATE(C1959,D1959,E1959)</f>
        <v>45716</v>
      </c>
      <c r="C1959" s="22">
        <v>2025</v>
      </c>
      <c r="D1959" s="23">
        <v>2</v>
      </c>
      <c r="E1959" s="24">
        <v>28</v>
      </c>
      <c r="F1959" s="42" t="s">
        <v>1351</v>
      </c>
      <c r="G1959" s="42" t="s">
        <v>170</v>
      </c>
      <c r="H1959" s="42" t="s">
        <v>155</v>
      </c>
      <c r="I1959" s="42" t="s">
        <v>156</v>
      </c>
      <c r="J1959" s="10">
        <v>8027</v>
      </c>
      <c r="K1959" s="7">
        <v>-8027</v>
      </c>
      <c r="L1959" s="1" t="s">
        <v>387</v>
      </c>
    </row>
    <row r="1960" spans="1:13">
      <c r="A1960" s="21" t="str">
        <f>TEXT(TEXT(B1960,"yyyymmdd"),"00000000")&amp;TEXT(COUNTIF($B$2:B1960,B1960),"00")</f>
        <v>2025030101</v>
      </c>
      <c r="B1960" s="21">
        <f t="shared" ref="B1960" si="570">DATE(C1960,D1960,E1960)</f>
        <v>45717</v>
      </c>
      <c r="C1960" s="22">
        <v>2025</v>
      </c>
      <c r="D1960" s="23">
        <v>3</v>
      </c>
      <c r="E1960" s="24">
        <v>1</v>
      </c>
      <c r="F1960" s="42" t="s">
        <v>17</v>
      </c>
      <c r="G1960" s="42" t="s">
        <v>151</v>
      </c>
      <c r="H1960" s="42" t="s">
        <v>151</v>
      </c>
      <c r="I1960" s="42" t="s">
        <v>152</v>
      </c>
      <c r="J1960" s="10">
        <v>-600000</v>
      </c>
      <c r="K1960" s="7">
        <v>600000</v>
      </c>
      <c r="L1960" s="1" t="s">
        <v>252</v>
      </c>
      <c r="M1960" s="2" t="s">
        <v>1009</v>
      </c>
    </row>
    <row r="1961" spans="1:13">
      <c r="A1961" s="21" t="str">
        <f>TEXT(TEXT(B1961,"yyyymmdd"),"00000000")&amp;TEXT(COUNTIF($B$2:B1961,B1961),"00")</f>
        <v>2025030102</v>
      </c>
      <c r="B1961" s="21">
        <f t="shared" ref="B1961" si="571">DATE(C1961,D1961,E1961)</f>
        <v>45717</v>
      </c>
      <c r="C1961" s="22">
        <v>2025</v>
      </c>
      <c r="D1961" s="23">
        <v>3</v>
      </c>
      <c r="E1961" s="24">
        <v>1</v>
      </c>
      <c r="F1961" s="42" t="s">
        <v>17</v>
      </c>
      <c r="G1961" s="42" t="s">
        <v>13</v>
      </c>
      <c r="H1961" s="42" t="s">
        <v>113</v>
      </c>
      <c r="I1961" s="42" t="s">
        <v>171</v>
      </c>
      <c r="J1961" s="10">
        <v>15000</v>
      </c>
      <c r="K1961" s="7">
        <v>-15000</v>
      </c>
      <c r="L1961" s="1" t="s">
        <v>502</v>
      </c>
    </row>
    <row r="1962" spans="1:13">
      <c r="A1962" s="21" t="str">
        <f>TEXT(TEXT(B1962,"yyyymmdd"),"00000000")&amp;TEXT(COUNTIF($B$2:B1962,B1962),"00")</f>
        <v>2025030201</v>
      </c>
      <c r="B1962" s="21">
        <f t="shared" ref="B1962" si="572">DATE(C1962,D1962,E1962)</f>
        <v>45718</v>
      </c>
      <c r="C1962" s="22">
        <v>2025</v>
      </c>
      <c r="D1962" s="23">
        <v>3</v>
      </c>
      <c r="E1962" s="24">
        <v>2</v>
      </c>
      <c r="F1962" s="42" t="s">
        <v>17</v>
      </c>
      <c r="G1962" s="42" t="s">
        <v>13</v>
      </c>
      <c r="H1962" s="42" t="s">
        <v>138</v>
      </c>
      <c r="I1962" s="42" t="s">
        <v>139</v>
      </c>
      <c r="J1962" s="10">
        <v>8500</v>
      </c>
      <c r="K1962" s="7">
        <v>-8500</v>
      </c>
      <c r="L1962" s="1" t="s">
        <v>680</v>
      </c>
    </row>
    <row r="1963" spans="1:13">
      <c r="A1963" s="21" t="str">
        <f>TEXT(TEXT(B1963,"yyyymmdd"),"00000000")&amp;TEXT(COUNTIF($B$2:B1963,B1963),"00")</f>
        <v>2025030401</v>
      </c>
      <c r="B1963" s="21">
        <f t="shared" ref="B1963" si="573">DATE(C1963,D1963,E1963)</f>
        <v>45720</v>
      </c>
      <c r="C1963" s="22">
        <v>2025</v>
      </c>
      <c r="D1963" s="23">
        <v>3</v>
      </c>
      <c r="E1963" s="24">
        <v>4</v>
      </c>
      <c r="F1963" s="42" t="s">
        <v>17</v>
      </c>
      <c r="G1963" s="42" t="s">
        <v>7</v>
      </c>
      <c r="H1963" s="42" t="s">
        <v>116</v>
      </c>
      <c r="I1963" s="42" t="s">
        <v>217</v>
      </c>
      <c r="J1963" s="10">
        <v>4500</v>
      </c>
      <c r="K1963" s="7">
        <v>-4500</v>
      </c>
      <c r="L1963" s="1" t="s">
        <v>1182</v>
      </c>
    </row>
    <row r="1964" spans="1:13">
      <c r="A1964" s="21" t="str">
        <f>TEXT(TEXT(B1964,"yyyymmdd"),"00000000")&amp;TEXT(COUNTIF($B$2:B1964,B1964),"00")</f>
        <v>2025030402</v>
      </c>
      <c r="B1964" s="21">
        <f t="shared" ref="B1964" si="574">DATE(C1964,D1964,E1964)</f>
        <v>45720</v>
      </c>
      <c r="C1964" s="22">
        <v>2025</v>
      </c>
      <c r="D1964" s="23">
        <v>3</v>
      </c>
      <c r="E1964" s="24">
        <v>4</v>
      </c>
      <c r="F1964" s="42" t="s">
        <v>17</v>
      </c>
      <c r="G1964" s="42" t="s">
        <v>7</v>
      </c>
      <c r="H1964" s="42" t="s">
        <v>167</v>
      </c>
      <c r="I1964" s="42" t="s">
        <v>608</v>
      </c>
      <c r="J1964" s="10">
        <v>4050</v>
      </c>
      <c r="K1964" s="7">
        <v>-4050</v>
      </c>
      <c r="L1964" s="1" t="s">
        <v>619</v>
      </c>
      <c r="M1964" s="2" t="s">
        <v>1378</v>
      </c>
    </row>
    <row r="1965" spans="1:13">
      <c r="A1965" s="21" t="str">
        <f>TEXT(TEXT(B1965,"yyyymmdd"),"00000000")&amp;TEXT(COUNTIF($B$2:B1965,B1965),"00")</f>
        <v>2025030403</v>
      </c>
      <c r="B1965" s="21">
        <f t="shared" ref="B1965" si="575">DATE(C1965,D1965,E1965)</f>
        <v>45720</v>
      </c>
      <c r="C1965" s="22">
        <v>2025</v>
      </c>
      <c r="D1965" s="23">
        <v>3</v>
      </c>
      <c r="E1965" s="24">
        <v>4</v>
      </c>
      <c r="F1965" s="42" t="s">
        <v>17</v>
      </c>
      <c r="G1965" s="42" t="s">
        <v>11</v>
      </c>
      <c r="H1965" s="42" t="s">
        <v>99</v>
      </c>
      <c r="I1965" s="42" t="s">
        <v>11</v>
      </c>
      <c r="J1965" s="10">
        <v>-13000</v>
      </c>
      <c r="K1965" s="7">
        <v>13000</v>
      </c>
      <c r="L1965" s="1" t="s">
        <v>1020</v>
      </c>
      <c r="M1965" s="2" t="s">
        <v>1379</v>
      </c>
    </row>
    <row r="1966" spans="1:13">
      <c r="A1966" s="21" t="str">
        <f>TEXT(TEXT(B1966,"yyyymmdd"),"00000000")&amp;TEXT(COUNTIF($B$2:B1966,B1966),"00")</f>
        <v>2025030501</v>
      </c>
      <c r="B1966" s="21">
        <f t="shared" ref="B1966" si="576">DATE(C1966,D1966,E1966)</f>
        <v>45721</v>
      </c>
      <c r="C1966" s="22">
        <v>2025</v>
      </c>
      <c r="D1966" s="23">
        <v>3</v>
      </c>
      <c r="E1966" s="24">
        <v>5</v>
      </c>
      <c r="F1966" s="42" t="s">
        <v>17</v>
      </c>
      <c r="G1966" s="42" t="s">
        <v>13</v>
      </c>
      <c r="H1966" s="42" t="s">
        <v>138</v>
      </c>
      <c r="I1966" s="42" t="s">
        <v>139</v>
      </c>
      <c r="J1966" s="10">
        <v>9000</v>
      </c>
      <c r="K1966" s="7">
        <v>-9000</v>
      </c>
      <c r="L1966" s="1" t="s">
        <v>779</v>
      </c>
    </row>
    <row r="1967" spans="1:13">
      <c r="A1967" s="21" t="str">
        <f>TEXT(TEXT(B1967,"yyyymmdd"),"00000000")&amp;TEXT(COUNTIF($B$2:B1967,B1967),"00")</f>
        <v>2025030502</v>
      </c>
      <c r="B1967" s="21">
        <f t="shared" ref="B1967" si="577">DATE(C1967,D1967,E1967)</f>
        <v>45721</v>
      </c>
      <c r="C1967" s="22">
        <v>2025</v>
      </c>
      <c r="D1967" s="23">
        <v>3</v>
      </c>
      <c r="E1967" s="24">
        <v>5</v>
      </c>
      <c r="F1967" s="42" t="s">
        <v>17</v>
      </c>
      <c r="G1967" s="42" t="s">
        <v>13</v>
      </c>
      <c r="H1967" s="42" t="s">
        <v>138</v>
      </c>
      <c r="I1967" s="42" t="s">
        <v>139</v>
      </c>
      <c r="J1967" s="10">
        <v>8000</v>
      </c>
      <c r="K1967" s="7">
        <v>-8000</v>
      </c>
      <c r="L1967" s="1" t="s">
        <v>685</v>
      </c>
    </row>
    <row r="1968" spans="1:13">
      <c r="A1968" s="21" t="str">
        <f>TEXT(TEXT(B1968,"yyyymmdd"),"00000000")&amp;TEXT(COUNTIF($B$2:B1968,B1968),"00")</f>
        <v>2025030503</v>
      </c>
      <c r="B1968" s="21">
        <f t="shared" ref="B1968" si="578">DATE(C1968,D1968,E1968)</f>
        <v>45721</v>
      </c>
      <c r="C1968" s="22">
        <v>2025</v>
      </c>
      <c r="D1968" s="23">
        <v>3</v>
      </c>
      <c r="E1968" s="24">
        <v>5</v>
      </c>
      <c r="F1968" s="42" t="s">
        <v>1351</v>
      </c>
      <c r="G1968" s="42" t="s">
        <v>170</v>
      </c>
      <c r="H1968" s="42" t="s">
        <v>155</v>
      </c>
      <c r="I1968" s="42" t="s">
        <v>156</v>
      </c>
      <c r="J1968" s="10">
        <v>73</v>
      </c>
      <c r="K1968" s="7">
        <v>-73</v>
      </c>
      <c r="L1968" s="1" t="s">
        <v>1392</v>
      </c>
    </row>
    <row r="1969" spans="1:13">
      <c r="A1969" s="21" t="str">
        <f>TEXT(TEXT(B1969,"yyyymmdd"),"00000000")&amp;TEXT(COUNTIF($B$2:B1969,B1969),"00")</f>
        <v>2025030504</v>
      </c>
      <c r="B1969" s="21">
        <f t="shared" ref="B1969" si="579">DATE(C1969,D1969,E1969)</f>
        <v>45721</v>
      </c>
      <c r="C1969" s="22">
        <v>2025</v>
      </c>
      <c r="D1969" s="23">
        <v>3</v>
      </c>
      <c r="E1969" s="24">
        <v>5</v>
      </c>
      <c r="F1969" s="42" t="s">
        <v>17</v>
      </c>
      <c r="G1969" s="42" t="s">
        <v>7</v>
      </c>
      <c r="H1969" s="42" t="s">
        <v>167</v>
      </c>
      <c r="I1969" s="42" t="s">
        <v>168</v>
      </c>
      <c r="J1969" s="10">
        <v>12500</v>
      </c>
      <c r="K1969" s="7">
        <v>-12500</v>
      </c>
      <c r="L1969" s="1" t="s">
        <v>532</v>
      </c>
    </row>
    <row r="1970" spans="1:13">
      <c r="A1970" s="21" t="str">
        <f>TEXT(TEXT(B1970,"yyyymmdd"),"00000000")&amp;TEXT(COUNTIF($B$2:B1970,B1970),"00")</f>
        <v>2025030601</v>
      </c>
      <c r="B1970" s="21">
        <f t="shared" ref="B1970" si="580">DATE(C1970,D1970,E1970)</f>
        <v>45722</v>
      </c>
      <c r="C1970" s="22">
        <v>2025</v>
      </c>
      <c r="D1970" s="23">
        <v>3</v>
      </c>
      <c r="E1970" s="24">
        <v>6</v>
      </c>
      <c r="F1970" s="42" t="s">
        <v>17</v>
      </c>
      <c r="G1970" s="42" t="s">
        <v>7</v>
      </c>
      <c r="H1970" s="42" t="s">
        <v>173</v>
      </c>
      <c r="I1970" s="42" t="s">
        <v>207</v>
      </c>
      <c r="J1970" s="10">
        <v>34960</v>
      </c>
      <c r="K1970" s="7">
        <v>-34960</v>
      </c>
      <c r="L1970" s="1" t="s">
        <v>208</v>
      </c>
    </row>
    <row r="1971" spans="1:13">
      <c r="A1971" s="21" t="str">
        <f>TEXT(TEXT(B1971,"yyyymmdd"),"00000000")&amp;TEXT(COUNTIF($B$2:B1971,B1971),"00")</f>
        <v>2025030602</v>
      </c>
      <c r="B1971" s="21">
        <f t="shared" ref="B1971" si="581">DATE(C1971,D1971,E1971)</f>
        <v>45722</v>
      </c>
      <c r="C1971" s="22">
        <v>2025</v>
      </c>
      <c r="D1971" s="23">
        <v>3</v>
      </c>
      <c r="E1971" s="24">
        <v>6</v>
      </c>
      <c r="F1971" s="42" t="s">
        <v>17</v>
      </c>
      <c r="G1971" s="42" t="s">
        <v>7</v>
      </c>
      <c r="H1971" s="42" t="s">
        <v>167</v>
      </c>
      <c r="I1971" s="42" t="s">
        <v>168</v>
      </c>
      <c r="J1971" s="10">
        <v>12970</v>
      </c>
      <c r="K1971" s="7">
        <v>-12970</v>
      </c>
      <c r="L1971" s="1" t="s">
        <v>532</v>
      </c>
    </row>
    <row r="1972" spans="1:13">
      <c r="A1972" s="21" t="str">
        <f>TEXT(TEXT(B1972,"yyyymmdd"),"00000000")&amp;TEXT(COUNTIF($B$2:B1972,B1972),"00")</f>
        <v>2025030801</v>
      </c>
      <c r="B1972" s="21">
        <f t="shared" ref="B1972" si="582">DATE(C1972,D1972,E1972)</f>
        <v>45724</v>
      </c>
      <c r="C1972" s="22">
        <v>2025</v>
      </c>
      <c r="D1972" s="23">
        <v>3</v>
      </c>
      <c r="E1972" s="24">
        <v>8</v>
      </c>
      <c r="F1972" s="42" t="s">
        <v>17</v>
      </c>
      <c r="G1972" s="42" t="s">
        <v>7</v>
      </c>
      <c r="H1972" s="42" t="s">
        <v>138</v>
      </c>
      <c r="I1972" s="42" t="s">
        <v>139</v>
      </c>
      <c r="J1972" s="10">
        <v>77777</v>
      </c>
      <c r="K1972" s="7">
        <v>-77777</v>
      </c>
      <c r="L1972" s="1" t="s">
        <v>1380</v>
      </c>
    </row>
    <row r="1973" spans="1:13">
      <c r="A1973" s="21" t="str">
        <f>TEXT(TEXT(B1973,"yyyymmdd"),"00000000")&amp;TEXT(COUNTIF($B$2:B1973,B1973),"00")</f>
        <v>2025030901</v>
      </c>
      <c r="B1973" s="21">
        <f t="shared" ref="B1973" si="583">DATE(C1973,D1973,E1973)</f>
        <v>45725</v>
      </c>
      <c r="C1973" s="22">
        <v>2025</v>
      </c>
      <c r="D1973" s="23">
        <v>3</v>
      </c>
      <c r="E1973" s="24">
        <v>9</v>
      </c>
      <c r="F1973" s="42" t="s">
        <v>17</v>
      </c>
      <c r="G1973" s="42" t="s">
        <v>135</v>
      </c>
      <c r="H1973" s="42" t="s">
        <v>135</v>
      </c>
      <c r="I1973" s="42" t="s">
        <v>152</v>
      </c>
      <c r="J1973" s="10">
        <v>-200000</v>
      </c>
      <c r="K1973" s="7">
        <v>200000</v>
      </c>
      <c r="L1973" s="1" t="s">
        <v>1381</v>
      </c>
    </row>
    <row r="1974" spans="1:13">
      <c r="A1974" s="21" t="str">
        <f>TEXT(TEXT(B1974,"yyyymmdd"),"00000000")&amp;TEXT(COUNTIF($B$2:B1974,B1974),"00")</f>
        <v>2025030902</v>
      </c>
      <c r="B1974" s="21">
        <f t="shared" ref="B1974" si="584">DATE(C1974,D1974,E1974)</f>
        <v>45725</v>
      </c>
      <c r="C1974" s="22">
        <v>2025</v>
      </c>
      <c r="D1974" s="23">
        <v>3</v>
      </c>
      <c r="E1974" s="24">
        <v>9</v>
      </c>
      <c r="F1974" s="42" t="s">
        <v>17</v>
      </c>
      <c r="G1974" s="42" t="s">
        <v>170</v>
      </c>
      <c r="H1974" s="42" t="s">
        <v>114</v>
      </c>
      <c r="I1974" s="42" t="s">
        <v>1007</v>
      </c>
      <c r="J1974" s="10">
        <v>55700</v>
      </c>
      <c r="K1974" s="7">
        <v>-55700</v>
      </c>
      <c r="L1974" s="1" t="s">
        <v>1023</v>
      </c>
    </row>
    <row r="1975" spans="1:13">
      <c r="A1975" s="21" t="str">
        <f>TEXT(TEXT(B1975,"yyyymmdd"),"00000000")&amp;TEXT(COUNTIF($B$2:B1975,B1975),"00")</f>
        <v>2025031101</v>
      </c>
      <c r="B1975" s="21">
        <f t="shared" ref="B1975" si="585">DATE(C1975,D1975,E1975)</f>
        <v>45727</v>
      </c>
      <c r="C1975" s="22">
        <v>2025</v>
      </c>
      <c r="D1975" s="23">
        <v>3</v>
      </c>
      <c r="E1975" s="24">
        <v>11</v>
      </c>
      <c r="F1975" s="42" t="s">
        <v>17</v>
      </c>
      <c r="G1975" s="42" t="s">
        <v>7</v>
      </c>
      <c r="H1975" s="42" t="s">
        <v>167</v>
      </c>
      <c r="I1975" s="42" t="s">
        <v>168</v>
      </c>
      <c r="J1975" s="10">
        <v>5420</v>
      </c>
      <c r="K1975" s="7">
        <v>-5420</v>
      </c>
      <c r="L1975" s="1" t="s">
        <v>532</v>
      </c>
    </row>
    <row r="1976" spans="1:13">
      <c r="A1976" s="21" t="str">
        <f>TEXT(TEXT(B1976,"yyyymmdd"),"00000000")&amp;TEXT(COUNTIF($B$2:B1976,B1976),"00")</f>
        <v>2025031201</v>
      </c>
      <c r="B1976" s="21">
        <f t="shared" ref="B1976:B1977" si="586">DATE(C1976,D1976,E1976)</f>
        <v>45728</v>
      </c>
      <c r="C1976" s="22">
        <v>2025</v>
      </c>
      <c r="D1976" s="23">
        <v>3</v>
      </c>
      <c r="E1976" s="24">
        <v>12</v>
      </c>
      <c r="F1976" s="42" t="s">
        <v>17</v>
      </c>
      <c r="G1976" s="42" t="s">
        <v>11</v>
      </c>
      <c r="H1976" s="42" t="s">
        <v>99</v>
      </c>
      <c r="I1976" s="42" t="s">
        <v>94</v>
      </c>
      <c r="J1976" s="10">
        <v>10000</v>
      </c>
      <c r="K1976" s="7">
        <v>-10000</v>
      </c>
      <c r="L1976" s="1" t="s">
        <v>1382</v>
      </c>
    </row>
    <row r="1977" spans="1:13">
      <c r="A1977" s="21" t="str">
        <f>TEXT(TEXT(B1977,"yyyymmdd"),"00000000")&amp;TEXT(COUNTIF($B$2:B1977,B1977),"00")</f>
        <v>2025031202</v>
      </c>
      <c r="B1977" s="21">
        <f t="shared" si="586"/>
        <v>45728</v>
      </c>
      <c r="C1977" s="22">
        <v>2025</v>
      </c>
      <c r="D1977" s="23">
        <v>3</v>
      </c>
      <c r="E1977" s="24">
        <v>12</v>
      </c>
      <c r="F1977" s="42" t="s">
        <v>1351</v>
      </c>
      <c r="G1977" s="42" t="s">
        <v>11</v>
      </c>
      <c r="H1977" s="42" t="s">
        <v>99</v>
      </c>
      <c r="I1977" s="42" t="s">
        <v>94</v>
      </c>
      <c r="J1977" s="10">
        <v>-10000</v>
      </c>
      <c r="K1977" s="7">
        <v>10000</v>
      </c>
      <c r="L1977" s="1" t="s">
        <v>1382</v>
      </c>
    </row>
    <row r="1978" spans="1:13">
      <c r="A1978" s="21" t="str">
        <f>TEXT(TEXT(B1978,"yyyymmdd"),"00000000")&amp;TEXT(COUNTIF($B$2:B1978,B1978),"00")</f>
        <v>2025031301</v>
      </c>
      <c r="B1978" s="21">
        <f t="shared" ref="B1978" si="587">DATE(C1978,D1978,E1978)</f>
        <v>45729</v>
      </c>
      <c r="C1978" s="22">
        <v>2025</v>
      </c>
      <c r="D1978" s="23">
        <v>3</v>
      </c>
      <c r="E1978" s="24">
        <v>13</v>
      </c>
      <c r="F1978" s="42" t="s">
        <v>17</v>
      </c>
      <c r="G1978" s="42" t="s">
        <v>7</v>
      </c>
      <c r="H1978" s="42" t="s">
        <v>110</v>
      </c>
      <c r="I1978" s="42" t="s">
        <v>124</v>
      </c>
      <c r="J1978" s="10">
        <v>7300</v>
      </c>
      <c r="K1978" s="7">
        <v>-7300</v>
      </c>
      <c r="L1978" s="1" t="s">
        <v>1282</v>
      </c>
    </row>
    <row r="1979" spans="1:13">
      <c r="A1979" s="21" t="str">
        <f>TEXT(TEXT(B1979,"yyyymmdd"),"00000000")&amp;TEXT(COUNTIF($B$2:B1979,B1979),"00")</f>
        <v>2025031401</v>
      </c>
      <c r="B1979" s="21">
        <f t="shared" ref="B1979" si="588">DATE(C1979,D1979,E1979)</f>
        <v>45730</v>
      </c>
      <c r="C1979" s="22">
        <v>2025</v>
      </c>
      <c r="D1979" s="23">
        <v>3</v>
      </c>
      <c r="E1979" s="24">
        <v>14</v>
      </c>
      <c r="F1979" s="42" t="s">
        <v>17</v>
      </c>
      <c r="G1979" s="42" t="s">
        <v>7</v>
      </c>
      <c r="H1979" s="42" t="s">
        <v>110</v>
      </c>
      <c r="I1979" s="42" t="s">
        <v>120</v>
      </c>
      <c r="J1979" s="10">
        <v>1800</v>
      </c>
      <c r="K1979" s="7">
        <v>-1800</v>
      </c>
      <c r="L1979" s="1" t="s">
        <v>480</v>
      </c>
    </row>
    <row r="1980" spans="1:13">
      <c r="A1980" s="21" t="str">
        <f>TEXT(TEXT(B1980,"yyyymmdd"),"00000000")&amp;TEXT(COUNTIF($B$2:B1980,B1980),"00")</f>
        <v>2025031402</v>
      </c>
      <c r="B1980" s="21">
        <f t="shared" ref="B1980" si="589">DATE(C1980,D1980,E1980)</f>
        <v>45730</v>
      </c>
      <c r="C1980" s="22">
        <v>2025</v>
      </c>
      <c r="D1980" s="23">
        <v>3</v>
      </c>
      <c r="E1980" s="24">
        <v>14</v>
      </c>
      <c r="F1980" s="42" t="s">
        <v>17</v>
      </c>
      <c r="G1980" s="42" t="s">
        <v>7</v>
      </c>
      <c r="H1980" s="42" t="s">
        <v>110</v>
      </c>
      <c r="I1980" s="42" t="s">
        <v>122</v>
      </c>
      <c r="J1980" s="10">
        <v>1600</v>
      </c>
      <c r="K1980" s="7">
        <v>-1600</v>
      </c>
      <c r="L1980" s="1" t="s">
        <v>1383</v>
      </c>
    </row>
    <row r="1981" spans="1:13">
      <c r="A1981" s="21" t="str">
        <f>TEXT(TEXT(B1981,"yyyymmdd"),"00000000")&amp;TEXT(COUNTIF($B$2:B1981,B1981),"00")</f>
        <v>2025031403</v>
      </c>
      <c r="B1981" s="21">
        <f t="shared" ref="B1981" si="590">DATE(C1981,D1981,E1981)</f>
        <v>45730</v>
      </c>
      <c r="C1981" s="22">
        <v>2025</v>
      </c>
      <c r="D1981" s="23">
        <v>3</v>
      </c>
      <c r="E1981" s="24">
        <v>14</v>
      </c>
      <c r="F1981" s="42" t="s">
        <v>17</v>
      </c>
      <c r="G1981" s="42" t="s">
        <v>7</v>
      </c>
      <c r="H1981" s="42" t="s">
        <v>110</v>
      </c>
      <c r="I1981" s="42" t="s">
        <v>122</v>
      </c>
      <c r="J1981" s="10">
        <v>8600</v>
      </c>
      <c r="K1981" s="7">
        <v>-8600</v>
      </c>
      <c r="L1981" s="1" t="s">
        <v>1384</v>
      </c>
    </row>
    <row r="1982" spans="1:13">
      <c r="A1982" s="21" t="str">
        <f>TEXT(TEXT(B1982,"yyyymmdd"),"00000000")&amp;TEXT(COUNTIF($B$2:B1982,B1982),"00")</f>
        <v>2025031404</v>
      </c>
      <c r="B1982" s="21">
        <f t="shared" ref="B1982" si="591">DATE(C1982,D1982,E1982)</f>
        <v>45730</v>
      </c>
      <c r="C1982" s="22">
        <v>2025</v>
      </c>
      <c r="D1982" s="23">
        <v>3</v>
      </c>
      <c r="E1982" s="24">
        <v>14</v>
      </c>
      <c r="F1982" s="42" t="s">
        <v>17</v>
      </c>
      <c r="G1982" s="42" t="s">
        <v>7</v>
      </c>
      <c r="H1982" s="42" t="s">
        <v>167</v>
      </c>
      <c r="I1982" s="42" t="s">
        <v>168</v>
      </c>
      <c r="J1982" s="10">
        <v>7600</v>
      </c>
      <c r="K1982" s="7">
        <v>-7600</v>
      </c>
      <c r="L1982" s="1" t="s">
        <v>748</v>
      </c>
    </row>
    <row r="1983" spans="1:13">
      <c r="A1983" s="21" t="str">
        <f>TEXT(TEXT(B1983,"yyyymmdd"),"00000000")&amp;TEXT(COUNTIF($B$2:B1983,B1983),"00")</f>
        <v>2025031501</v>
      </c>
      <c r="B1983" s="21">
        <f t="shared" ref="B1983" si="592">DATE(C1983,D1983,E1983)</f>
        <v>45731</v>
      </c>
      <c r="C1983" s="22">
        <v>2025</v>
      </c>
      <c r="D1983" s="23">
        <v>3</v>
      </c>
      <c r="E1983" s="24">
        <v>15</v>
      </c>
      <c r="F1983" s="42" t="s">
        <v>17</v>
      </c>
      <c r="G1983" s="42" t="s">
        <v>7</v>
      </c>
      <c r="H1983" s="42" t="s">
        <v>138</v>
      </c>
      <c r="I1983" s="42" t="s">
        <v>139</v>
      </c>
      <c r="J1983" s="10">
        <v>11000</v>
      </c>
      <c r="K1983" s="7">
        <v>-11000</v>
      </c>
      <c r="L1983" s="1" t="s">
        <v>1385</v>
      </c>
      <c r="M1983" s="2" t="s">
        <v>1386</v>
      </c>
    </row>
    <row r="1984" spans="1:13">
      <c r="A1984" s="21" t="str">
        <f>TEXT(TEXT(B1984,"yyyymmdd"),"00000000")&amp;TEXT(COUNTIF($B$2:B1984,B1984),"00")</f>
        <v>2025031502</v>
      </c>
      <c r="B1984" s="21">
        <f t="shared" ref="B1984" si="593">DATE(C1984,D1984,E1984)</f>
        <v>45731</v>
      </c>
      <c r="C1984" s="22">
        <v>2025</v>
      </c>
      <c r="D1984" s="23">
        <v>3</v>
      </c>
      <c r="E1984" s="24">
        <v>15</v>
      </c>
      <c r="F1984" s="42" t="s">
        <v>17</v>
      </c>
      <c r="G1984" s="42" t="s">
        <v>7</v>
      </c>
      <c r="H1984" s="42" t="s">
        <v>110</v>
      </c>
      <c r="I1984" s="42" t="s">
        <v>120</v>
      </c>
      <c r="J1984" s="10">
        <v>6000</v>
      </c>
      <c r="K1984" s="7">
        <v>-6000</v>
      </c>
      <c r="L1984" s="1" t="s">
        <v>1387</v>
      </c>
    </row>
    <row r="1985" spans="1:13">
      <c r="A1985" s="21" t="str">
        <f>TEXT(TEXT(B1985,"yyyymmdd"),"00000000")&amp;TEXT(COUNTIF($B$2:B1985,B1985),"00")</f>
        <v>2025031503</v>
      </c>
      <c r="B1985" s="21">
        <f t="shared" ref="B1985" si="594">DATE(C1985,D1985,E1985)</f>
        <v>45731</v>
      </c>
      <c r="C1985" s="22">
        <v>2025</v>
      </c>
      <c r="D1985" s="23">
        <v>3</v>
      </c>
      <c r="E1985" s="24">
        <v>15</v>
      </c>
      <c r="F1985" s="42" t="s">
        <v>17</v>
      </c>
      <c r="G1985" s="42" t="s">
        <v>7</v>
      </c>
      <c r="H1985" s="42" t="s">
        <v>138</v>
      </c>
      <c r="I1985" s="42" t="s">
        <v>139</v>
      </c>
      <c r="J1985" s="10">
        <v>21000</v>
      </c>
      <c r="K1985" s="7">
        <v>-21000</v>
      </c>
      <c r="L1985" s="1" t="s">
        <v>1388</v>
      </c>
    </row>
    <row r="1986" spans="1:13">
      <c r="A1986" s="21" t="str">
        <f>TEXT(TEXT(B1986,"yyyymmdd"),"00000000")&amp;TEXT(COUNTIF($B$2:B1986,B1986),"00")</f>
        <v>2025031601</v>
      </c>
      <c r="B1986" s="21">
        <f t="shared" ref="B1986" si="595">DATE(C1986,D1986,E1986)</f>
        <v>45732</v>
      </c>
      <c r="C1986" s="22">
        <v>2025</v>
      </c>
      <c r="D1986" s="23">
        <v>3</v>
      </c>
      <c r="E1986" s="24">
        <v>16</v>
      </c>
      <c r="F1986" s="42" t="s">
        <v>17</v>
      </c>
      <c r="G1986" s="42" t="s">
        <v>7</v>
      </c>
      <c r="H1986" s="42" t="s">
        <v>116</v>
      </c>
      <c r="I1986" s="42" t="s">
        <v>217</v>
      </c>
      <c r="J1986" s="10">
        <v>13200</v>
      </c>
      <c r="K1986" s="7">
        <v>-13200</v>
      </c>
      <c r="L1986" s="1" t="s">
        <v>586</v>
      </c>
      <c r="M1986" s="2" t="s">
        <v>1389</v>
      </c>
    </row>
    <row r="1987" spans="1:13">
      <c r="A1987" s="21" t="str">
        <f>TEXT(TEXT(B1987,"yyyymmdd"),"00000000")&amp;TEXT(COUNTIF($B$2:B1987,B1987),"00")</f>
        <v>2025031701</v>
      </c>
      <c r="B1987" s="21">
        <f t="shared" ref="B1987" si="596">DATE(C1987,D1987,E1987)</f>
        <v>45733</v>
      </c>
      <c r="C1987" s="22">
        <v>2025</v>
      </c>
      <c r="D1987" s="23">
        <v>3</v>
      </c>
      <c r="E1987" s="24">
        <v>17</v>
      </c>
      <c r="F1987" s="42" t="s">
        <v>17</v>
      </c>
      <c r="G1987" s="42" t="s">
        <v>7</v>
      </c>
      <c r="H1987" s="42" t="s">
        <v>155</v>
      </c>
      <c r="I1987" s="42" t="s">
        <v>221</v>
      </c>
      <c r="J1987" s="10">
        <v>82000</v>
      </c>
      <c r="K1987" s="7">
        <v>-82000</v>
      </c>
      <c r="L1987" s="1" t="s">
        <v>1038</v>
      </c>
      <c r="M1987" s="2" t="s">
        <v>1390</v>
      </c>
    </row>
    <row r="1988" spans="1:13">
      <c r="A1988" s="21" t="str">
        <f>TEXT(TEXT(B1988,"yyyymmdd"),"00000000")&amp;TEXT(COUNTIF($B$2:B1988,B1988),"00")</f>
        <v>2025031702</v>
      </c>
      <c r="B1988" s="21">
        <f t="shared" ref="B1988" si="597">DATE(C1988,D1988,E1988)</f>
        <v>45733</v>
      </c>
      <c r="C1988" s="22">
        <v>2025</v>
      </c>
      <c r="D1988" s="23">
        <v>3</v>
      </c>
      <c r="E1988" s="24">
        <v>17</v>
      </c>
      <c r="F1988" s="42" t="s">
        <v>17</v>
      </c>
      <c r="G1988" s="42" t="s">
        <v>13</v>
      </c>
      <c r="H1988" s="42" t="s">
        <v>138</v>
      </c>
      <c r="I1988" s="42" t="s">
        <v>139</v>
      </c>
      <c r="J1988" s="10">
        <v>6000</v>
      </c>
      <c r="K1988" s="7">
        <v>-6000</v>
      </c>
      <c r="L1988" s="1" t="s">
        <v>619</v>
      </c>
    </row>
    <row r="1989" spans="1:13">
      <c r="A1989" s="21" t="str">
        <f>TEXT(TEXT(B1989,"yyyymmdd"),"00000000")&amp;TEXT(COUNTIF($B$2:B1989,B1989),"00")</f>
        <v>2025031703</v>
      </c>
      <c r="B1989" s="21">
        <f t="shared" ref="B1989" si="598">DATE(C1989,D1989,E1989)</f>
        <v>45733</v>
      </c>
      <c r="C1989" s="22">
        <v>2025</v>
      </c>
      <c r="D1989" s="23">
        <v>3</v>
      </c>
      <c r="E1989" s="24">
        <v>17</v>
      </c>
      <c r="F1989" s="42" t="s">
        <v>17</v>
      </c>
      <c r="G1989" s="42" t="s">
        <v>13</v>
      </c>
      <c r="H1989" s="42" t="s">
        <v>138</v>
      </c>
      <c r="I1989" s="42" t="s">
        <v>139</v>
      </c>
      <c r="J1989" s="10">
        <v>2500</v>
      </c>
      <c r="K1989" s="7">
        <v>-2500</v>
      </c>
      <c r="L1989" s="1" t="s">
        <v>300</v>
      </c>
    </row>
    <row r="1990" spans="1:13">
      <c r="A1990" s="21" t="str">
        <f>TEXT(TEXT(B1990,"yyyymmdd"),"00000000")&amp;TEXT(COUNTIF($B$2:B1990,B1990),"00")</f>
        <v>2025031704</v>
      </c>
      <c r="B1990" s="21">
        <f t="shared" ref="B1990" si="599">DATE(C1990,D1990,E1990)</f>
        <v>45733</v>
      </c>
      <c r="C1990" s="22">
        <v>2025</v>
      </c>
      <c r="D1990" s="23">
        <v>3</v>
      </c>
      <c r="E1990" s="24">
        <v>17</v>
      </c>
      <c r="F1990" s="42" t="s">
        <v>17</v>
      </c>
      <c r="G1990" s="42" t="s">
        <v>7</v>
      </c>
      <c r="H1990" s="42" t="s">
        <v>167</v>
      </c>
      <c r="I1990" s="42" t="s">
        <v>168</v>
      </c>
      <c r="J1990" s="10">
        <v>8200</v>
      </c>
      <c r="K1990" s="7">
        <v>-8200</v>
      </c>
      <c r="L1990" s="1" t="s">
        <v>532</v>
      </c>
    </row>
    <row r="1991" spans="1:13">
      <c r="A1991" s="21" t="str">
        <f>TEXT(TEXT(B1991,"yyyymmdd"),"00000000")&amp;TEXT(COUNTIF($B$2:B1991,B1991),"00")</f>
        <v>2025031901</v>
      </c>
      <c r="B1991" s="21">
        <f t="shared" ref="B1991" si="600">DATE(C1991,D1991,E1991)</f>
        <v>45735</v>
      </c>
      <c r="C1991" s="22">
        <v>2025</v>
      </c>
      <c r="D1991" s="23">
        <v>3</v>
      </c>
      <c r="E1991" s="24">
        <v>19</v>
      </c>
      <c r="F1991" s="42" t="s">
        <v>17</v>
      </c>
      <c r="G1991" s="42" t="s">
        <v>7</v>
      </c>
      <c r="H1991" s="42" t="s">
        <v>167</v>
      </c>
      <c r="I1991" s="42" t="s">
        <v>168</v>
      </c>
      <c r="J1991" s="10">
        <v>3900</v>
      </c>
      <c r="K1991" s="7">
        <v>-3900</v>
      </c>
      <c r="L1991" s="1" t="s">
        <v>532</v>
      </c>
    </row>
    <row r="1992" spans="1:13">
      <c r="A1992" s="21" t="str">
        <f>TEXT(TEXT(B1992,"yyyymmdd"),"00000000")&amp;TEXT(COUNTIF($B$2:B1992,B1992),"00")</f>
        <v>2025032001</v>
      </c>
      <c r="B1992" s="21">
        <f t="shared" ref="B1992" si="601">DATE(C1992,D1992,E1992)</f>
        <v>45736</v>
      </c>
      <c r="C1992" s="22">
        <v>2025</v>
      </c>
      <c r="D1992" s="23">
        <v>3</v>
      </c>
      <c r="E1992" s="24">
        <v>20</v>
      </c>
      <c r="F1992" s="42" t="s">
        <v>17</v>
      </c>
      <c r="G1992" s="42" t="s">
        <v>170</v>
      </c>
      <c r="H1992" s="42" t="s">
        <v>114</v>
      </c>
      <c r="I1992" s="42" t="s">
        <v>1005</v>
      </c>
      <c r="J1992" s="10">
        <v>26660</v>
      </c>
      <c r="K1992" s="7">
        <v>-26660</v>
      </c>
      <c r="L1992" s="1" t="s">
        <v>1006</v>
      </c>
    </row>
    <row r="1993" spans="1:13">
      <c r="A1993" s="21" t="str">
        <f>TEXT(TEXT(B1993,"yyyymmdd"),"00000000")&amp;TEXT(COUNTIF($B$2:B1993,B1993),"00")</f>
        <v>2025032101</v>
      </c>
      <c r="B1993" s="21">
        <f t="shared" ref="B1993" si="602">DATE(C1993,D1993,E1993)</f>
        <v>45737</v>
      </c>
      <c r="C1993" s="22">
        <v>2025</v>
      </c>
      <c r="D1993" s="23">
        <v>3</v>
      </c>
      <c r="E1993" s="24">
        <v>21</v>
      </c>
      <c r="F1993" s="42" t="s">
        <v>17</v>
      </c>
      <c r="G1993" s="42" t="s">
        <v>135</v>
      </c>
      <c r="H1993" s="42" t="s">
        <v>135</v>
      </c>
      <c r="I1993" s="42" t="s">
        <v>143</v>
      </c>
      <c r="J1993" s="10">
        <v>-10000</v>
      </c>
      <c r="K1993" s="7">
        <v>10000</v>
      </c>
      <c r="L1993" s="1" t="s">
        <v>165</v>
      </c>
    </row>
    <row r="1994" spans="1:13">
      <c r="A1994" s="21" t="str">
        <f>TEXT(TEXT(B1994,"yyyymmdd"),"00000000")&amp;TEXT(COUNTIF($B$2:B1994,B1994),"00")</f>
        <v>2025032102</v>
      </c>
      <c r="B1994" s="21">
        <f t="shared" ref="B1994" si="603">DATE(C1994,D1994,E1994)</f>
        <v>45737</v>
      </c>
      <c r="C1994" s="22">
        <v>2025</v>
      </c>
      <c r="D1994" s="23">
        <v>3</v>
      </c>
      <c r="E1994" s="24">
        <v>21</v>
      </c>
      <c r="F1994" s="42" t="s">
        <v>17</v>
      </c>
      <c r="G1994" s="42" t="s">
        <v>7</v>
      </c>
      <c r="H1994" s="42" t="s">
        <v>138</v>
      </c>
      <c r="I1994" s="42" t="s">
        <v>139</v>
      </c>
      <c r="J1994" s="10">
        <v>30600</v>
      </c>
      <c r="K1994" s="7">
        <v>-30600</v>
      </c>
      <c r="L1994" s="1" t="s">
        <v>1393</v>
      </c>
    </row>
    <row r="1995" spans="1:13">
      <c r="A1995" s="21" t="str">
        <f>TEXT(TEXT(B1995,"yyyymmdd"),"00000000")&amp;TEXT(COUNTIF($B$2:B1995,B1995),"00")</f>
        <v>2025032201</v>
      </c>
      <c r="B1995" s="21">
        <f t="shared" ref="B1995" si="604">DATE(C1995,D1995,E1995)</f>
        <v>45738</v>
      </c>
      <c r="C1995" s="22">
        <v>2025</v>
      </c>
      <c r="D1995" s="23">
        <v>3</v>
      </c>
      <c r="E1995" s="24">
        <v>22</v>
      </c>
      <c r="F1995" s="42" t="s">
        <v>17</v>
      </c>
      <c r="G1995" s="42" t="s">
        <v>7</v>
      </c>
      <c r="H1995" s="42" t="s">
        <v>138</v>
      </c>
      <c r="I1995" s="42" t="s">
        <v>139</v>
      </c>
      <c r="J1995" s="10">
        <v>19000</v>
      </c>
      <c r="K1995" s="7">
        <v>-19000</v>
      </c>
      <c r="L1995" s="1" t="s">
        <v>1394</v>
      </c>
    </row>
    <row r="1996" spans="1:13">
      <c r="A1996" s="21" t="str">
        <f>TEXT(TEXT(B1996,"yyyymmdd"),"00000000")&amp;TEXT(COUNTIF($B$2:B1996,B1996),"00")</f>
        <v>2025032202</v>
      </c>
      <c r="B1996" s="21">
        <f t="shared" ref="B1996" si="605">DATE(C1996,D1996,E1996)</f>
        <v>45738</v>
      </c>
      <c r="C1996" s="22">
        <v>2025</v>
      </c>
      <c r="D1996" s="23">
        <v>3</v>
      </c>
      <c r="E1996" s="24">
        <v>22</v>
      </c>
      <c r="F1996" s="42" t="s">
        <v>17</v>
      </c>
      <c r="G1996" s="42" t="s">
        <v>7</v>
      </c>
      <c r="H1996" s="42" t="s">
        <v>110</v>
      </c>
      <c r="I1996" s="42" t="s">
        <v>124</v>
      </c>
      <c r="J1996" s="10">
        <v>600</v>
      </c>
      <c r="K1996" s="7">
        <v>-600</v>
      </c>
      <c r="L1996" s="1" t="s">
        <v>865</v>
      </c>
    </row>
    <row r="1997" spans="1:13">
      <c r="A1997" s="21" t="str">
        <f>TEXT(TEXT(B1997,"yyyymmdd"),"00000000")&amp;TEXT(COUNTIF($B$2:B1997,B1997),"00")</f>
        <v>2025032301</v>
      </c>
      <c r="B1997" s="21">
        <f t="shared" ref="B1997" si="606">DATE(C1997,D1997,E1997)</f>
        <v>45739</v>
      </c>
      <c r="C1997" s="22">
        <v>2025</v>
      </c>
      <c r="D1997" s="23">
        <v>3</v>
      </c>
      <c r="E1997" s="24">
        <v>23</v>
      </c>
      <c r="F1997" s="42" t="s">
        <v>17</v>
      </c>
      <c r="G1997" s="42" t="s">
        <v>13</v>
      </c>
      <c r="H1997" s="42" t="s">
        <v>167</v>
      </c>
      <c r="I1997" s="42" t="s">
        <v>214</v>
      </c>
      <c r="J1997" s="10">
        <v>33380</v>
      </c>
      <c r="K1997" s="7">
        <v>-33380</v>
      </c>
      <c r="L1997" s="1" t="s">
        <v>957</v>
      </c>
    </row>
    <row r="1998" spans="1:13">
      <c r="A1998" s="21" t="str">
        <f>TEXT(TEXT(B1998,"yyyymmdd"),"00000000")&amp;TEXT(COUNTIF($B$2:B1998,B1998),"00")</f>
        <v>2025032302</v>
      </c>
      <c r="B1998" s="21">
        <f t="shared" ref="B1998" si="607">DATE(C1998,D1998,E1998)</f>
        <v>45739</v>
      </c>
      <c r="C1998" s="22">
        <v>2025</v>
      </c>
      <c r="D1998" s="23">
        <v>3</v>
      </c>
      <c r="E1998" s="24">
        <v>23</v>
      </c>
      <c r="F1998" s="42" t="s">
        <v>17</v>
      </c>
      <c r="G1998" s="42" t="s">
        <v>7</v>
      </c>
      <c r="H1998" s="42" t="s">
        <v>167</v>
      </c>
      <c r="I1998" s="42" t="s">
        <v>214</v>
      </c>
      <c r="J1998" s="10">
        <v>38950</v>
      </c>
      <c r="K1998" s="7">
        <v>-38950</v>
      </c>
      <c r="L1998" s="1" t="s">
        <v>1001</v>
      </c>
    </row>
    <row r="1999" spans="1:13">
      <c r="A1999" s="21" t="str">
        <f>TEXT(TEXT(B1999,"yyyymmdd"),"00000000")&amp;TEXT(COUNTIF($B$2:B1999,B1999),"00")</f>
        <v>2025032501</v>
      </c>
      <c r="B1999" s="21">
        <f t="shared" ref="B1999" si="608">DATE(C1999,D1999,E1999)</f>
        <v>45741</v>
      </c>
      <c r="C1999" s="22">
        <v>2025</v>
      </c>
      <c r="D1999" s="23">
        <v>3</v>
      </c>
      <c r="E1999" s="24">
        <v>25</v>
      </c>
      <c r="F1999" s="42" t="s">
        <v>498</v>
      </c>
      <c r="G1999" s="42" t="s">
        <v>11</v>
      </c>
      <c r="H1999" s="42" t="s">
        <v>99</v>
      </c>
      <c r="I1999" s="42" t="s">
        <v>11</v>
      </c>
      <c r="J1999" s="10">
        <v>-400000</v>
      </c>
      <c r="K1999" s="7">
        <v>400000</v>
      </c>
      <c r="L1999" s="1" t="s">
        <v>1338</v>
      </c>
      <c r="M1999" s="2" t="s">
        <v>1395</v>
      </c>
    </row>
    <row r="2000" spans="1:13">
      <c r="A2000" s="21" t="str">
        <f>TEXT(TEXT(B2000,"yyyymmdd"),"00000000")&amp;TEXT(COUNTIF($B$2:B2000,B2000),"00")</f>
        <v>2025032502</v>
      </c>
      <c r="B2000" s="21">
        <f t="shared" ref="B2000" si="609">DATE(C2000,D2000,E2000)</f>
        <v>45741</v>
      </c>
      <c r="C2000" s="22">
        <v>2025</v>
      </c>
      <c r="D2000" s="23">
        <v>3</v>
      </c>
      <c r="E2000" s="24">
        <v>25</v>
      </c>
      <c r="F2000" s="42" t="s">
        <v>17</v>
      </c>
      <c r="G2000" s="42" t="s">
        <v>13</v>
      </c>
      <c r="H2000" s="42" t="s">
        <v>167</v>
      </c>
      <c r="I2000" s="42" t="s">
        <v>214</v>
      </c>
      <c r="J2000" s="10">
        <v>27340</v>
      </c>
      <c r="K2000" s="7">
        <v>-27340</v>
      </c>
      <c r="L2000" s="1" t="s">
        <v>957</v>
      </c>
    </row>
    <row r="2001" spans="1:13">
      <c r="A2001" s="21" t="str">
        <f>TEXT(TEXT(B2001,"yyyymmdd"),"00000000")&amp;TEXT(COUNTIF($B$2:B2001,B2001),"00")</f>
        <v>2025032503</v>
      </c>
      <c r="B2001" s="21">
        <f t="shared" ref="B2001" si="610">DATE(C2001,D2001,E2001)</f>
        <v>45741</v>
      </c>
      <c r="C2001" s="22">
        <v>2025</v>
      </c>
      <c r="D2001" s="23">
        <v>3</v>
      </c>
      <c r="E2001" s="24">
        <v>25</v>
      </c>
      <c r="F2001" s="42" t="s">
        <v>17</v>
      </c>
      <c r="G2001" s="42" t="s">
        <v>7</v>
      </c>
      <c r="H2001" s="42" t="s">
        <v>110</v>
      </c>
      <c r="I2001" s="42" t="s">
        <v>124</v>
      </c>
      <c r="J2001" s="10">
        <v>4700</v>
      </c>
      <c r="K2001" s="7">
        <v>-4700</v>
      </c>
      <c r="L2001" s="1" t="s">
        <v>800</v>
      </c>
    </row>
    <row r="2002" spans="1:13">
      <c r="A2002" s="21" t="str">
        <f>TEXT(TEXT(B2002,"yyyymmdd"),"00000000")&amp;TEXT(COUNTIF($B$2:B2002,B2002),"00")</f>
        <v>2025032701</v>
      </c>
      <c r="B2002" s="21">
        <f t="shared" ref="B2002" si="611">DATE(C2002,D2002,E2002)</f>
        <v>45743</v>
      </c>
      <c r="C2002" s="22">
        <v>2025</v>
      </c>
      <c r="D2002" s="23">
        <v>3</v>
      </c>
      <c r="E2002" s="24">
        <v>27</v>
      </c>
      <c r="F2002" s="42" t="s">
        <v>17</v>
      </c>
      <c r="G2002" s="42" t="s">
        <v>13</v>
      </c>
      <c r="H2002" s="42" t="s">
        <v>138</v>
      </c>
      <c r="I2002" s="42" t="s">
        <v>139</v>
      </c>
      <c r="J2002" s="10">
        <v>9000</v>
      </c>
      <c r="K2002" s="7">
        <v>-9000</v>
      </c>
      <c r="L2002" s="1" t="s">
        <v>822</v>
      </c>
    </row>
    <row r="2003" spans="1:13">
      <c r="A2003" s="21" t="str">
        <f>TEXT(TEXT(B2003,"yyyymmdd"),"00000000")&amp;TEXT(COUNTIF($B$2:B2003,B2003),"00")</f>
        <v>2025032801</v>
      </c>
      <c r="B2003" s="21">
        <f t="shared" ref="B2003" si="612">DATE(C2003,D2003,E2003)</f>
        <v>45744</v>
      </c>
      <c r="C2003" s="22">
        <v>2025</v>
      </c>
      <c r="D2003" s="23">
        <v>3</v>
      </c>
      <c r="E2003" s="24">
        <v>28</v>
      </c>
      <c r="F2003" s="42" t="s">
        <v>17</v>
      </c>
      <c r="G2003" s="42" t="s">
        <v>13</v>
      </c>
      <c r="H2003" s="42" t="s">
        <v>113</v>
      </c>
      <c r="I2003" s="42" t="s">
        <v>171</v>
      </c>
      <c r="J2003" s="10">
        <v>15000</v>
      </c>
      <c r="K2003" s="7">
        <v>-15000</v>
      </c>
      <c r="L2003" s="1" t="s">
        <v>502</v>
      </c>
    </row>
    <row r="2004" spans="1:13">
      <c r="A2004" s="21" t="str">
        <f>TEXT(TEXT(B2004,"yyyymmdd"),"00000000")&amp;TEXT(COUNTIF($B$2:B2004,B2004),"00")</f>
        <v>2025032901</v>
      </c>
      <c r="B2004" s="21">
        <f t="shared" ref="B2004" si="613">DATE(C2004,D2004,E2004)</f>
        <v>45745</v>
      </c>
      <c r="C2004" s="22">
        <v>2025</v>
      </c>
      <c r="D2004" s="23">
        <v>3</v>
      </c>
      <c r="E2004" s="24">
        <v>29</v>
      </c>
      <c r="F2004" s="42" t="s">
        <v>17</v>
      </c>
      <c r="G2004" s="42" t="s">
        <v>7</v>
      </c>
      <c r="H2004" s="42" t="s">
        <v>110</v>
      </c>
      <c r="I2004" s="42" t="s">
        <v>124</v>
      </c>
      <c r="J2004" s="10">
        <v>15900</v>
      </c>
      <c r="K2004" s="7">
        <v>-15900</v>
      </c>
      <c r="L2004" s="1" t="s">
        <v>770</v>
      </c>
    </row>
    <row r="2005" spans="1:13">
      <c r="A2005" s="21" t="str">
        <f>TEXT(TEXT(B2005,"yyyymmdd"),"00000000")&amp;TEXT(COUNTIF($B$2:B2005,B2005),"00")</f>
        <v>2025033101</v>
      </c>
      <c r="B2005" s="21">
        <f t="shared" ref="B2005" si="614">DATE(C2005,D2005,E2005)</f>
        <v>45747</v>
      </c>
      <c r="C2005" s="22">
        <v>2025</v>
      </c>
      <c r="D2005" s="23">
        <v>3</v>
      </c>
      <c r="E2005" s="24">
        <v>31</v>
      </c>
      <c r="F2005" s="42" t="s">
        <v>1351</v>
      </c>
      <c r="G2005" s="42" t="s">
        <v>170</v>
      </c>
      <c r="H2005" s="42" t="s">
        <v>155</v>
      </c>
      <c r="I2005" s="42" t="s">
        <v>156</v>
      </c>
      <c r="J2005" s="10">
        <v>8027</v>
      </c>
      <c r="K2005" s="7">
        <v>-8027</v>
      </c>
      <c r="L2005" s="1" t="s">
        <v>387</v>
      </c>
    </row>
    <row r="2006" spans="1:13">
      <c r="A2006" s="21" t="str">
        <f>TEXT(TEXT(B2006,"yyyymmdd"),"00000000")&amp;TEXT(COUNTIF($B$2:B2006,B2006),"00")</f>
        <v>2025040101</v>
      </c>
      <c r="B2006" s="21">
        <f t="shared" ref="B2006" si="615">DATE(C2006,D2006,E2006)</f>
        <v>45748</v>
      </c>
      <c r="C2006" s="22">
        <v>2025</v>
      </c>
      <c r="D2006" s="23">
        <v>4</v>
      </c>
      <c r="E2006" s="24">
        <v>1</v>
      </c>
      <c r="F2006" s="42" t="s">
        <v>17</v>
      </c>
      <c r="G2006" s="42" t="s">
        <v>151</v>
      </c>
      <c r="H2006" s="42" t="s">
        <v>151</v>
      </c>
      <c r="I2006" s="42" t="s">
        <v>152</v>
      </c>
      <c r="J2006" s="10">
        <v>-600000</v>
      </c>
      <c r="K2006" s="7">
        <v>600000</v>
      </c>
      <c r="L2006" s="1" t="s">
        <v>252</v>
      </c>
      <c r="M2006" s="2" t="s">
        <v>1041</v>
      </c>
    </row>
    <row r="2007" spans="1:13">
      <c r="A2007" s="21" t="str">
        <f>TEXT(TEXT(B2007,"yyyymmdd"),"00000000")&amp;TEXT(COUNTIF($B$2:B2007,B2007),"00")</f>
        <v>2025040102</v>
      </c>
      <c r="B2007" s="21">
        <f t="shared" ref="B2007" si="616">DATE(C2007,D2007,E2007)</f>
        <v>45748</v>
      </c>
      <c r="C2007" s="22">
        <v>2025</v>
      </c>
      <c r="D2007" s="23">
        <v>4</v>
      </c>
      <c r="E2007" s="24">
        <v>1</v>
      </c>
      <c r="F2007" s="42" t="s">
        <v>17</v>
      </c>
      <c r="G2007" s="42" t="s">
        <v>13</v>
      </c>
      <c r="H2007" s="42" t="s">
        <v>167</v>
      </c>
      <c r="I2007" s="42" t="s">
        <v>214</v>
      </c>
      <c r="J2007" s="10">
        <v>34560</v>
      </c>
      <c r="K2007" s="7">
        <v>-34560</v>
      </c>
      <c r="L2007" s="1" t="s">
        <v>957</v>
      </c>
    </row>
    <row r="2008" spans="1:13">
      <c r="A2008" s="21" t="str">
        <f>TEXT(TEXT(B2008,"yyyymmdd"),"00000000")&amp;TEXT(COUNTIF($B$2:B2008,B2008),"00")</f>
        <v>2025040301</v>
      </c>
      <c r="B2008" s="21">
        <f t="shared" ref="B2008" si="617">DATE(C2008,D2008,E2008)</f>
        <v>45750</v>
      </c>
      <c r="C2008" s="22">
        <v>2025</v>
      </c>
      <c r="D2008" s="23">
        <v>4</v>
      </c>
      <c r="E2008" s="24">
        <v>3</v>
      </c>
      <c r="F2008" s="42" t="s">
        <v>17</v>
      </c>
      <c r="G2008" s="42" t="s">
        <v>7</v>
      </c>
      <c r="H2008" s="42" t="s">
        <v>173</v>
      </c>
      <c r="I2008" s="42" t="s">
        <v>207</v>
      </c>
      <c r="J2008" s="10">
        <v>19760</v>
      </c>
      <c r="K2008" s="7">
        <v>-19760</v>
      </c>
      <c r="L2008" s="1" t="s">
        <v>208</v>
      </c>
    </row>
    <row r="2009" spans="1:13">
      <c r="A2009" s="21" t="str">
        <f>TEXT(TEXT(B2009,"yyyymmdd"),"00000000")&amp;TEXT(COUNTIF($B$2:B2009,B2009),"00")</f>
        <v>2025040302</v>
      </c>
      <c r="B2009" s="21">
        <f t="shared" ref="B2009" si="618">DATE(C2009,D2009,E2009)</f>
        <v>45750</v>
      </c>
      <c r="C2009" s="22">
        <v>2025</v>
      </c>
      <c r="D2009" s="23">
        <v>4</v>
      </c>
      <c r="E2009" s="24">
        <v>3</v>
      </c>
      <c r="F2009" s="42" t="s">
        <v>17</v>
      </c>
      <c r="G2009" s="42" t="s">
        <v>7</v>
      </c>
      <c r="H2009" s="42" t="s">
        <v>138</v>
      </c>
      <c r="I2009" s="42" t="s">
        <v>159</v>
      </c>
      <c r="J2009" s="10">
        <v>2000</v>
      </c>
      <c r="K2009" s="7">
        <v>-2000</v>
      </c>
      <c r="L2009" s="1" t="s">
        <v>300</v>
      </c>
    </row>
    <row r="2010" spans="1:13">
      <c r="A2010" s="21" t="str">
        <f>TEXT(TEXT(B2010,"yyyymmdd"),"00000000")&amp;TEXT(COUNTIF($B$2:B2010,B2010),"00")</f>
        <v>2025040401</v>
      </c>
      <c r="B2010" s="21">
        <f t="shared" ref="B2010" si="619">DATE(C2010,D2010,E2010)</f>
        <v>45751</v>
      </c>
      <c r="C2010" s="22">
        <v>2025</v>
      </c>
      <c r="D2010" s="23">
        <v>4</v>
      </c>
      <c r="E2010" s="24">
        <v>4</v>
      </c>
      <c r="F2010" s="42" t="s">
        <v>17</v>
      </c>
      <c r="G2010" s="42" t="s">
        <v>7</v>
      </c>
      <c r="H2010" s="42" t="s">
        <v>116</v>
      </c>
      <c r="I2010" s="42" t="s">
        <v>217</v>
      </c>
      <c r="J2010" s="10">
        <v>4500</v>
      </c>
      <c r="K2010" s="7">
        <v>-4500</v>
      </c>
      <c r="L2010" s="1" t="s">
        <v>1182</v>
      </c>
    </row>
    <row r="2011" spans="1:13">
      <c r="A2011" s="21" t="str">
        <f>TEXT(TEXT(B2011,"yyyymmdd"),"00000000")&amp;TEXT(COUNTIF($B$2:B2011,B2011),"00")</f>
        <v>2025040501</v>
      </c>
      <c r="B2011" s="21">
        <f t="shared" ref="B2011" si="620">DATE(C2011,D2011,E2011)</f>
        <v>45752</v>
      </c>
      <c r="C2011" s="22">
        <v>2025</v>
      </c>
      <c r="D2011" s="23">
        <v>4</v>
      </c>
      <c r="E2011" s="24">
        <v>5</v>
      </c>
      <c r="F2011" s="42" t="s">
        <v>17</v>
      </c>
      <c r="G2011" s="42" t="s">
        <v>7</v>
      </c>
      <c r="H2011" s="42" t="s">
        <v>167</v>
      </c>
      <c r="I2011" s="42" t="s">
        <v>214</v>
      </c>
      <c r="J2011" s="10">
        <v>3000</v>
      </c>
      <c r="K2011" s="7">
        <v>-3000</v>
      </c>
      <c r="L2011" s="1" t="s">
        <v>603</v>
      </c>
    </row>
    <row r="2012" spans="1:13">
      <c r="A2012" s="21" t="str">
        <f>TEXT(TEXT(B2012,"yyyymmdd"),"00000000")&amp;TEXT(COUNTIF($B$2:B2012,B2012),"00")</f>
        <v>2025040502</v>
      </c>
      <c r="B2012" s="21">
        <f t="shared" ref="B2012" si="621">DATE(C2012,D2012,E2012)</f>
        <v>45752</v>
      </c>
      <c r="C2012" s="22">
        <v>2025</v>
      </c>
      <c r="D2012" s="23">
        <v>4</v>
      </c>
      <c r="E2012" s="24">
        <v>5</v>
      </c>
      <c r="F2012" s="42" t="s">
        <v>17</v>
      </c>
      <c r="G2012" s="42" t="s">
        <v>7</v>
      </c>
      <c r="H2012" s="42" t="s">
        <v>138</v>
      </c>
      <c r="I2012" s="42" t="s">
        <v>139</v>
      </c>
      <c r="J2012" s="10">
        <v>2300</v>
      </c>
      <c r="K2012" s="7">
        <v>-2300</v>
      </c>
      <c r="L2012" s="1" t="s">
        <v>1396</v>
      </c>
    </row>
    <row r="2013" spans="1:13">
      <c r="A2013" s="21" t="str">
        <f>TEXT(TEXT(B2013,"yyyymmdd"),"00000000")&amp;TEXT(COUNTIF($B$2:B2013,B2013),"00")</f>
        <v>2025040601</v>
      </c>
      <c r="B2013" s="21">
        <f t="shared" ref="B2013" si="622">DATE(C2013,D2013,E2013)</f>
        <v>45753</v>
      </c>
      <c r="C2013" s="22">
        <v>2025</v>
      </c>
      <c r="D2013" s="23">
        <v>4</v>
      </c>
      <c r="E2013" s="24">
        <v>6</v>
      </c>
      <c r="F2013" s="42" t="s">
        <v>17</v>
      </c>
      <c r="G2013" s="42" t="s">
        <v>13</v>
      </c>
      <c r="H2013" s="42" t="s">
        <v>167</v>
      </c>
      <c r="I2013" s="42" t="s">
        <v>214</v>
      </c>
      <c r="J2013" s="10">
        <v>38160</v>
      </c>
      <c r="K2013" s="7">
        <v>-38160</v>
      </c>
      <c r="L2013" s="1" t="s">
        <v>957</v>
      </c>
    </row>
    <row r="2014" spans="1:13">
      <c r="A2014" s="21" t="str">
        <f>TEXT(TEXT(B2014,"yyyymmdd"),"00000000")&amp;TEXT(COUNTIF($B$2:B2014,B2014),"00")</f>
        <v>2025040701</v>
      </c>
      <c r="B2014" s="21">
        <f t="shared" ref="B2014" si="623">DATE(C2014,D2014,E2014)</f>
        <v>45754</v>
      </c>
      <c r="C2014" s="22">
        <v>2025</v>
      </c>
      <c r="D2014" s="23">
        <v>4</v>
      </c>
      <c r="E2014" s="24">
        <v>7</v>
      </c>
      <c r="F2014" s="42" t="s">
        <v>17</v>
      </c>
      <c r="G2014" s="42" t="s">
        <v>135</v>
      </c>
      <c r="H2014" s="42" t="s">
        <v>135</v>
      </c>
      <c r="I2014" s="42" t="s">
        <v>143</v>
      </c>
      <c r="J2014" s="10">
        <v>-2</v>
      </c>
      <c r="K2014" s="7">
        <v>2</v>
      </c>
      <c r="L2014" s="1" t="s">
        <v>551</v>
      </c>
    </row>
    <row r="2015" spans="1:13">
      <c r="A2015" s="21" t="str">
        <f>TEXT(TEXT(B2015,"yyyymmdd"),"00000000")&amp;TEXT(COUNTIF($B$2:B2015,B2015),"00")</f>
        <v>2025040901</v>
      </c>
      <c r="B2015" s="21">
        <f t="shared" ref="B2015" si="624">DATE(C2015,D2015,E2015)</f>
        <v>45756</v>
      </c>
      <c r="C2015" s="22">
        <v>2025</v>
      </c>
      <c r="D2015" s="23">
        <v>4</v>
      </c>
      <c r="E2015" s="24">
        <v>9</v>
      </c>
      <c r="F2015" s="42" t="s">
        <v>17</v>
      </c>
      <c r="G2015" s="42" t="s">
        <v>7</v>
      </c>
      <c r="H2015" s="42" t="s">
        <v>119</v>
      </c>
      <c r="I2015" s="42" t="s">
        <v>180</v>
      </c>
      <c r="J2015" s="10">
        <v>1700</v>
      </c>
      <c r="K2015" s="7">
        <v>-1700</v>
      </c>
      <c r="L2015" s="1" t="s">
        <v>181</v>
      </c>
      <c r="M2015" s="2" t="s">
        <v>1397</v>
      </c>
    </row>
    <row r="2016" spans="1:13">
      <c r="A2016" s="21" t="str">
        <f>TEXT(TEXT(B2016,"yyyymmdd"),"00000000")&amp;TEXT(COUNTIF($B$2:B2016,B2016),"00")</f>
        <v>2025040902</v>
      </c>
      <c r="B2016" s="21">
        <f t="shared" ref="B2016" si="625">DATE(C2016,D2016,E2016)</f>
        <v>45756</v>
      </c>
      <c r="C2016" s="22">
        <v>2025</v>
      </c>
      <c r="D2016" s="23">
        <v>4</v>
      </c>
      <c r="E2016" s="24">
        <v>9</v>
      </c>
      <c r="F2016" s="42" t="s">
        <v>17</v>
      </c>
      <c r="G2016" s="42" t="s">
        <v>170</v>
      </c>
      <c r="H2016" s="42" t="s">
        <v>114</v>
      </c>
      <c r="I2016" s="42" t="s">
        <v>1007</v>
      </c>
      <c r="J2016" s="10">
        <v>34790</v>
      </c>
      <c r="K2016" s="7">
        <v>-34790</v>
      </c>
      <c r="L2016" s="1" t="s">
        <v>1023</v>
      </c>
    </row>
    <row r="2017" spans="1:13">
      <c r="A2017" s="21" t="str">
        <f>TEXT(TEXT(B2017,"yyyymmdd"),"00000000")&amp;TEXT(COUNTIF($B$2:B2017,B2017),"00")</f>
        <v>2025040903</v>
      </c>
      <c r="B2017" s="21">
        <f t="shared" ref="B2017" si="626">DATE(C2017,D2017,E2017)</f>
        <v>45756</v>
      </c>
      <c r="C2017" s="22">
        <v>2025</v>
      </c>
      <c r="D2017" s="23">
        <v>4</v>
      </c>
      <c r="E2017" s="24">
        <v>9</v>
      </c>
      <c r="F2017" s="42" t="s">
        <v>17</v>
      </c>
      <c r="G2017" s="42" t="s">
        <v>13</v>
      </c>
      <c r="H2017" s="42" t="s">
        <v>167</v>
      </c>
      <c r="I2017" s="42" t="s">
        <v>214</v>
      </c>
      <c r="J2017" s="10">
        <v>7780</v>
      </c>
      <c r="K2017" s="7">
        <v>-7780</v>
      </c>
      <c r="L2017" s="1" t="s">
        <v>957</v>
      </c>
    </row>
    <row r="2018" spans="1:13">
      <c r="A2018" s="21" t="str">
        <f>TEXT(TEXT(B2018,"yyyymmdd"),"00000000")&amp;TEXT(COUNTIF($B$2:B2018,B2018),"00")</f>
        <v>2025041201</v>
      </c>
      <c r="B2018" s="21">
        <f t="shared" ref="B2018" si="627">DATE(C2018,D2018,E2018)</f>
        <v>45759</v>
      </c>
      <c r="C2018" s="22">
        <v>2025</v>
      </c>
      <c r="D2018" s="23">
        <v>4</v>
      </c>
      <c r="E2018" s="24">
        <v>12</v>
      </c>
      <c r="F2018" s="42" t="s">
        <v>17</v>
      </c>
      <c r="G2018" s="42" t="s">
        <v>13</v>
      </c>
      <c r="H2018" s="42" t="s">
        <v>138</v>
      </c>
      <c r="I2018" s="42" t="s">
        <v>139</v>
      </c>
      <c r="J2018" s="10">
        <v>9750</v>
      </c>
      <c r="K2018" s="7">
        <v>-9750</v>
      </c>
      <c r="L2018" s="1" t="s">
        <v>661</v>
      </c>
    </row>
    <row r="2019" spans="1:13">
      <c r="A2019" s="21" t="str">
        <f>TEXT(TEXT(B2019,"yyyymmdd"),"00000000")&amp;TEXT(COUNTIF($B$2:B2019,B2019),"00")</f>
        <v>2025041202</v>
      </c>
      <c r="B2019" s="21">
        <f t="shared" ref="B2019" si="628">DATE(C2019,D2019,E2019)</f>
        <v>45759</v>
      </c>
      <c r="C2019" s="22">
        <v>2025</v>
      </c>
      <c r="D2019" s="23">
        <v>4</v>
      </c>
      <c r="E2019" s="24">
        <v>12</v>
      </c>
      <c r="F2019" s="42" t="s">
        <v>17</v>
      </c>
      <c r="G2019" s="42" t="s">
        <v>13</v>
      </c>
      <c r="H2019" s="42" t="s">
        <v>110</v>
      </c>
      <c r="I2019" s="42" t="s">
        <v>120</v>
      </c>
      <c r="J2019" s="10">
        <v>7600</v>
      </c>
      <c r="K2019" s="7">
        <v>-7600</v>
      </c>
      <c r="L2019" s="1" t="s">
        <v>1398</v>
      </c>
    </row>
    <row r="2020" spans="1:13">
      <c r="A2020" s="21" t="str">
        <f>TEXT(TEXT(B2020,"yyyymmdd"),"00000000")&amp;TEXT(COUNTIF($B$2:B2020,B2020),"00")</f>
        <v>2025041203</v>
      </c>
      <c r="B2020" s="21">
        <f t="shared" ref="B2020" si="629">DATE(C2020,D2020,E2020)</f>
        <v>45759</v>
      </c>
      <c r="C2020" s="22">
        <v>2025</v>
      </c>
      <c r="D2020" s="23">
        <v>4</v>
      </c>
      <c r="E2020" s="24">
        <v>12</v>
      </c>
      <c r="F2020" s="42" t="s">
        <v>17</v>
      </c>
      <c r="G2020" s="42" t="s">
        <v>7</v>
      </c>
      <c r="H2020" s="42" t="s">
        <v>138</v>
      </c>
      <c r="I2020" s="42" t="s">
        <v>139</v>
      </c>
      <c r="J2020" s="10">
        <v>12750</v>
      </c>
      <c r="K2020" s="7">
        <v>-12750</v>
      </c>
      <c r="L2020" s="1" t="s">
        <v>1198</v>
      </c>
    </row>
    <row r="2021" spans="1:13">
      <c r="A2021" s="21" t="str">
        <f>TEXT(TEXT(B2021,"yyyymmdd"),"00000000")&amp;TEXT(COUNTIF($B$2:B2021,B2021),"00")</f>
        <v>2025041204</v>
      </c>
      <c r="B2021" s="21">
        <f t="shared" ref="B2021" si="630">DATE(C2021,D2021,E2021)</f>
        <v>45759</v>
      </c>
      <c r="C2021" s="22">
        <v>2025</v>
      </c>
      <c r="D2021" s="23">
        <v>4</v>
      </c>
      <c r="E2021" s="24">
        <v>12</v>
      </c>
      <c r="F2021" s="42" t="s">
        <v>17</v>
      </c>
      <c r="G2021" s="42" t="s">
        <v>7</v>
      </c>
      <c r="H2021" s="42" t="s">
        <v>110</v>
      </c>
      <c r="I2021" s="42" t="s">
        <v>120</v>
      </c>
      <c r="J2021" s="10">
        <v>3800</v>
      </c>
      <c r="K2021" s="7">
        <v>-3800</v>
      </c>
      <c r="L2021" s="1" t="s">
        <v>1399</v>
      </c>
    </row>
    <row r="2022" spans="1:13">
      <c r="A2022" s="21" t="str">
        <f>TEXT(TEXT(B2022,"yyyymmdd"),"00000000")&amp;TEXT(COUNTIF($B$2:B2022,B2022),"00")</f>
        <v>2025041601</v>
      </c>
      <c r="B2022" s="21">
        <f t="shared" ref="B2022" si="631">DATE(C2022,D2022,E2022)</f>
        <v>45763</v>
      </c>
      <c r="C2022" s="22">
        <v>2025</v>
      </c>
      <c r="D2022" s="23">
        <v>4</v>
      </c>
      <c r="E2022" s="24">
        <v>16</v>
      </c>
      <c r="F2022" s="42" t="s">
        <v>17</v>
      </c>
      <c r="G2022" s="42" t="s">
        <v>7</v>
      </c>
      <c r="H2022" s="42" t="s">
        <v>167</v>
      </c>
      <c r="I2022" s="42" t="s">
        <v>168</v>
      </c>
      <c r="J2022" s="10">
        <v>5950</v>
      </c>
      <c r="K2022" s="7">
        <v>-5950</v>
      </c>
      <c r="L2022" s="1" t="s">
        <v>532</v>
      </c>
    </row>
    <row r="2023" spans="1:13">
      <c r="A2023" s="21" t="str">
        <f>TEXT(TEXT(B2023,"yyyymmdd"),"00000000")&amp;TEXT(COUNTIF($B$2:B2023,B2023),"00")</f>
        <v>2025041701</v>
      </c>
      <c r="B2023" s="21">
        <f t="shared" ref="B2023" si="632">DATE(C2023,D2023,E2023)</f>
        <v>45764</v>
      </c>
      <c r="C2023" s="22">
        <v>2025</v>
      </c>
      <c r="D2023" s="23">
        <v>4</v>
      </c>
      <c r="E2023" s="24">
        <v>17</v>
      </c>
      <c r="F2023" s="42" t="s">
        <v>17</v>
      </c>
      <c r="G2023" s="42" t="s">
        <v>7</v>
      </c>
      <c r="H2023" s="42" t="s">
        <v>116</v>
      </c>
      <c r="I2023" s="42" t="s">
        <v>1401</v>
      </c>
      <c r="J2023" s="10">
        <v>19800</v>
      </c>
      <c r="K2023" s="7">
        <v>-19800</v>
      </c>
      <c r="L2023" s="1" t="s">
        <v>1400</v>
      </c>
      <c r="M2023" s="2" t="s">
        <v>1402</v>
      </c>
    </row>
    <row r="2024" spans="1:13">
      <c r="A2024" s="21" t="str">
        <f>TEXT(TEXT(B2024,"yyyymmdd"),"00000000")&amp;TEXT(COUNTIF($B$2:B2024,B2024),"00")</f>
        <v>2025041801</v>
      </c>
      <c r="B2024" s="21">
        <f t="shared" ref="B2024" si="633">DATE(C2024,D2024,E2024)</f>
        <v>45765</v>
      </c>
      <c r="C2024" s="22">
        <v>2025</v>
      </c>
      <c r="D2024" s="23">
        <v>4</v>
      </c>
      <c r="E2024" s="24">
        <v>18</v>
      </c>
      <c r="F2024" s="42" t="s">
        <v>17</v>
      </c>
      <c r="G2024" s="42" t="s">
        <v>7</v>
      </c>
      <c r="H2024" s="42" t="s">
        <v>119</v>
      </c>
      <c r="I2024" s="42" t="s">
        <v>180</v>
      </c>
      <c r="J2024" s="10">
        <v>200000</v>
      </c>
      <c r="K2024" s="7">
        <v>-200000</v>
      </c>
      <c r="L2024" s="1" t="s">
        <v>1403</v>
      </c>
      <c r="M2024" s="2" t="s">
        <v>1404</v>
      </c>
    </row>
    <row r="2025" spans="1:13">
      <c r="A2025" s="21" t="str">
        <f>TEXT(TEXT(B2025,"yyyymmdd"),"00000000")&amp;TEXT(COUNTIF($B$2:B2025,B2025),"00")</f>
        <v>2025041802</v>
      </c>
      <c r="B2025" s="21">
        <f t="shared" ref="B2025" si="634">DATE(C2025,D2025,E2025)</f>
        <v>45765</v>
      </c>
      <c r="C2025" s="22">
        <v>2025</v>
      </c>
      <c r="D2025" s="23">
        <v>4</v>
      </c>
      <c r="E2025" s="24">
        <v>18</v>
      </c>
      <c r="F2025" s="42" t="s">
        <v>17</v>
      </c>
      <c r="G2025" s="42" t="s">
        <v>7</v>
      </c>
      <c r="H2025" s="42" t="s">
        <v>119</v>
      </c>
      <c r="I2025" s="42" t="s">
        <v>180</v>
      </c>
      <c r="J2025" s="10">
        <v>122000</v>
      </c>
      <c r="K2025" s="7">
        <v>-122000</v>
      </c>
      <c r="L2025" s="1" t="s">
        <v>1038</v>
      </c>
      <c r="M2025" s="2" t="s">
        <v>1405</v>
      </c>
    </row>
    <row r="2026" spans="1:13">
      <c r="A2026" s="21" t="str">
        <f>TEXT(TEXT(B2026,"yyyymmdd"),"00000000")&amp;TEXT(COUNTIF($B$2:B2026,B2026),"00")</f>
        <v>2025041901</v>
      </c>
      <c r="B2026" s="21">
        <f t="shared" ref="B2026" si="635">DATE(C2026,D2026,E2026)</f>
        <v>45766</v>
      </c>
      <c r="C2026" s="22">
        <v>2025</v>
      </c>
      <c r="D2026" s="23">
        <v>4</v>
      </c>
      <c r="E2026" s="24">
        <v>19</v>
      </c>
      <c r="F2026" s="42" t="s">
        <v>17</v>
      </c>
      <c r="G2026" s="42" t="s">
        <v>7</v>
      </c>
      <c r="H2026" s="42" t="s">
        <v>110</v>
      </c>
      <c r="I2026" s="42" t="s">
        <v>120</v>
      </c>
      <c r="J2026" s="10">
        <v>1800</v>
      </c>
      <c r="K2026" s="7">
        <v>-1800</v>
      </c>
      <c r="L2026" s="1" t="s">
        <v>1073</v>
      </c>
    </row>
    <row r="2027" spans="1:13">
      <c r="A2027" s="21" t="str">
        <f>TEXT(TEXT(B2027,"yyyymmdd"),"00000000")&amp;TEXT(COUNTIF($B$2:B2027,B2027),"00")</f>
        <v>2025042101</v>
      </c>
      <c r="B2027" s="21">
        <f t="shared" ref="B2027" si="636">DATE(C2027,D2027,E2027)</f>
        <v>45768</v>
      </c>
      <c r="C2027" s="22">
        <v>2025</v>
      </c>
      <c r="D2027" s="23">
        <v>4</v>
      </c>
      <c r="E2027" s="24">
        <v>21</v>
      </c>
      <c r="F2027" s="42" t="s">
        <v>17</v>
      </c>
      <c r="G2027" s="42" t="s">
        <v>13</v>
      </c>
      <c r="H2027" s="42" t="s">
        <v>138</v>
      </c>
      <c r="I2027" s="42" t="s">
        <v>139</v>
      </c>
      <c r="J2027" s="10">
        <v>8000</v>
      </c>
      <c r="K2027" s="7">
        <v>-8000</v>
      </c>
      <c r="L2027" s="1" t="s">
        <v>677</v>
      </c>
    </row>
    <row r="2028" spans="1:13">
      <c r="A2028" s="21" t="str">
        <f>TEXT(TEXT(B2028,"yyyymmdd"),"00000000")&amp;TEXT(COUNTIF($B$2:B2028,B2028),"00")</f>
        <v>2025042102</v>
      </c>
      <c r="B2028" s="21">
        <f t="shared" ref="B2028" si="637">DATE(C2028,D2028,E2028)</f>
        <v>45768</v>
      </c>
      <c r="C2028" s="22">
        <v>2025</v>
      </c>
      <c r="D2028" s="23">
        <v>4</v>
      </c>
      <c r="E2028" s="24">
        <v>21</v>
      </c>
      <c r="F2028" s="42" t="s">
        <v>17</v>
      </c>
      <c r="G2028" s="42" t="s">
        <v>170</v>
      </c>
      <c r="H2028" s="42" t="s">
        <v>114</v>
      </c>
      <c r="I2028" s="42" t="s">
        <v>1005</v>
      </c>
      <c r="J2028" s="10">
        <v>25900</v>
      </c>
      <c r="K2028" s="7">
        <v>-25900</v>
      </c>
      <c r="L2028" s="1" t="s">
        <v>1006</v>
      </c>
    </row>
    <row r="2029" spans="1:13">
      <c r="A2029" s="21" t="str">
        <f>TEXT(TEXT(B2029,"yyyymmdd"),"00000000")&amp;TEXT(COUNTIF($B$2:B2029,B2029),"00")</f>
        <v>2025042301</v>
      </c>
      <c r="B2029" s="21">
        <f t="shared" ref="B2029" si="638">DATE(C2029,D2029,E2029)</f>
        <v>45770</v>
      </c>
      <c r="C2029" s="22">
        <v>2025</v>
      </c>
      <c r="D2029" s="23">
        <v>4</v>
      </c>
      <c r="E2029" s="24">
        <v>23</v>
      </c>
      <c r="F2029" s="42" t="s">
        <v>17</v>
      </c>
      <c r="G2029" s="42" t="s">
        <v>7</v>
      </c>
      <c r="H2029" s="42" t="s">
        <v>167</v>
      </c>
      <c r="I2029" s="42" t="s">
        <v>168</v>
      </c>
      <c r="J2029" s="10">
        <v>15860</v>
      </c>
      <c r="K2029" s="7">
        <v>-15860</v>
      </c>
      <c r="L2029" s="1" t="s">
        <v>532</v>
      </c>
    </row>
    <row r="2030" spans="1:13">
      <c r="A2030" s="21" t="str">
        <f>TEXT(TEXT(B2030,"yyyymmdd"),"00000000")&amp;TEXT(COUNTIF($B$2:B2030,B2030),"00")</f>
        <v>2025042401</v>
      </c>
      <c r="B2030" s="21">
        <f t="shared" ref="B2030:B2031" si="639">DATE(C2030,D2030,E2030)</f>
        <v>45771</v>
      </c>
      <c r="C2030" s="22">
        <v>2025</v>
      </c>
      <c r="D2030" s="23">
        <v>4</v>
      </c>
      <c r="E2030" s="24">
        <v>24</v>
      </c>
      <c r="F2030" s="42" t="s">
        <v>17</v>
      </c>
      <c r="G2030" s="42" t="s">
        <v>11</v>
      </c>
      <c r="H2030" s="42" t="s">
        <v>99</v>
      </c>
      <c r="I2030" s="42" t="s">
        <v>94</v>
      </c>
      <c r="J2030" s="10">
        <v>40000</v>
      </c>
      <c r="K2030" s="7">
        <v>-40000</v>
      </c>
      <c r="L2030" s="1" t="s">
        <v>1353</v>
      </c>
    </row>
    <row r="2031" spans="1:13">
      <c r="A2031" s="21" t="str">
        <f>TEXT(TEXT(B2031,"yyyymmdd"),"00000000")&amp;TEXT(COUNTIF($B$2:B2031,B2031),"00")</f>
        <v>2025042402</v>
      </c>
      <c r="B2031" s="21">
        <f t="shared" si="639"/>
        <v>45771</v>
      </c>
      <c r="C2031" s="22">
        <v>2025</v>
      </c>
      <c r="D2031" s="23">
        <v>4</v>
      </c>
      <c r="E2031" s="24">
        <v>24</v>
      </c>
      <c r="F2031" s="42" t="s">
        <v>1351</v>
      </c>
      <c r="G2031" s="42" t="s">
        <v>11</v>
      </c>
      <c r="H2031" s="42" t="s">
        <v>99</v>
      </c>
      <c r="I2031" s="42" t="s">
        <v>94</v>
      </c>
      <c r="J2031" s="10">
        <v>-40000</v>
      </c>
      <c r="K2031" s="7">
        <v>40000</v>
      </c>
      <c r="L2031" s="1" t="s">
        <v>1353</v>
      </c>
    </row>
    <row r="2032" spans="1:13">
      <c r="A2032" s="21" t="str">
        <f>TEXT(TEXT(B2032,"yyyymmdd"),"00000000")&amp;TEXT(COUNTIF($B$2:B2032,B2032),"00")</f>
        <v>2025042403</v>
      </c>
      <c r="B2032" s="21">
        <f t="shared" ref="B2032" si="640">DATE(C2032,D2032,E2032)</f>
        <v>45771</v>
      </c>
      <c r="C2032" s="22">
        <v>2025</v>
      </c>
      <c r="D2032" s="23">
        <v>4</v>
      </c>
      <c r="E2032" s="24">
        <v>24</v>
      </c>
      <c r="F2032" s="42" t="s">
        <v>1351</v>
      </c>
      <c r="G2032" s="42" t="s">
        <v>7</v>
      </c>
      <c r="H2032" s="42" t="s">
        <v>155</v>
      </c>
      <c r="I2032" s="42" t="s">
        <v>156</v>
      </c>
      <c r="J2032" s="10">
        <v>30662</v>
      </c>
      <c r="K2032" s="7">
        <v>-30662</v>
      </c>
      <c r="L2032" s="1" t="s">
        <v>1414</v>
      </c>
    </row>
    <row r="2033" spans="1:13">
      <c r="A2033" s="21" t="str">
        <f>TEXT(TEXT(B2033,"yyyymmdd"),"00000000")&amp;TEXT(COUNTIF($B$2:B2033,B2033),"00")</f>
        <v>2025042404</v>
      </c>
      <c r="B2033" s="21">
        <f t="shared" ref="B2033" si="641">DATE(C2033,D2033,E2033)</f>
        <v>45771</v>
      </c>
      <c r="C2033" s="22">
        <v>2025</v>
      </c>
      <c r="D2033" s="23">
        <v>4</v>
      </c>
      <c r="E2033" s="24">
        <v>24</v>
      </c>
      <c r="F2033" s="42" t="s">
        <v>498</v>
      </c>
      <c r="G2033" s="42" t="s">
        <v>11</v>
      </c>
      <c r="H2033" s="42" t="s">
        <v>99</v>
      </c>
      <c r="I2033" s="42" t="s">
        <v>11</v>
      </c>
      <c r="J2033" s="10">
        <v>-300000</v>
      </c>
      <c r="K2033" s="7">
        <v>300000</v>
      </c>
      <c r="L2033" s="1" t="s">
        <v>1338</v>
      </c>
      <c r="M2033" s="2" t="s">
        <v>1406</v>
      </c>
    </row>
    <row r="2034" spans="1:13">
      <c r="A2034" s="21" t="str">
        <f>TEXT(TEXT(B2034,"yyyymmdd"),"00000000")&amp;TEXT(COUNTIF($B$2:B2034,B2034),"00")</f>
        <v>2025042405</v>
      </c>
      <c r="B2034" s="21">
        <f t="shared" ref="B2034" si="642">DATE(C2034,D2034,E2034)</f>
        <v>45771</v>
      </c>
      <c r="C2034" s="22">
        <v>2025</v>
      </c>
      <c r="D2034" s="23">
        <v>4</v>
      </c>
      <c r="E2034" s="24">
        <v>24</v>
      </c>
      <c r="F2034" s="42" t="s">
        <v>17</v>
      </c>
      <c r="G2034" s="42" t="s">
        <v>7</v>
      </c>
      <c r="H2034" s="42" t="s">
        <v>119</v>
      </c>
      <c r="I2034" s="42" t="s">
        <v>180</v>
      </c>
      <c r="J2034" s="10">
        <v>20000</v>
      </c>
      <c r="K2034" s="7">
        <v>-20000</v>
      </c>
      <c r="L2034" s="1" t="s">
        <v>181</v>
      </c>
    </row>
    <row r="2035" spans="1:13">
      <c r="A2035" s="21" t="str">
        <f>TEXT(TEXT(B2035,"yyyymmdd"),"00000000")&amp;TEXT(COUNTIF($B$2:B2035,B2035),"00")</f>
        <v>2025042501</v>
      </c>
      <c r="B2035" s="21">
        <f t="shared" ref="B2035" si="643">DATE(C2035,D2035,E2035)</f>
        <v>45772</v>
      </c>
      <c r="C2035" s="22">
        <v>2025</v>
      </c>
      <c r="D2035" s="23">
        <v>4</v>
      </c>
      <c r="E2035" s="24">
        <v>25</v>
      </c>
      <c r="F2035" s="42" t="s">
        <v>17</v>
      </c>
      <c r="G2035" s="42" t="s">
        <v>7</v>
      </c>
      <c r="H2035" s="42" t="s">
        <v>138</v>
      </c>
      <c r="I2035" s="42" t="s">
        <v>139</v>
      </c>
      <c r="J2035" s="10">
        <v>15000</v>
      </c>
      <c r="K2035" s="7">
        <v>-15000</v>
      </c>
      <c r="L2035" s="1" t="s">
        <v>1407</v>
      </c>
    </row>
    <row r="2036" spans="1:13">
      <c r="A2036" s="21" t="str">
        <f>TEXT(TEXT(B2036,"yyyymmdd"),"00000000")&amp;TEXT(COUNTIF($B$2:B2036,B2036),"00")</f>
        <v>2025042502</v>
      </c>
      <c r="B2036" s="21">
        <f t="shared" ref="B2036" si="644">DATE(C2036,D2036,E2036)</f>
        <v>45772</v>
      </c>
      <c r="C2036" s="22">
        <v>2025</v>
      </c>
      <c r="D2036" s="23">
        <v>4</v>
      </c>
      <c r="E2036" s="24">
        <v>25</v>
      </c>
      <c r="F2036" s="42" t="s">
        <v>17</v>
      </c>
      <c r="G2036" s="42" t="s">
        <v>7</v>
      </c>
      <c r="H2036" s="42" t="s">
        <v>110</v>
      </c>
      <c r="I2036" s="42" t="s">
        <v>120</v>
      </c>
      <c r="J2036" s="10">
        <v>4300</v>
      </c>
      <c r="K2036" s="7">
        <v>-4300</v>
      </c>
      <c r="L2036" s="1" t="s">
        <v>651</v>
      </c>
    </row>
    <row r="2037" spans="1:13">
      <c r="A2037" s="21" t="str">
        <f>TEXT(TEXT(B2037,"yyyymmdd"),"00000000")&amp;TEXT(COUNTIF($B$2:B2037,B2037),"00")</f>
        <v>2025042601</v>
      </c>
      <c r="B2037" s="21">
        <f t="shared" ref="B2037" si="645">DATE(C2037,D2037,E2037)</f>
        <v>45773</v>
      </c>
      <c r="C2037" s="22">
        <v>2025</v>
      </c>
      <c r="D2037" s="23">
        <v>4</v>
      </c>
      <c r="E2037" s="24">
        <v>26</v>
      </c>
      <c r="F2037" s="42" t="s">
        <v>17</v>
      </c>
      <c r="G2037" s="42" t="s">
        <v>13</v>
      </c>
      <c r="H2037" s="42" t="s">
        <v>113</v>
      </c>
      <c r="I2037" s="42" t="s">
        <v>171</v>
      </c>
      <c r="J2037" s="10">
        <v>15000</v>
      </c>
      <c r="K2037" s="7">
        <v>-15000</v>
      </c>
      <c r="L2037" s="1" t="s">
        <v>502</v>
      </c>
    </row>
    <row r="2038" spans="1:13">
      <c r="A2038" s="21" t="str">
        <f>TEXT(TEXT(B2038,"yyyymmdd"),"00000000")&amp;TEXT(COUNTIF($B$2:B2038,B2038),"00")</f>
        <v>2025042701</v>
      </c>
      <c r="B2038" s="21">
        <f t="shared" ref="B2038" si="646">DATE(C2038,D2038,E2038)</f>
        <v>45774</v>
      </c>
      <c r="C2038" s="22">
        <v>2025</v>
      </c>
      <c r="D2038" s="23">
        <v>4</v>
      </c>
      <c r="E2038" s="24">
        <v>27</v>
      </c>
      <c r="F2038" s="42" t="s">
        <v>17</v>
      </c>
      <c r="G2038" s="42" t="s">
        <v>7</v>
      </c>
      <c r="H2038" s="42" t="s">
        <v>110</v>
      </c>
      <c r="I2038" s="42" t="s">
        <v>120</v>
      </c>
      <c r="J2038" s="10">
        <v>5500</v>
      </c>
      <c r="K2038" s="7">
        <v>-5500</v>
      </c>
      <c r="L2038" s="1" t="s">
        <v>1408</v>
      </c>
    </row>
    <row r="2039" spans="1:13">
      <c r="A2039" s="21" t="str">
        <f>TEXT(TEXT(B2039,"yyyymmdd"),"00000000")&amp;TEXT(COUNTIF($B$2:B2039,B2039),"00")</f>
        <v>2025042702</v>
      </c>
      <c r="B2039" s="21">
        <f t="shared" ref="B2039" si="647">DATE(C2039,D2039,E2039)</f>
        <v>45774</v>
      </c>
      <c r="C2039" s="22">
        <v>2025</v>
      </c>
      <c r="D2039" s="23">
        <v>4</v>
      </c>
      <c r="E2039" s="24">
        <v>27</v>
      </c>
      <c r="F2039" s="42" t="s">
        <v>17</v>
      </c>
      <c r="G2039" s="42" t="s">
        <v>7</v>
      </c>
      <c r="H2039" s="42" t="s">
        <v>138</v>
      </c>
      <c r="I2039" s="42" t="s">
        <v>139</v>
      </c>
      <c r="J2039" s="10">
        <v>10400</v>
      </c>
      <c r="K2039" s="7">
        <v>-10400</v>
      </c>
      <c r="L2039" s="1" t="s">
        <v>1409</v>
      </c>
    </row>
    <row r="2040" spans="1:13">
      <c r="A2040" s="21" t="str">
        <f>TEXT(TEXT(B2040,"yyyymmdd"),"00000000")&amp;TEXT(COUNTIF($B$2:B2040,B2040),"00")</f>
        <v>2025042703</v>
      </c>
      <c r="B2040" s="21">
        <f t="shared" ref="B2040" si="648">DATE(C2040,D2040,E2040)</f>
        <v>45774</v>
      </c>
      <c r="C2040" s="22">
        <v>2025</v>
      </c>
      <c r="D2040" s="23">
        <v>4</v>
      </c>
      <c r="E2040" s="24">
        <v>27</v>
      </c>
      <c r="F2040" s="42" t="s">
        <v>17</v>
      </c>
      <c r="G2040" s="42" t="s">
        <v>7</v>
      </c>
      <c r="H2040" s="42" t="s">
        <v>117</v>
      </c>
      <c r="I2040" s="42" t="s">
        <v>453</v>
      </c>
      <c r="J2040" s="10">
        <v>12000</v>
      </c>
      <c r="K2040" s="7">
        <v>-12000</v>
      </c>
      <c r="L2040" s="1" t="s">
        <v>754</v>
      </c>
    </row>
    <row r="2041" spans="1:13">
      <c r="A2041" s="21" t="str">
        <f>TEXT(TEXT(B2041,"yyyymmdd"),"00000000")&amp;TEXT(COUNTIF($B$2:B2041,B2041),"00")</f>
        <v>2025042901</v>
      </c>
      <c r="B2041" s="21">
        <f t="shared" ref="B2041" si="649">DATE(C2041,D2041,E2041)</f>
        <v>45776</v>
      </c>
      <c r="C2041" s="22">
        <v>2025</v>
      </c>
      <c r="D2041" s="23">
        <v>4</v>
      </c>
      <c r="E2041" s="24">
        <v>29</v>
      </c>
      <c r="F2041" s="42" t="s">
        <v>17</v>
      </c>
      <c r="G2041" s="42" t="s">
        <v>13</v>
      </c>
      <c r="H2041" s="42" t="s">
        <v>167</v>
      </c>
      <c r="I2041" s="42" t="s">
        <v>214</v>
      </c>
      <c r="J2041" s="10">
        <v>55350</v>
      </c>
      <c r="K2041" s="7">
        <v>-55350</v>
      </c>
      <c r="L2041" s="1" t="s">
        <v>1227</v>
      </c>
    </row>
    <row r="2042" spans="1:13">
      <c r="A2042" s="21" t="str">
        <f>TEXT(TEXT(B2042,"yyyymmdd"),"00000000")&amp;TEXT(COUNTIF($B$2:B2042,B2042),"00")</f>
        <v>2025043001</v>
      </c>
      <c r="B2042" s="21">
        <f t="shared" ref="B2042" si="650">DATE(C2042,D2042,E2042)</f>
        <v>45777</v>
      </c>
      <c r="C2042" s="22">
        <v>2025</v>
      </c>
      <c r="D2042" s="23">
        <v>4</v>
      </c>
      <c r="E2042" s="24">
        <v>30</v>
      </c>
      <c r="F2042" s="42" t="s">
        <v>1351</v>
      </c>
      <c r="G2042" s="42" t="s">
        <v>170</v>
      </c>
      <c r="H2042" s="42" t="s">
        <v>155</v>
      </c>
      <c r="I2042" s="42" t="s">
        <v>156</v>
      </c>
      <c r="J2042" s="10">
        <v>7972</v>
      </c>
      <c r="K2042" s="7">
        <v>-7972</v>
      </c>
      <c r="L2042" s="1" t="s">
        <v>387</v>
      </c>
    </row>
    <row r="2043" spans="1:13">
      <c r="A2043" s="21" t="str">
        <f>TEXT(TEXT(B2043,"yyyymmdd"),"00000000")&amp;TEXT(COUNTIF($B$2:B2043,B2043),"00")</f>
        <v>2025050101</v>
      </c>
      <c r="B2043" s="21">
        <f t="shared" ref="B2043" si="651">DATE(C2043,D2043,E2043)</f>
        <v>45778</v>
      </c>
      <c r="C2043" s="22">
        <v>2025</v>
      </c>
      <c r="D2043" s="23">
        <v>5</v>
      </c>
      <c r="E2043" s="24">
        <v>1</v>
      </c>
      <c r="F2043" s="42" t="s">
        <v>17</v>
      </c>
      <c r="G2043" s="42" t="s">
        <v>151</v>
      </c>
      <c r="H2043" s="42" t="s">
        <v>151</v>
      </c>
      <c r="I2043" s="42" t="s">
        <v>152</v>
      </c>
      <c r="J2043" s="10">
        <v>-600000</v>
      </c>
      <c r="K2043" s="7">
        <v>600000</v>
      </c>
      <c r="L2043" s="1" t="s">
        <v>252</v>
      </c>
      <c r="M2043" s="2" t="s">
        <v>1410</v>
      </c>
    </row>
    <row r="2044" spans="1:13">
      <c r="A2044" s="21" t="str">
        <f>TEXT(TEXT(B2044,"yyyymmdd"),"00000000")&amp;TEXT(COUNTIF($B$2:B2044,B2044),"00")</f>
        <v>2025050102</v>
      </c>
      <c r="B2044" s="21">
        <f t="shared" ref="B2044:B2045" si="652">DATE(C2044,D2044,E2044)</f>
        <v>45778</v>
      </c>
      <c r="C2044" s="22">
        <v>2025</v>
      </c>
      <c r="D2044" s="23">
        <v>5</v>
      </c>
      <c r="E2044" s="24">
        <v>1</v>
      </c>
      <c r="F2044" s="42" t="s">
        <v>17</v>
      </c>
      <c r="G2044" s="42" t="s">
        <v>11</v>
      </c>
      <c r="H2044" s="42" t="s">
        <v>99</v>
      </c>
      <c r="I2044" s="42" t="s">
        <v>94</v>
      </c>
      <c r="J2044" s="10">
        <v>20000</v>
      </c>
      <c r="K2044" s="7">
        <v>-20000</v>
      </c>
      <c r="L2044" s="1" t="s">
        <v>1353</v>
      </c>
    </row>
    <row r="2045" spans="1:13">
      <c r="A2045" s="21" t="str">
        <f>TEXT(TEXT(B2045,"yyyymmdd"),"00000000")&amp;TEXT(COUNTIF($B$2:B2045,B2045),"00")</f>
        <v>2025050103</v>
      </c>
      <c r="B2045" s="21">
        <f t="shared" si="652"/>
        <v>45778</v>
      </c>
      <c r="C2045" s="22">
        <v>2025</v>
      </c>
      <c r="D2045" s="23">
        <v>5</v>
      </c>
      <c r="E2045" s="24">
        <v>1</v>
      </c>
      <c r="F2045" s="42" t="s">
        <v>1351</v>
      </c>
      <c r="G2045" s="42" t="s">
        <v>11</v>
      </c>
      <c r="H2045" s="42" t="s">
        <v>99</v>
      </c>
      <c r="I2045" s="42" t="s">
        <v>94</v>
      </c>
      <c r="J2045" s="10">
        <v>-20000</v>
      </c>
      <c r="K2045" s="7">
        <v>20000</v>
      </c>
      <c r="L2045" s="1" t="s">
        <v>1353</v>
      </c>
    </row>
    <row r="2046" spans="1:13">
      <c r="A2046" s="21" t="str">
        <f>TEXT(TEXT(B2046,"yyyymmdd"),"00000000")&amp;TEXT(COUNTIF($B$2:B2046,B2046),"00")</f>
        <v>2025050201</v>
      </c>
      <c r="B2046" s="21">
        <f t="shared" ref="B2046" si="653">DATE(C2046,D2046,E2046)</f>
        <v>45779</v>
      </c>
      <c r="C2046" s="22">
        <v>2025</v>
      </c>
      <c r="D2046" s="23">
        <v>5</v>
      </c>
      <c r="E2046" s="24">
        <v>2</v>
      </c>
      <c r="F2046" s="42" t="s">
        <v>17</v>
      </c>
      <c r="G2046" s="42" t="s">
        <v>7</v>
      </c>
      <c r="H2046" s="42" t="s">
        <v>138</v>
      </c>
      <c r="I2046" s="42" t="s">
        <v>139</v>
      </c>
      <c r="J2046" s="10">
        <v>29000</v>
      </c>
      <c r="K2046" s="7">
        <v>-29000</v>
      </c>
      <c r="L2046" s="1" t="s">
        <v>1411</v>
      </c>
    </row>
    <row r="2047" spans="1:13">
      <c r="A2047" s="21" t="str">
        <f>TEXT(TEXT(B2047,"yyyymmdd"),"00000000")&amp;TEXT(COUNTIF($B$2:B2047,B2047),"00")</f>
        <v>2025050202</v>
      </c>
      <c r="B2047" s="21">
        <f t="shared" ref="B2047" si="654">DATE(C2047,D2047,E2047)</f>
        <v>45779</v>
      </c>
      <c r="C2047" s="22">
        <v>2025</v>
      </c>
      <c r="D2047" s="23">
        <v>5</v>
      </c>
      <c r="E2047" s="24">
        <v>2</v>
      </c>
      <c r="F2047" s="42" t="s">
        <v>17</v>
      </c>
      <c r="G2047" s="42" t="s">
        <v>7</v>
      </c>
      <c r="H2047" s="42" t="s">
        <v>110</v>
      </c>
      <c r="I2047" s="42" t="s">
        <v>120</v>
      </c>
      <c r="J2047" s="10">
        <v>21000</v>
      </c>
      <c r="K2047" s="7">
        <v>-21000</v>
      </c>
      <c r="L2047" s="1" t="s">
        <v>1412</v>
      </c>
    </row>
    <row r="2048" spans="1:13">
      <c r="A2048" s="21" t="str">
        <f>TEXT(TEXT(B2048,"yyyymmdd"),"00000000")&amp;TEXT(COUNTIF($B$2:B2048,B2048),"00")</f>
        <v>2025050501</v>
      </c>
      <c r="B2048" s="21">
        <f t="shared" ref="B2048" si="655">DATE(C2048,D2048,E2048)</f>
        <v>45782</v>
      </c>
      <c r="C2048" s="22">
        <v>2025</v>
      </c>
      <c r="D2048" s="23">
        <v>5</v>
      </c>
      <c r="E2048" s="24">
        <v>5</v>
      </c>
      <c r="F2048" s="42" t="s">
        <v>17</v>
      </c>
      <c r="G2048" s="42" t="s">
        <v>7</v>
      </c>
      <c r="H2048" s="42" t="s">
        <v>167</v>
      </c>
      <c r="I2048" s="42" t="s">
        <v>214</v>
      </c>
      <c r="J2048" s="10">
        <v>43400</v>
      </c>
      <c r="K2048" s="7">
        <v>-43400</v>
      </c>
      <c r="L2048" s="1" t="s">
        <v>1001</v>
      </c>
    </row>
    <row r="2049" spans="1:13">
      <c r="A2049" s="21" t="str">
        <f>TEXT(TEXT(B2049,"yyyymmdd"),"00000000")&amp;TEXT(COUNTIF($B$2:B2049,B2049),"00")</f>
        <v>2025050502</v>
      </c>
      <c r="B2049" s="21">
        <f t="shared" ref="B2049" si="656">DATE(C2049,D2049,E2049)</f>
        <v>45782</v>
      </c>
      <c r="C2049" s="22">
        <v>2025</v>
      </c>
      <c r="D2049" s="23">
        <v>5</v>
      </c>
      <c r="E2049" s="24">
        <v>5</v>
      </c>
      <c r="F2049" s="42" t="s">
        <v>1351</v>
      </c>
      <c r="G2049" s="42" t="s">
        <v>7</v>
      </c>
      <c r="H2049" s="42" t="s">
        <v>155</v>
      </c>
      <c r="I2049" s="42" t="s">
        <v>156</v>
      </c>
      <c r="J2049" s="10">
        <v>7665</v>
      </c>
      <c r="K2049" s="7">
        <v>-7665</v>
      </c>
      <c r="L2049" s="1" t="s">
        <v>1415</v>
      </c>
    </row>
    <row r="2050" spans="1:13">
      <c r="A2050" s="21" t="str">
        <f>TEXT(TEXT(B2050,"yyyymmdd"),"00000000")&amp;TEXT(COUNTIF($B$2:B2050,B2050),"00")</f>
        <v>2025050601</v>
      </c>
      <c r="B2050" s="21">
        <f t="shared" ref="B2050" si="657">DATE(C2050,D2050,E2050)</f>
        <v>45783</v>
      </c>
      <c r="C2050" s="22">
        <v>2025</v>
      </c>
      <c r="D2050" s="23">
        <v>5</v>
      </c>
      <c r="E2050" s="24">
        <v>6</v>
      </c>
      <c r="F2050" s="42" t="s">
        <v>17</v>
      </c>
      <c r="G2050" s="42" t="s">
        <v>7</v>
      </c>
      <c r="H2050" s="42" t="s">
        <v>116</v>
      </c>
      <c r="I2050" s="42" t="s">
        <v>217</v>
      </c>
      <c r="J2050" s="10">
        <v>3000</v>
      </c>
      <c r="K2050" s="7">
        <v>-3000</v>
      </c>
      <c r="L2050" s="1" t="s">
        <v>883</v>
      </c>
    </row>
    <row r="2051" spans="1:13">
      <c r="A2051" s="21" t="str">
        <f>TEXT(TEXT(B2051,"yyyymmdd"),"00000000")&amp;TEXT(COUNTIF($B$2:B2051,B2051),"00")</f>
        <v>2025050602</v>
      </c>
      <c r="B2051" s="21">
        <f t="shared" ref="B2051" si="658">DATE(C2051,D2051,E2051)</f>
        <v>45783</v>
      </c>
      <c r="C2051" s="22">
        <v>2025</v>
      </c>
      <c r="D2051" s="23">
        <v>5</v>
      </c>
      <c r="E2051" s="24">
        <v>6</v>
      </c>
      <c r="F2051" s="42" t="s">
        <v>17</v>
      </c>
      <c r="G2051" s="42" t="s">
        <v>7</v>
      </c>
      <c r="H2051" s="42" t="s">
        <v>138</v>
      </c>
      <c r="I2051" s="42" t="s">
        <v>139</v>
      </c>
      <c r="J2051" s="10">
        <v>22000</v>
      </c>
      <c r="K2051" s="7">
        <v>-22000</v>
      </c>
      <c r="L2051" s="1" t="s">
        <v>1416</v>
      </c>
      <c r="M2051" s="2" t="s">
        <v>1417</v>
      </c>
    </row>
    <row r="2052" spans="1:13">
      <c r="A2052" s="21" t="str">
        <f>TEXT(TEXT(B2052,"yyyymmdd"),"00000000")&amp;TEXT(COUNTIF($B$2:B2052,B2052),"00")</f>
        <v>2025050801</v>
      </c>
      <c r="B2052" s="21">
        <f t="shared" ref="B2052" si="659">DATE(C2052,D2052,E2052)</f>
        <v>45785</v>
      </c>
      <c r="C2052" s="22">
        <v>2025</v>
      </c>
      <c r="D2052" s="23">
        <v>5</v>
      </c>
      <c r="E2052" s="24">
        <v>8</v>
      </c>
      <c r="F2052" s="42" t="s">
        <v>17</v>
      </c>
      <c r="G2052" s="42" t="s">
        <v>7</v>
      </c>
      <c r="H2052" s="42" t="s">
        <v>173</v>
      </c>
      <c r="I2052" s="42" t="s">
        <v>207</v>
      </c>
      <c r="J2052" s="10">
        <v>27640</v>
      </c>
      <c r="K2052" s="7">
        <v>-27640</v>
      </c>
      <c r="L2052" s="1" t="s">
        <v>208</v>
      </c>
    </row>
    <row r="2053" spans="1:13">
      <c r="A2053" s="21" t="str">
        <f>TEXT(TEXT(B2053,"yyyymmdd"),"00000000")&amp;TEXT(COUNTIF($B$2:B2053,B2053),"00")</f>
        <v>2025050802</v>
      </c>
      <c r="B2053" s="21">
        <f t="shared" ref="B2053" si="660">DATE(C2053,D2053,E2053)</f>
        <v>45785</v>
      </c>
      <c r="C2053" s="22">
        <v>2025</v>
      </c>
      <c r="D2053" s="23">
        <v>5</v>
      </c>
      <c r="E2053" s="24">
        <v>8</v>
      </c>
      <c r="F2053" s="42" t="s">
        <v>17</v>
      </c>
      <c r="G2053" s="42" t="s">
        <v>13</v>
      </c>
      <c r="H2053" s="42" t="s">
        <v>138</v>
      </c>
      <c r="I2053" s="42" t="s">
        <v>139</v>
      </c>
      <c r="J2053" s="10">
        <v>7800</v>
      </c>
      <c r="K2053" s="7">
        <v>-7800</v>
      </c>
      <c r="L2053" s="1" t="s">
        <v>300</v>
      </c>
    </row>
    <row r="2054" spans="1:13">
      <c r="A2054" s="21" t="str">
        <f>TEXT(TEXT(B2054,"yyyymmdd"),"00000000")&amp;TEXT(COUNTIF($B$2:B2054,B2054),"00")</f>
        <v>2025050803</v>
      </c>
      <c r="B2054" s="21">
        <f t="shared" ref="B2054" si="661">DATE(C2054,D2054,E2054)</f>
        <v>45785</v>
      </c>
      <c r="C2054" s="22">
        <v>2025</v>
      </c>
      <c r="D2054" s="23">
        <v>5</v>
      </c>
      <c r="E2054" s="24">
        <v>8</v>
      </c>
      <c r="F2054" s="42" t="s">
        <v>17</v>
      </c>
      <c r="G2054" s="42" t="s">
        <v>7</v>
      </c>
      <c r="H2054" s="42" t="s">
        <v>167</v>
      </c>
      <c r="I2054" s="42" t="s">
        <v>168</v>
      </c>
      <c r="J2054" s="10">
        <v>5750</v>
      </c>
      <c r="K2054" s="7">
        <v>-5750</v>
      </c>
      <c r="L2054" s="1" t="s">
        <v>532</v>
      </c>
    </row>
    <row r="2055" spans="1:13">
      <c r="A2055" s="21" t="str">
        <f>TEXT(TEXT(B2055,"yyyymmdd"),"00000000")&amp;TEXT(COUNTIF($B$2:B2055,B2055),"00")</f>
        <v>2025050901</v>
      </c>
      <c r="B2055" s="21">
        <f t="shared" ref="B2055" si="662">DATE(C2055,D2055,E2055)</f>
        <v>45786</v>
      </c>
      <c r="C2055" s="22">
        <v>2025</v>
      </c>
      <c r="D2055" s="23">
        <v>5</v>
      </c>
      <c r="E2055" s="24">
        <v>9</v>
      </c>
      <c r="F2055" s="42" t="s">
        <v>17</v>
      </c>
      <c r="G2055" s="42" t="s">
        <v>170</v>
      </c>
      <c r="H2055" s="42" t="s">
        <v>114</v>
      </c>
      <c r="I2055" s="42" t="s">
        <v>1007</v>
      </c>
      <c r="J2055" s="10">
        <v>27320</v>
      </c>
      <c r="K2055" s="7">
        <v>-27320</v>
      </c>
      <c r="L2055" s="1" t="s">
        <v>1023</v>
      </c>
    </row>
    <row r="2056" spans="1:13">
      <c r="A2056" s="21" t="str">
        <f>TEXT(TEXT(B2056,"yyyymmdd"),"00000000")&amp;TEXT(COUNTIF($B$2:B2056,B2056),"00")</f>
        <v>2025050902</v>
      </c>
      <c r="B2056" s="21">
        <f t="shared" ref="B2056" si="663">DATE(C2056,D2056,E2056)</f>
        <v>45786</v>
      </c>
      <c r="C2056" s="22">
        <v>2025</v>
      </c>
      <c r="D2056" s="23">
        <v>5</v>
      </c>
      <c r="E2056" s="24">
        <v>9</v>
      </c>
      <c r="F2056" s="42" t="s">
        <v>17</v>
      </c>
      <c r="G2056" s="42" t="s">
        <v>7</v>
      </c>
      <c r="H2056" s="42" t="s">
        <v>110</v>
      </c>
      <c r="I2056" s="42" t="s">
        <v>120</v>
      </c>
      <c r="J2056" s="10">
        <v>6100</v>
      </c>
      <c r="K2056" s="7">
        <v>-6100</v>
      </c>
      <c r="L2056" s="1" t="s">
        <v>1408</v>
      </c>
    </row>
    <row r="2057" spans="1:13">
      <c r="A2057" s="21" t="str">
        <f>TEXT(TEXT(B2057,"yyyymmdd"),"00000000")&amp;TEXT(COUNTIF($B$2:B2057,B2057),"00")</f>
        <v>2025050903</v>
      </c>
      <c r="B2057" s="21">
        <f t="shared" ref="B2057" si="664">DATE(C2057,D2057,E2057)</f>
        <v>45786</v>
      </c>
      <c r="C2057" s="22">
        <v>2025</v>
      </c>
      <c r="D2057" s="23">
        <v>5</v>
      </c>
      <c r="E2057" s="24">
        <v>9</v>
      </c>
      <c r="F2057" s="42" t="s">
        <v>17</v>
      </c>
      <c r="G2057" s="42" t="s">
        <v>135</v>
      </c>
      <c r="H2057" s="42" t="s">
        <v>135</v>
      </c>
      <c r="I2057" s="42" t="s">
        <v>190</v>
      </c>
      <c r="J2057" s="10">
        <v>-292</v>
      </c>
      <c r="K2057" s="7">
        <v>292</v>
      </c>
      <c r="L2057" s="1" t="s">
        <v>210</v>
      </c>
    </row>
    <row r="2058" spans="1:13">
      <c r="A2058" s="21" t="str">
        <f>TEXT(TEXT(B2058,"yyyymmdd"),"00000000")&amp;TEXT(COUNTIF($B$2:B2058,B2058),"00")</f>
        <v>2025051301</v>
      </c>
      <c r="B2058" s="21">
        <f t="shared" ref="B2058" si="665">DATE(C2058,D2058,E2058)</f>
        <v>45790</v>
      </c>
      <c r="C2058" s="22">
        <v>2025</v>
      </c>
      <c r="D2058" s="23">
        <v>5</v>
      </c>
      <c r="E2058" s="24">
        <v>13</v>
      </c>
      <c r="F2058" s="42" t="s">
        <v>17</v>
      </c>
      <c r="G2058" s="42" t="s">
        <v>13</v>
      </c>
      <c r="H2058" s="42" t="s">
        <v>112</v>
      </c>
      <c r="I2058" s="42" t="s">
        <v>342</v>
      </c>
      <c r="J2058" s="10">
        <v>54910</v>
      </c>
      <c r="K2058" s="7">
        <v>-54910</v>
      </c>
      <c r="L2058" s="1" t="s">
        <v>479</v>
      </c>
    </row>
    <row r="2059" spans="1:13">
      <c r="A2059" s="21" t="str">
        <f>TEXT(TEXT(B2059,"yyyymmdd"),"00000000")&amp;TEXT(COUNTIF($B$2:B2059,B2059),"00")</f>
        <v>2025051302</v>
      </c>
      <c r="B2059" s="21">
        <f t="shared" ref="B2059" si="666">DATE(C2059,D2059,E2059)</f>
        <v>45790</v>
      </c>
      <c r="C2059" s="22">
        <v>2025</v>
      </c>
      <c r="D2059" s="23">
        <v>5</v>
      </c>
      <c r="E2059" s="24">
        <v>13</v>
      </c>
      <c r="F2059" s="42" t="s">
        <v>17</v>
      </c>
      <c r="G2059" s="42" t="s">
        <v>13</v>
      </c>
      <c r="H2059" s="42" t="s">
        <v>138</v>
      </c>
      <c r="I2059" s="42" t="s">
        <v>139</v>
      </c>
      <c r="J2059" s="10">
        <v>5600</v>
      </c>
      <c r="K2059" s="7">
        <v>-5600</v>
      </c>
      <c r="L2059" s="1" t="s">
        <v>300</v>
      </c>
    </row>
    <row r="2060" spans="1:13">
      <c r="A2060" s="21" t="str">
        <f>TEXT(TEXT(B2060,"yyyymmdd"),"00000000")&amp;TEXT(COUNTIF($B$2:B2060,B2060),"00")</f>
        <v>2025051303</v>
      </c>
      <c r="B2060" s="21">
        <f t="shared" ref="B2060" si="667">DATE(C2060,D2060,E2060)</f>
        <v>45790</v>
      </c>
      <c r="C2060" s="22">
        <v>2025</v>
      </c>
      <c r="D2060" s="23">
        <v>5</v>
      </c>
      <c r="E2060" s="24">
        <v>13</v>
      </c>
      <c r="F2060" s="42" t="s">
        <v>17</v>
      </c>
      <c r="G2060" s="42" t="s">
        <v>7</v>
      </c>
      <c r="H2060" s="42" t="s">
        <v>167</v>
      </c>
      <c r="I2060" s="42" t="s">
        <v>168</v>
      </c>
      <c r="J2060" s="10">
        <v>6000</v>
      </c>
      <c r="K2060" s="7">
        <v>-6000</v>
      </c>
      <c r="L2060" s="1" t="s">
        <v>532</v>
      </c>
    </row>
    <row r="2061" spans="1:13">
      <c r="A2061" s="21" t="str">
        <f>TEXT(TEXT(B2061,"yyyymmdd"),"00000000")&amp;TEXT(COUNTIF($B$2:B2061,B2061),"00")</f>
        <v>2025051401</v>
      </c>
      <c r="B2061" s="21">
        <f t="shared" ref="B2061" si="668">DATE(C2061,D2061,E2061)</f>
        <v>45791</v>
      </c>
      <c r="C2061" s="22">
        <v>2025</v>
      </c>
      <c r="D2061" s="23">
        <v>5</v>
      </c>
      <c r="E2061" s="24">
        <v>14</v>
      </c>
      <c r="F2061" s="42" t="s">
        <v>17</v>
      </c>
      <c r="G2061" s="42" t="s">
        <v>7</v>
      </c>
      <c r="H2061" s="42" t="s">
        <v>167</v>
      </c>
      <c r="I2061" s="42" t="s">
        <v>168</v>
      </c>
      <c r="J2061" s="10">
        <v>8750</v>
      </c>
      <c r="K2061" s="7">
        <v>-8750</v>
      </c>
      <c r="L2061" s="1" t="s">
        <v>532</v>
      </c>
    </row>
    <row r="2062" spans="1:13">
      <c r="A2062" s="21" t="str">
        <f>TEXT(TEXT(B2062,"yyyymmdd"),"00000000")&amp;TEXT(COUNTIF($B$2:B2062,B2062),"00")</f>
        <v>2025051501</v>
      </c>
      <c r="B2062" s="21">
        <f t="shared" ref="B2062" si="669">DATE(C2062,D2062,E2062)</f>
        <v>45792</v>
      </c>
      <c r="C2062" s="22">
        <v>2025</v>
      </c>
      <c r="D2062" s="23">
        <v>5</v>
      </c>
      <c r="E2062" s="24">
        <v>15</v>
      </c>
      <c r="F2062" s="42" t="s">
        <v>17</v>
      </c>
      <c r="G2062" s="42" t="s">
        <v>7</v>
      </c>
      <c r="H2062" s="42" t="s">
        <v>167</v>
      </c>
      <c r="I2062" s="42" t="s">
        <v>168</v>
      </c>
      <c r="J2062" s="10">
        <v>2400</v>
      </c>
      <c r="K2062" s="7">
        <v>-2400</v>
      </c>
      <c r="L2062" s="1" t="s">
        <v>748</v>
      </c>
    </row>
    <row r="2063" spans="1:13">
      <c r="A2063" s="21" t="str">
        <f>TEXT(TEXT(B2063,"yyyymmdd"),"00000000")&amp;TEXT(COUNTIF($B$2:B2063,B2063),"00")</f>
        <v>2025051601</v>
      </c>
      <c r="B2063" s="21">
        <f t="shared" ref="B2063" si="670">DATE(C2063,D2063,E2063)</f>
        <v>45793</v>
      </c>
      <c r="C2063" s="22">
        <v>2025</v>
      </c>
      <c r="D2063" s="23">
        <v>5</v>
      </c>
      <c r="E2063" s="24">
        <v>16</v>
      </c>
      <c r="F2063" s="42" t="s">
        <v>17</v>
      </c>
      <c r="G2063" s="42" t="s">
        <v>13</v>
      </c>
      <c r="H2063" s="42" t="s">
        <v>138</v>
      </c>
      <c r="I2063" s="42" t="s">
        <v>139</v>
      </c>
      <c r="J2063" s="10">
        <v>13600</v>
      </c>
      <c r="K2063" s="7">
        <v>-13600</v>
      </c>
      <c r="L2063" s="1" t="s">
        <v>1418</v>
      </c>
    </row>
    <row r="2064" spans="1:13">
      <c r="A2064" s="21" t="str">
        <f>TEXT(TEXT(B2064,"yyyymmdd"),"00000000")&amp;TEXT(COUNTIF($B$2:B2064,B2064),"00")</f>
        <v>2025051602</v>
      </c>
      <c r="B2064" s="21">
        <f t="shared" ref="B2064" si="671">DATE(C2064,D2064,E2064)</f>
        <v>45793</v>
      </c>
      <c r="C2064" s="22">
        <v>2025</v>
      </c>
      <c r="D2064" s="23">
        <v>5</v>
      </c>
      <c r="E2064" s="24">
        <v>16</v>
      </c>
      <c r="F2064" s="42" t="s">
        <v>17</v>
      </c>
      <c r="G2064" s="42" t="s">
        <v>7</v>
      </c>
      <c r="H2064" s="42" t="s">
        <v>167</v>
      </c>
      <c r="I2064" s="42" t="s">
        <v>214</v>
      </c>
      <c r="J2064" s="10">
        <v>6000</v>
      </c>
      <c r="K2064" s="7">
        <v>-6000</v>
      </c>
      <c r="L2064" s="1" t="s">
        <v>603</v>
      </c>
    </row>
    <row r="2065" spans="1:13">
      <c r="A2065" s="21" t="str">
        <f>TEXT(TEXT(B2065,"yyyymmdd"),"00000000")&amp;TEXT(COUNTIF($B$2:B2065,B2065),"00")</f>
        <v>2025051701</v>
      </c>
      <c r="B2065" s="21">
        <f t="shared" ref="B2065" si="672">DATE(C2065,D2065,E2065)</f>
        <v>45794</v>
      </c>
      <c r="C2065" s="22">
        <v>2025</v>
      </c>
      <c r="D2065" s="23">
        <v>5</v>
      </c>
      <c r="E2065" s="24">
        <v>17</v>
      </c>
      <c r="F2065" s="42" t="s">
        <v>17</v>
      </c>
      <c r="G2065" s="42" t="s">
        <v>7</v>
      </c>
      <c r="H2065" s="42" t="s">
        <v>119</v>
      </c>
      <c r="I2065" s="42" t="s">
        <v>180</v>
      </c>
      <c r="J2065" s="10">
        <v>5000</v>
      </c>
      <c r="K2065" s="7">
        <v>-5000</v>
      </c>
      <c r="L2065" s="1" t="s">
        <v>181</v>
      </c>
      <c r="M2065" s="2" t="s">
        <v>1419</v>
      </c>
    </row>
    <row r="2066" spans="1:13">
      <c r="A2066" s="21" t="str">
        <f>TEXT(TEXT(B2066,"yyyymmdd"),"00000000")&amp;TEXT(COUNTIF($B$2:B2066,B2066),"00")</f>
        <v>2025051702</v>
      </c>
      <c r="B2066" s="21">
        <f t="shared" ref="B2066" si="673">DATE(C2066,D2066,E2066)</f>
        <v>45794</v>
      </c>
      <c r="C2066" s="22">
        <v>2025</v>
      </c>
      <c r="D2066" s="23">
        <v>5</v>
      </c>
      <c r="E2066" s="24">
        <v>17</v>
      </c>
      <c r="F2066" s="42" t="s">
        <v>17</v>
      </c>
      <c r="G2066" s="42" t="s">
        <v>13</v>
      </c>
      <c r="H2066" s="42" t="s">
        <v>138</v>
      </c>
      <c r="I2066" s="42" t="s">
        <v>139</v>
      </c>
      <c r="J2066" s="10">
        <v>4000</v>
      </c>
      <c r="K2066" s="7">
        <v>-4000</v>
      </c>
      <c r="L2066" s="1" t="s">
        <v>996</v>
      </c>
    </row>
    <row r="2067" spans="1:13">
      <c r="A2067" s="21" t="str">
        <f>TEXT(TEXT(B2067,"yyyymmdd"),"00000000")&amp;TEXT(COUNTIF($B$2:B2067,B2067),"00")</f>
        <v>2025051703</v>
      </c>
      <c r="B2067" s="21">
        <f t="shared" ref="B2067" si="674">DATE(C2067,D2067,E2067)</f>
        <v>45794</v>
      </c>
      <c r="C2067" s="22">
        <v>2025</v>
      </c>
      <c r="D2067" s="23">
        <v>5</v>
      </c>
      <c r="E2067" s="24">
        <v>17</v>
      </c>
      <c r="F2067" s="42" t="s">
        <v>17</v>
      </c>
      <c r="G2067" s="42" t="s">
        <v>7</v>
      </c>
      <c r="H2067" s="42" t="s">
        <v>110</v>
      </c>
      <c r="I2067" s="42" t="s">
        <v>120</v>
      </c>
      <c r="J2067" s="10">
        <v>3650</v>
      </c>
      <c r="K2067" s="7">
        <v>-3650</v>
      </c>
      <c r="L2067" s="1" t="s">
        <v>1408</v>
      </c>
    </row>
    <row r="2068" spans="1:13">
      <c r="A2068" s="21" t="str">
        <f>TEXT(TEXT(B2068,"yyyymmdd"),"00000000")&amp;TEXT(COUNTIF($B$2:B2068,B2068),"00")</f>
        <v>2025051704</v>
      </c>
      <c r="B2068" s="21">
        <f t="shared" ref="B2068" si="675">DATE(C2068,D2068,E2068)</f>
        <v>45794</v>
      </c>
      <c r="C2068" s="22">
        <v>2025</v>
      </c>
      <c r="D2068" s="23">
        <v>5</v>
      </c>
      <c r="E2068" s="24">
        <v>17</v>
      </c>
      <c r="F2068" s="42" t="s">
        <v>17</v>
      </c>
      <c r="G2068" s="42" t="s">
        <v>7</v>
      </c>
      <c r="H2068" s="42" t="s">
        <v>138</v>
      </c>
      <c r="I2068" s="42" t="s">
        <v>139</v>
      </c>
      <c r="J2068" s="10">
        <v>11000</v>
      </c>
      <c r="K2068" s="7">
        <v>-11000</v>
      </c>
      <c r="L2068" s="1" t="s">
        <v>1420</v>
      </c>
    </row>
    <row r="2069" spans="1:13">
      <c r="A2069" s="21" t="str">
        <f>TEXT(TEXT(B2069,"yyyymmdd"),"00000000")&amp;TEXT(COUNTIF($B$2:B2069,B2069),"00")</f>
        <v>2025051705</v>
      </c>
      <c r="B2069" s="21">
        <f t="shared" ref="B2069" si="676">DATE(C2069,D2069,E2069)</f>
        <v>45794</v>
      </c>
      <c r="C2069" s="22">
        <v>2025</v>
      </c>
      <c r="D2069" s="23">
        <v>5</v>
      </c>
      <c r="E2069" s="24">
        <v>17</v>
      </c>
      <c r="F2069" s="42" t="s">
        <v>17</v>
      </c>
      <c r="G2069" s="42" t="s">
        <v>7</v>
      </c>
      <c r="H2069" s="42" t="s">
        <v>110</v>
      </c>
      <c r="I2069" s="42" t="s">
        <v>124</v>
      </c>
      <c r="J2069" s="10">
        <v>6950</v>
      </c>
      <c r="K2069" s="7">
        <v>-6950</v>
      </c>
      <c r="L2069" s="1" t="s">
        <v>770</v>
      </c>
    </row>
    <row r="2070" spans="1:13">
      <c r="A2070" s="21" t="str">
        <f>TEXT(TEXT(B2070,"yyyymmdd"),"00000000")&amp;TEXT(COUNTIF($B$2:B2070,B2070),"00")</f>
        <v>2025051801</v>
      </c>
      <c r="B2070" s="21">
        <f t="shared" ref="B2070" si="677">DATE(C2070,D2070,E2070)</f>
        <v>45795</v>
      </c>
      <c r="C2070" s="22">
        <v>2025</v>
      </c>
      <c r="D2070" s="23">
        <v>5</v>
      </c>
      <c r="E2070" s="24">
        <v>18</v>
      </c>
      <c r="F2070" s="42" t="s">
        <v>17</v>
      </c>
      <c r="G2070" s="42" t="s">
        <v>7</v>
      </c>
      <c r="H2070" s="42" t="s">
        <v>155</v>
      </c>
      <c r="I2070" s="42" t="s">
        <v>221</v>
      </c>
      <c r="J2070" s="10">
        <v>31700</v>
      </c>
      <c r="K2070" s="7">
        <v>-31700</v>
      </c>
      <c r="L2070" s="1" t="s">
        <v>999</v>
      </c>
    </row>
    <row r="2071" spans="1:13">
      <c r="A2071" s="21" t="str">
        <f>TEXT(TEXT(B2071,"yyyymmdd"),"00000000")&amp;TEXT(COUNTIF($B$2:B2071,B2071),"00")</f>
        <v>2025051802</v>
      </c>
      <c r="B2071" s="21">
        <f t="shared" ref="B2071" si="678">DATE(C2071,D2071,E2071)</f>
        <v>45795</v>
      </c>
      <c r="C2071" s="22">
        <v>2025</v>
      </c>
      <c r="D2071" s="23">
        <v>5</v>
      </c>
      <c r="E2071" s="24">
        <v>18</v>
      </c>
      <c r="F2071" s="42" t="s">
        <v>498</v>
      </c>
      <c r="G2071" s="42" t="s">
        <v>11</v>
      </c>
      <c r="H2071" s="42" t="s">
        <v>99</v>
      </c>
      <c r="I2071" s="42" t="s">
        <v>11</v>
      </c>
      <c r="J2071" s="10">
        <v>-300000</v>
      </c>
      <c r="K2071" s="7">
        <v>300000</v>
      </c>
      <c r="L2071" s="1" t="s">
        <v>1338</v>
      </c>
      <c r="M2071" s="2" t="s">
        <v>1421</v>
      </c>
    </row>
    <row r="2072" spans="1:13">
      <c r="A2072" s="21" t="str">
        <f>TEXT(TEXT(B2072,"yyyymmdd"),"00000000")&amp;TEXT(COUNTIF($B$2:B2072,B2072),"00")</f>
        <v>2025052001</v>
      </c>
      <c r="B2072" s="21">
        <f t="shared" ref="B2072" si="679">DATE(C2072,D2072,E2072)</f>
        <v>45797</v>
      </c>
      <c r="C2072" s="22">
        <v>2025</v>
      </c>
      <c r="D2072" s="23">
        <v>5</v>
      </c>
      <c r="E2072" s="24">
        <v>20</v>
      </c>
      <c r="F2072" s="42" t="s">
        <v>17</v>
      </c>
      <c r="G2072" s="42" t="s">
        <v>13</v>
      </c>
      <c r="H2072" s="42" t="s">
        <v>138</v>
      </c>
      <c r="I2072" s="42" t="s">
        <v>139</v>
      </c>
      <c r="J2072" s="10">
        <v>9000</v>
      </c>
      <c r="K2072" s="7">
        <v>-9000</v>
      </c>
      <c r="L2072" s="1" t="s">
        <v>300</v>
      </c>
    </row>
    <row r="2073" spans="1:13">
      <c r="A2073" s="21" t="str">
        <f>TEXT(TEXT(B2073,"yyyymmdd"),"00000000")&amp;TEXT(COUNTIF($B$2:B2073,B2073),"00")</f>
        <v>2025052002</v>
      </c>
      <c r="B2073" s="21">
        <f t="shared" ref="B2073" si="680">DATE(C2073,D2073,E2073)</f>
        <v>45797</v>
      </c>
      <c r="C2073" s="22">
        <v>2025</v>
      </c>
      <c r="D2073" s="23">
        <v>5</v>
      </c>
      <c r="E2073" s="24">
        <v>20</v>
      </c>
      <c r="F2073" s="42" t="s">
        <v>17</v>
      </c>
      <c r="G2073" s="42" t="s">
        <v>170</v>
      </c>
      <c r="H2073" s="42" t="s">
        <v>114</v>
      </c>
      <c r="I2073" s="42" t="s">
        <v>1266</v>
      </c>
      <c r="J2073" s="10">
        <v>5400</v>
      </c>
      <c r="K2073" s="7">
        <v>-5400</v>
      </c>
      <c r="L2073" s="1" t="s">
        <v>1267</v>
      </c>
    </row>
    <row r="2074" spans="1:13">
      <c r="A2074" s="21" t="str">
        <f>TEXT(TEXT(B2074,"yyyymmdd"),"00000000")&amp;TEXT(COUNTIF($B$2:B2074,B2074),"00")</f>
        <v>2025052101</v>
      </c>
      <c r="B2074" s="21">
        <f t="shared" ref="B2074" si="681">DATE(C2074,D2074,E2074)</f>
        <v>45798</v>
      </c>
      <c r="C2074" s="22">
        <v>2025</v>
      </c>
      <c r="D2074" s="23">
        <v>5</v>
      </c>
      <c r="E2074" s="24">
        <v>21</v>
      </c>
      <c r="F2074" s="42" t="s">
        <v>17</v>
      </c>
      <c r="G2074" s="42" t="s">
        <v>13</v>
      </c>
      <c r="H2074" s="42" t="s">
        <v>138</v>
      </c>
      <c r="I2074" s="42" t="s">
        <v>139</v>
      </c>
      <c r="J2074" s="10">
        <v>6000</v>
      </c>
      <c r="K2074" s="7">
        <v>-6000</v>
      </c>
      <c r="L2074" s="1" t="s">
        <v>619</v>
      </c>
    </row>
    <row r="2075" spans="1:13">
      <c r="A2075" s="21" t="str">
        <f>TEXT(TEXT(B2075,"yyyymmdd"),"00000000")&amp;TEXT(COUNTIF($B$2:B2075,B2075),"00")</f>
        <v>2025052102</v>
      </c>
      <c r="B2075" s="21">
        <f t="shared" ref="B2075" si="682">DATE(C2075,D2075,E2075)</f>
        <v>45798</v>
      </c>
      <c r="C2075" s="22">
        <v>2025</v>
      </c>
      <c r="D2075" s="23">
        <v>5</v>
      </c>
      <c r="E2075" s="24">
        <v>21</v>
      </c>
      <c r="F2075" s="42" t="s">
        <v>17</v>
      </c>
      <c r="G2075" s="42" t="s">
        <v>13</v>
      </c>
      <c r="H2075" s="42" t="s">
        <v>138</v>
      </c>
      <c r="I2075" s="42" t="s">
        <v>139</v>
      </c>
      <c r="J2075" s="10">
        <v>9000</v>
      </c>
      <c r="K2075" s="7">
        <v>-9000</v>
      </c>
      <c r="L2075" s="1" t="s">
        <v>717</v>
      </c>
    </row>
    <row r="2076" spans="1:13">
      <c r="A2076" s="21" t="str">
        <f>TEXT(TEXT(B2076,"yyyymmdd"),"00000000")&amp;TEXT(COUNTIF($B$2:B2076,B2076),"00")</f>
        <v>2025052103</v>
      </c>
      <c r="B2076" s="21">
        <f t="shared" ref="B2076" si="683">DATE(C2076,D2076,E2076)</f>
        <v>45798</v>
      </c>
      <c r="C2076" s="22">
        <v>2025</v>
      </c>
      <c r="D2076" s="23">
        <v>5</v>
      </c>
      <c r="E2076" s="24">
        <v>21</v>
      </c>
      <c r="F2076" s="42" t="s">
        <v>17</v>
      </c>
      <c r="G2076" s="42" t="s">
        <v>170</v>
      </c>
      <c r="H2076" s="42" t="s">
        <v>114</v>
      </c>
      <c r="I2076" s="42" t="s">
        <v>1005</v>
      </c>
      <c r="J2076" s="10">
        <v>28170</v>
      </c>
      <c r="K2076" s="7">
        <v>-28170</v>
      </c>
      <c r="L2076" s="1" t="s">
        <v>1006</v>
      </c>
    </row>
    <row r="2077" spans="1:13">
      <c r="A2077" s="21" t="str">
        <f>TEXT(TEXT(B2077,"yyyymmdd"),"00000000")&amp;TEXT(COUNTIF($B$2:B2077,B2077),"00")</f>
        <v>2025052201</v>
      </c>
      <c r="B2077" s="21">
        <f t="shared" ref="B2077" si="684">DATE(C2077,D2077,E2077)</f>
        <v>45799</v>
      </c>
      <c r="C2077" s="22">
        <v>2025</v>
      </c>
      <c r="D2077" s="23">
        <v>5</v>
      </c>
      <c r="E2077" s="24">
        <v>22</v>
      </c>
      <c r="F2077" s="42" t="s">
        <v>17</v>
      </c>
      <c r="G2077" s="42" t="s">
        <v>13</v>
      </c>
      <c r="H2077" s="42" t="s">
        <v>138</v>
      </c>
      <c r="I2077" s="42" t="s">
        <v>139</v>
      </c>
      <c r="J2077" s="10">
        <v>6600</v>
      </c>
      <c r="K2077" s="7">
        <v>-6600</v>
      </c>
      <c r="L2077" s="1" t="s">
        <v>300</v>
      </c>
    </row>
    <row r="2078" spans="1:13">
      <c r="A2078" s="21" t="str">
        <f>TEXT(TEXT(B2078,"yyyymmdd"),"00000000")&amp;TEXT(COUNTIF($B$2:B2078,B2078),"00")</f>
        <v>2025052202</v>
      </c>
      <c r="B2078" s="21">
        <f t="shared" ref="B2078" si="685">DATE(C2078,D2078,E2078)</f>
        <v>45799</v>
      </c>
      <c r="C2078" s="22">
        <v>2025</v>
      </c>
      <c r="D2078" s="23">
        <v>5</v>
      </c>
      <c r="E2078" s="24">
        <v>22</v>
      </c>
      <c r="F2078" s="42" t="s">
        <v>17</v>
      </c>
      <c r="G2078" s="42" t="s">
        <v>7</v>
      </c>
      <c r="H2078" s="42" t="s">
        <v>119</v>
      </c>
      <c r="I2078" s="42" t="s">
        <v>180</v>
      </c>
      <c r="J2078" s="10">
        <v>19900</v>
      </c>
      <c r="K2078" s="7">
        <v>-19900</v>
      </c>
      <c r="L2078" s="1" t="s">
        <v>1422</v>
      </c>
    </row>
    <row r="2079" spans="1:13">
      <c r="A2079" s="21" t="str">
        <f>TEXT(TEXT(B2079,"yyyymmdd"),"00000000")&amp;TEXT(COUNTIF($B$2:B2079,B2079),"00")</f>
        <v>2025052301</v>
      </c>
      <c r="B2079" s="21">
        <f t="shared" ref="B2079" si="686">DATE(C2079,D2079,E2079)</f>
        <v>45800</v>
      </c>
      <c r="C2079" s="22">
        <v>2025</v>
      </c>
      <c r="D2079" s="23">
        <v>5</v>
      </c>
      <c r="E2079" s="24">
        <v>23</v>
      </c>
      <c r="F2079" s="42" t="s">
        <v>17</v>
      </c>
      <c r="G2079" s="42" t="s">
        <v>13</v>
      </c>
      <c r="H2079" s="42" t="s">
        <v>138</v>
      </c>
      <c r="I2079" s="42" t="s">
        <v>139</v>
      </c>
      <c r="J2079" s="10">
        <v>9500</v>
      </c>
      <c r="K2079" s="7">
        <v>-9500</v>
      </c>
      <c r="L2079" s="1" t="s">
        <v>779</v>
      </c>
    </row>
    <row r="2080" spans="1:13">
      <c r="A2080" s="21" t="str">
        <f>TEXT(TEXT(B2080,"yyyymmdd"),"00000000")&amp;TEXT(COUNTIF($B$2:B2080,B2080),"00")</f>
        <v>2025052302</v>
      </c>
      <c r="B2080" s="21">
        <f t="shared" ref="B2080" si="687">DATE(C2080,D2080,E2080)</f>
        <v>45800</v>
      </c>
      <c r="C2080" s="22">
        <v>2025</v>
      </c>
      <c r="D2080" s="23">
        <v>5</v>
      </c>
      <c r="E2080" s="24">
        <v>23</v>
      </c>
      <c r="F2080" s="42" t="s">
        <v>17</v>
      </c>
      <c r="G2080" s="42" t="s">
        <v>7</v>
      </c>
      <c r="H2080" s="42" t="s">
        <v>111</v>
      </c>
      <c r="I2080" s="42" t="s">
        <v>334</v>
      </c>
      <c r="J2080" s="10">
        <v>23550</v>
      </c>
      <c r="K2080" s="7">
        <v>-23550</v>
      </c>
      <c r="L2080" s="1" t="s">
        <v>977</v>
      </c>
    </row>
    <row r="2081" spans="1:13">
      <c r="A2081" s="21" t="str">
        <f>TEXT(TEXT(B2081,"yyyymmdd"),"00000000")&amp;TEXT(COUNTIF($B$2:B2081,B2081),"00")</f>
        <v>2025052401</v>
      </c>
      <c r="B2081" s="21">
        <f t="shared" ref="B2081" si="688">DATE(C2081,D2081,E2081)</f>
        <v>45801</v>
      </c>
      <c r="C2081" s="22">
        <v>2025</v>
      </c>
      <c r="D2081" s="23">
        <v>5</v>
      </c>
      <c r="E2081" s="24">
        <v>24</v>
      </c>
      <c r="F2081" s="42" t="s">
        <v>17</v>
      </c>
      <c r="G2081" s="42" t="s">
        <v>13</v>
      </c>
      <c r="H2081" s="42" t="s">
        <v>138</v>
      </c>
      <c r="I2081" s="42" t="s">
        <v>139</v>
      </c>
      <c r="J2081" s="10">
        <v>10000</v>
      </c>
      <c r="K2081" s="7">
        <v>-10000</v>
      </c>
      <c r="L2081" s="1" t="s">
        <v>1423</v>
      </c>
    </row>
    <row r="2082" spans="1:13">
      <c r="A2082" s="21" t="str">
        <f>TEXT(TEXT(B2082,"yyyymmdd"),"00000000")&amp;TEXT(COUNTIF($B$2:B2082,B2082),"00")</f>
        <v>2025052402</v>
      </c>
      <c r="B2082" s="21">
        <f t="shared" ref="B2082" si="689">DATE(C2082,D2082,E2082)</f>
        <v>45801</v>
      </c>
      <c r="C2082" s="22">
        <v>2025</v>
      </c>
      <c r="D2082" s="23">
        <v>5</v>
      </c>
      <c r="E2082" s="24">
        <v>24</v>
      </c>
      <c r="F2082" s="42" t="s">
        <v>17</v>
      </c>
      <c r="G2082" s="42" t="s">
        <v>7</v>
      </c>
      <c r="H2082" s="42" t="s">
        <v>110</v>
      </c>
      <c r="I2082" s="42" t="s">
        <v>120</v>
      </c>
      <c r="J2082" s="10">
        <v>1400</v>
      </c>
      <c r="K2082" s="7">
        <v>-1400</v>
      </c>
      <c r="L2082" s="1" t="s">
        <v>480</v>
      </c>
    </row>
    <row r="2083" spans="1:13">
      <c r="A2083" s="21" t="str">
        <f>TEXT(TEXT(B2083,"yyyymmdd"),"00000000")&amp;TEXT(COUNTIF($B$2:B2083,B2083),"00")</f>
        <v>2025052403</v>
      </c>
      <c r="B2083" s="21">
        <f t="shared" ref="B2083" si="690">DATE(C2083,D2083,E2083)</f>
        <v>45801</v>
      </c>
      <c r="C2083" s="22">
        <v>2025</v>
      </c>
      <c r="D2083" s="23">
        <v>5</v>
      </c>
      <c r="E2083" s="24">
        <v>24</v>
      </c>
      <c r="F2083" s="42" t="s">
        <v>17</v>
      </c>
      <c r="G2083" s="42" t="s">
        <v>13</v>
      </c>
      <c r="H2083" s="42" t="s">
        <v>167</v>
      </c>
      <c r="I2083" s="42" t="s">
        <v>214</v>
      </c>
      <c r="J2083" s="10">
        <v>1000</v>
      </c>
      <c r="K2083" s="7">
        <v>-1000</v>
      </c>
      <c r="L2083" s="1" t="s">
        <v>1424</v>
      </c>
    </row>
    <row r="2084" spans="1:13">
      <c r="A2084" s="21" t="str">
        <f>TEXT(TEXT(B2084,"yyyymmdd"),"00000000")&amp;TEXT(COUNTIF($B$2:B2084,B2084),"00")</f>
        <v>2025052501</v>
      </c>
      <c r="B2084" s="21">
        <f t="shared" ref="B2084" si="691">DATE(C2084,D2084,E2084)</f>
        <v>45802</v>
      </c>
      <c r="C2084" s="22">
        <v>2025</v>
      </c>
      <c r="D2084" s="23">
        <v>5</v>
      </c>
      <c r="E2084" s="24">
        <v>25</v>
      </c>
      <c r="F2084" s="42" t="s">
        <v>17</v>
      </c>
      <c r="G2084" s="42" t="s">
        <v>13</v>
      </c>
      <c r="H2084" s="42" t="s">
        <v>138</v>
      </c>
      <c r="I2084" s="42" t="s">
        <v>197</v>
      </c>
      <c r="J2084" s="10">
        <v>4900</v>
      </c>
      <c r="K2084" s="7">
        <v>-4900</v>
      </c>
      <c r="L2084" s="1" t="s">
        <v>1425</v>
      </c>
    </row>
    <row r="2085" spans="1:13">
      <c r="A2085" s="21" t="str">
        <f>TEXT(TEXT(B2085,"yyyymmdd"),"00000000")&amp;TEXT(COUNTIF($B$2:B2085,B2085),"00")</f>
        <v>2025052502</v>
      </c>
      <c r="B2085" s="21">
        <f t="shared" ref="B2085" si="692">DATE(C2085,D2085,E2085)</f>
        <v>45802</v>
      </c>
      <c r="C2085" s="22">
        <v>2025</v>
      </c>
      <c r="D2085" s="23">
        <v>5</v>
      </c>
      <c r="E2085" s="24">
        <v>25</v>
      </c>
      <c r="F2085" s="42" t="s">
        <v>17</v>
      </c>
      <c r="G2085" s="42" t="s">
        <v>13</v>
      </c>
      <c r="H2085" s="42" t="s">
        <v>167</v>
      </c>
      <c r="I2085" s="42" t="s">
        <v>214</v>
      </c>
      <c r="J2085" s="10">
        <v>47050</v>
      </c>
      <c r="K2085" s="7">
        <v>-47050</v>
      </c>
      <c r="L2085" s="1" t="s">
        <v>957</v>
      </c>
    </row>
    <row r="2086" spans="1:13">
      <c r="A2086" s="21" t="str">
        <f>TEXT(TEXT(B2086,"yyyymmdd"),"00000000")&amp;TEXT(COUNTIF($B$2:B2086,B2086),"00")</f>
        <v>2025052601</v>
      </c>
      <c r="B2086" s="21">
        <f t="shared" ref="B2086" si="693">DATE(C2086,D2086,E2086)</f>
        <v>45803</v>
      </c>
      <c r="C2086" s="22">
        <v>2025</v>
      </c>
      <c r="D2086" s="23">
        <v>5</v>
      </c>
      <c r="E2086" s="24">
        <v>26</v>
      </c>
      <c r="F2086" s="42" t="s">
        <v>17</v>
      </c>
      <c r="G2086" s="42" t="s">
        <v>7</v>
      </c>
      <c r="H2086" s="42" t="s">
        <v>119</v>
      </c>
      <c r="I2086" s="42" t="s">
        <v>180</v>
      </c>
      <c r="J2086" s="10">
        <v>35250</v>
      </c>
      <c r="K2086" s="7">
        <v>-35250</v>
      </c>
      <c r="L2086" s="1" t="s">
        <v>1426</v>
      </c>
      <c r="M2086" s="2" t="s">
        <v>1427</v>
      </c>
    </row>
    <row r="2087" spans="1:13">
      <c r="A2087" s="21" t="str">
        <f>TEXT(TEXT(B2087,"yyyymmdd"),"00000000")&amp;TEXT(COUNTIF($B$2:B2087,B2087),"00")</f>
        <v>2025052701</v>
      </c>
      <c r="B2087" s="21">
        <f t="shared" ref="B2087" si="694">DATE(C2087,D2087,E2087)</f>
        <v>45804</v>
      </c>
      <c r="C2087" s="22">
        <v>2025</v>
      </c>
      <c r="D2087" s="23">
        <v>5</v>
      </c>
      <c r="E2087" s="24">
        <v>27</v>
      </c>
      <c r="F2087" s="42" t="s">
        <v>17</v>
      </c>
      <c r="G2087" s="42" t="s">
        <v>13</v>
      </c>
      <c r="H2087" s="42" t="s">
        <v>138</v>
      </c>
      <c r="I2087" s="42" t="s">
        <v>139</v>
      </c>
      <c r="J2087" s="10">
        <v>6000</v>
      </c>
      <c r="K2087" s="7">
        <v>-6000</v>
      </c>
      <c r="L2087" s="1" t="s">
        <v>619</v>
      </c>
    </row>
    <row r="2088" spans="1:13">
      <c r="A2088" s="21" t="str">
        <f>TEXT(TEXT(B2088,"yyyymmdd"),"00000000")&amp;TEXT(COUNTIF($B$2:B2088,B2088),"00")</f>
        <v>2025052801</v>
      </c>
      <c r="B2088" s="21">
        <f t="shared" ref="B2088" si="695">DATE(C2088,D2088,E2088)</f>
        <v>45805</v>
      </c>
      <c r="C2088" s="22">
        <v>2025</v>
      </c>
      <c r="D2088" s="23">
        <v>5</v>
      </c>
      <c r="E2088" s="24">
        <v>28</v>
      </c>
      <c r="F2088" s="42" t="s">
        <v>17</v>
      </c>
      <c r="G2088" s="42" t="s">
        <v>13</v>
      </c>
      <c r="H2088" s="42" t="s">
        <v>138</v>
      </c>
      <c r="I2088" s="42" t="s">
        <v>139</v>
      </c>
      <c r="J2088" s="10">
        <v>6000</v>
      </c>
      <c r="K2088" s="7">
        <v>-6000</v>
      </c>
      <c r="L2088" s="1" t="s">
        <v>619</v>
      </c>
    </row>
    <row r="2089" spans="1:13">
      <c r="A2089" s="21" t="str">
        <f>TEXT(TEXT(B2089,"yyyymmdd"),"00000000")&amp;TEXT(COUNTIF($B$2:B2089,B2089),"00")</f>
        <v>2025052802</v>
      </c>
      <c r="B2089" s="21">
        <f t="shared" ref="B2089" si="696">DATE(C2089,D2089,E2089)</f>
        <v>45805</v>
      </c>
      <c r="C2089" s="22">
        <v>2025</v>
      </c>
      <c r="D2089" s="23">
        <v>5</v>
      </c>
      <c r="E2089" s="24">
        <v>28</v>
      </c>
      <c r="F2089" s="42" t="s">
        <v>17</v>
      </c>
      <c r="G2089" s="42" t="s">
        <v>13</v>
      </c>
      <c r="H2089" s="42" t="s">
        <v>138</v>
      </c>
      <c r="I2089" s="42" t="s">
        <v>139</v>
      </c>
      <c r="J2089" s="10">
        <v>6300</v>
      </c>
      <c r="K2089" s="7">
        <v>-6300</v>
      </c>
      <c r="L2089" s="1" t="s">
        <v>300</v>
      </c>
    </row>
    <row r="2090" spans="1:13">
      <c r="A2090" s="21" t="str">
        <f>TEXT(TEXT(B2090,"yyyymmdd"),"00000000")&amp;TEXT(COUNTIF($B$2:B2090,B2090),"00")</f>
        <v>2025052901</v>
      </c>
      <c r="B2090" s="21">
        <f t="shared" ref="B2090" si="697">DATE(C2090,D2090,E2090)</f>
        <v>45806</v>
      </c>
      <c r="C2090" s="22">
        <v>2025</v>
      </c>
      <c r="D2090" s="23">
        <v>5</v>
      </c>
      <c r="E2090" s="24">
        <v>29</v>
      </c>
      <c r="F2090" s="42" t="s">
        <v>17</v>
      </c>
      <c r="G2090" s="42" t="s">
        <v>7</v>
      </c>
      <c r="H2090" s="42" t="s">
        <v>119</v>
      </c>
      <c r="I2090" s="42" t="s">
        <v>180</v>
      </c>
      <c r="J2090" s="10">
        <v>3000</v>
      </c>
      <c r="K2090" s="7">
        <v>-3000</v>
      </c>
      <c r="L2090" s="1" t="s">
        <v>1428</v>
      </c>
      <c r="M2090" s="2" t="s">
        <v>1429</v>
      </c>
    </row>
    <row r="2091" spans="1:13">
      <c r="A2091" s="21" t="str">
        <f>TEXT(TEXT(B2091,"yyyymmdd"),"00000000")&amp;TEXT(COUNTIF($B$2:B2091,B2091),"00")</f>
        <v>2025053001</v>
      </c>
      <c r="B2091" s="21">
        <f t="shared" ref="B2091" si="698">DATE(C2091,D2091,E2091)</f>
        <v>45807</v>
      </c>
      <c r="C2091" s="22">
        <v>2025</v>
      </c>
      <c r="D2091" s="23">
        <v>5</v>
      </c>
      <c r="E2091" s="24">
        <v>30</v>
      </c>
      <c r="F2091" s="42" t="s">
        <v>17</v>
      </c>
      <c r="G2091" s="42" t="s">
        <v>13</v>
      </c>
      <c r="H2091" s="42" t="s">
        <v>113</v>
      </c>
      <c r="I2091" s="42" t="s">
        <v>171</v>
      </c>
      <c r="J2091" s="10">
        <v>15000</v>
      </c>
      <c r="K2091" s="7">
        <v>-15000</v>
      </c>
      <c r="L2091" s="1" t="s">
        <v>502</v>
      </c>
    </row>
    <row r="2092" spans="1:13">
      <c r="A2092" s="21" t="str">
        <f>TEXT(TEXT(B2092,"yyyymmdd"),"00000000")&amp;TEXT(COUNTIF($B$2:B2092,B2092),"00")</f>
        <v>2025053002</v>
      </c>
      <c r="B2092" s="21">
        <f t="shared" ref="B2092" si="699">DATE(C2092,D2092,E2092)</f>
        <v>45807</v>
      </c>
      <c r="C2092" s="22">
        <v>2025</v>
      </c>
      <c r="D2092" s="23">
        <v>5</v>
      </c>
      <c r="E2092" s="24">
        <v>30</v>
      </c>
      <c r="F2092" s="42" t="s">
        <v>17</v>
      </c>
      <c r="G2092" s="42" t="s">
        <v>7</v>
      </c>
      <c r="H2092" s="42" t="s">
        <v>110</v>
      </c>
      <c r="I2092" s="42" t="s">
        <v>120</v>
      </c>
      <c r="J2092" s="10">
        <v>1800</v>
      </c>
      <c r="K2092" s="7">
        <v>-1800</v>
      </c>
      <c r="L2092" s="1" t="s">
        <v>480</v>
      </c>
    </row>
    <row r="2093" spans="1:13">
      <c r="A2093" s="21" t="str">
        <f>TEXT(TEXT(B2093,"yyyymmdd"),"00000000")&amp;TEXT(COUNTIF($B$2:B2093,B2093),"00")</f>
        <v>2025053003</v>
      </c>
      <c r="B2093" s="21">
        <f t="shared" ref="B2093" si="700">DATE(C2093,D2093,E2093)</f>
        <v>45807</v>
      </c>
      <c r="C2093" s="22">
        <v>2025</v>
      </c>
      <c r="D2093" s="23">
        <v>5</v>
      </c>
      <c r="E2093" s="24">
        <v>30</v>
      </c>
      <c r="F2093" s="42" t="s">
        <v>17</v>
      </c>
      <c r="G2093" s="42" t="s">
        <v>7</v>
      </c>
      <c r="H2093" s="42" t="s">
        <v>110</v>
      </c>
      <c r="I2093" s="42" t="s">
        <v>120</v>
      </c>
      <c r="J2093" s="10">
        <v>3450</v>
      </c>
      <c r="K2093" s="7">
        <v>-3450</v>
      </c>
      <c r="L2093" s="1" t="s">
        <v>1430</v>
      </c>
    </row>
    <row r="2094" spans="1:13">
      <c r="A2094" s="21" t="str">
        <f>TEXT(TEXT(B2094,"yyyymmdd"),"00000000")&amp;TEXT(COUNTIF($B$2:B2094,B2094),"00")</f>
        <v>2025053101</v>
      </c>
      <c r="B2094" s="21">
        <f t="shared" ref="B2094" si="701">DATE(C2094,D2094,E2094)</f>
        <v>45808</v>
      </c>
      <c r="C2094" s="22">
        <v>2025</v>
      </c>
      <c r="D2094" s="23">
        <v>5</v>
      </c>
      <c r="E2094" s="24">
        <v>31</v>
      </c>
      <c r="F2094" s="42" t="s">
        <v>17</v>
      </c>
      <c r="G2094" s="42" t="s">
        <v>7</v>
      </c>
      <c r="H2094" s="42" t="s">
        <v>138</v>
      </c>
      <c r="I2094" s="42" t="s">
        <v>139</v>
      </c>
      <c r="J2094" s="10">
        <v>5500</v>
      </c>
      <c r="K2094" s="7">
        <v>-5500</v>
      </c>
      <c r="L2094" s="1" t="s">
        <v>1431</v>
      </c>
    </row>
    <row r="2095" spans="1:13">
      <c r="A2095" s="21" t="str">
        <f>TEXT(TEXT(B2095,"yyyymmdd"),"00000000")&amp;TEXT(COUNTIF($B$2:B2095,B2095),"00")</f>
        <v>2025053102</v>
      </c>
      <c r="B2095" s="21">
        <f t="shared" ref="B2095" si="702">DATE(C2095,D2095,E2095)</f>
        <v>45808</v>
      </c>
      <c r="C2095" s="22">
        <v>2025</v>
      </c>
      <c r="D2095" s="23">
        <v>5</v>
      </c>
      <c r="E2095" s="24">
        <v>31</v>
      </c>
      <c r="F2095" s="42" t="s">
        <v>17</v>
      </c>
      <c r="G2095" s="42" t="s">
        <v>7</v>
      </c>
      <c r="H2095" s="42" t="s">
        <v>110</v>
      </c>
      <c r="I2095" s="42" t="s">
        <v>120</v>
      </c>
      <c r="J2095" s="10">
        <v>5400</v>
      </c>
      <c r="K2095" s="7">
        <v>-5400</v>
      </c>
      <c r="L2095" s="1" t="s">
        <v>651</v>
      </c>
    </row>
    <row r="2096" spans="1:13">
      <c r="A2096" s="21" t="str">
        <f>TEXT(TEXT(B2096,"yyyymmdd"),"00000000")&amp;TEXT(COUNTIF($B$2:B2096,B2096),"00")</f>
        <v>2025053103</v>
      </c>
      <c r="B2096" s="21">
        <f t="shared" ref="B2096" si="703">DATE(C2096,D2096,E2096)</f>
        <v>45808</v>
      </c>
      <c r="C2096" s="22">
        <v>2025</v>
      </c>
      <c r="D2096" s="23">
        <v>5</v>
      </c>
      <c r="E2096" s="24">
        <v>31</v>
      </c>
      <c r="F2096" s="42" t="s">
        <v>17</v>
      </c>
      <c r="G2096" s="42" t="s">
        <v>7</v>
      </c>
      <c r="H2096" s="42" t="s">
        <v>117</v>
      </c>
      <c r="I2096" s="42" t="s">
        <v>453</v>
      </c>
      <c r="J2096" s="10">
        <v>12500</v>
      </c>
      <c r="K2096" s="7">
        <v>-12500</v>
      </c>
      <c r="L2096" s="1" t="s">
        <v>1432</v>
      </c>
    </row>
    <row r="2097" spans="1:13">
      <c r="A2097" s="21" t="str">
        <f>TEXT(TEXT(B2097,"yyyymmdd"),"00000000")&amp;TEXT(COUNTIF($B$2:B2097,B2097),"00")</f>
        <v>2025053104</v>
      </c>
      <c r="B2097" s="21">
        <f t="shared" ref="B2097" si="704">DATE(C2097,D2097,E2097)</f>
        <v>45808</v>
      </c>
      <c r="C2097" s="22">
        <v>2025</v>
      </c>
      <c r="D2097" s="23">
        <v>5</v>
      </c>
      <c r="E2097" s="24">
        <v>31</v>
      </c>
      <c r="F2097" s="42" t="s">
        <v>17</v>
      </c>
      <c r="G2097" s="42" t="s">
        <v>7</v>
      </c>
      <c r="H2097" s="42" t="s">
        <v>138</v>
      </c>
      <c r="I2097" s="42" t="s">
        <v>139</v>
      </c>
      <c r="J2097" s="10">
        <v>11000</v>
      </c>
      <c r="K2097" s="7">
        <v>-11000</v>
      </c>
      <c r="L2097" s="1" t="s">
        <v>1433</v>
      </c>
    </row>
    <row r="2098" spans="1:13">
      <c r="A2098" s="21" t="str">
        <f>TEXT(TEXT(B2098,"yyyymmdd"),"00000000")&amp;TEXT(COUNTIF($B$2:B2098,B2098),"00")</f>
        <v>2025053105</v>
      </c>
      <c r="B2098" s="21">
        <f t="shared" ref="B2098" si="705">DATE(C2098,D2098,E2098)</f>
        <v>45808</v>
      </c>
      <c r="C2098" s="22">
        <v>2025</v>
      </c>
      <c r="D2098" s="23">
        <v>5</v>
      </c>
      <c r="E2098" s="24">
        <v>31</v>
      </c>
      <c r="F2098" s="42" t="s">
        <v>1351</v>
      </c>
      <c r="G2098" s="42" t="s">
        <v>170</v>
      </c>
      <c r="H2098" s="42" t="s">
        <v>155</v>
      </c>
      <c r="I2098" s="42" t="s">
        <v>156</v>
      </c>
      <c r="J2098" s="10">
        <v>10140</v>
      </c>
      <c r="K2098" s="7">
        <v>-10140</v>
      </c>
      <c r="L2098" s="1" t="s">
        <v>387</v>
      </c>
    </row>
    <row r="2099" spans="1:13">
      <c r="A2099" s="21" t="str">
        <f>TEXT(TEXT(B2099,"yyyymmdd"),"00000000")&amp;TEXT(COUNTIF($B$2:B2099,B2099),"00")</f>
        <v>2025060101</v>
      </c>
      <c r="B2099" s="21">
        <f t="shared" ref="B2099" si="706">DATE(C2099,D2099,E2099)</f>
        <v>45809</v>
      </c>
      <c r="C2099" s="22">
        <v>2025</v>
      </c>
      <c r="D2099" s="23">
        <v>6</v>
      </c>
      <c r="E2099" s="24">
        <v>1</v>
      </c>
      <c r="F2099" s="42" t="s">
        <v>17</v>
      </c>
      <c r="G2099" s="42" t="s">
        <v>151</v>
      </c>
      <c r="H2099" s="42" t="s">
        <v>151</v>
      </c>
      <c r="I2099" s="42" t="s">
        <v>152</v>
      </c>
      <c r="J2099" s="10">
        <v>-600000</v>
      </c>
      <c r="K2099" s="7">
        <v>600000</v>
      </c>
      <c r="L2099" s="1" t="s">
        <v>252</v>
      </c>
      <c r="M2099" s="2" t="s">
        <v>1434</v>
      </c>
    </row>
    <row r="2100" spans="1:13">
      <c r="A2100" s="21" t="str">
        <f>TEXT(TEXT(B2100,"yyyymmdd"),"00000000")&amp;TEXT(COUNTIF($B$2:B2100,B2100),"00")</f>
        <v>2025060102</v>
      </c>
      <c r="B2100" s="21">
        <f t="shared" ref="B2100" si="707">DATE(C2100,D2100,E2100)</f>
        <v>45809</v>
      </c>
      <c r="C2100" s="22">
        <v>2025</v>
      </c>
      <c r="D2100" s="23">
        <v>6</v>
      </c>
      <c r="E2100" s="24">
        <v>1</v>
      </c>
      <c r="F2100" s="42" t="s">
        <v>17</v>
      </c>
      <c r="G2100" s="42" t="s">
        <v>13</v>
      </c>
      <c r="H2100" s="42" t="s">
        <v>138</v>
      </c>
      <c r="I2100" s="42" t="s">
        <v>197</v>
      </c>
      <c r="J2100" s="10">
        <v>7300</v>
      </c>
      <c r="K2100" s="7">
        <v>-7300</v>
      </c>
      <c r="L2100" s="1" t="s">
        <v>1425</v>
      </c>
    </row>
    <row r="2101" spans="1:13">
      <c r="A2101" s="21" t="str">
        <f>TEXT(TEXT(B2101,"yyyymmdd"),"00000000")&amp;TEXT(COUNTIF($B$2:B2101,B2101),"00")</f>
        <v>2025060103</v>
      </c>
      <c r="B2101" s="21">
        <f t="shared" ref="B2101" si="708">DATE(C2101,D2101,E2101)</f>
        <v>45809</v>
      </c>
      <c r="C2101" s="22">
        <v>2025</v>
      </c>
      <c r="D2101" s="23">
        <v>6</v>
      </c>
      <c r="E2101" s="24">
        <v>1</v>
      </c>
      <c r="F2101" s="42" t="s">
        <v>17</v>
      </c>
      <c r="G2101" s="42" t="s">
        <v>13</v>
      </c>
      <c r="H2101" s="42" t="s">
        <v>138</v>
      </c>
      <c r="I2101" s="42" t="s">
        <v>197</v>
      </c>
      <c r="J2101" s="10">
        <v>8900</v>
      </c>
      <c r="K2101" s="7">
        <v>-8900</v>
      </c>
      <c r="L2101" s="1" t="s">
        <v>1425</v>
      </c>
    </row>
    <row r="2102" spans="1:13">
      <c r="A2102" s="21" t="str">
        <f>TEXT(TEXT(B2102,"yyyymmdd"),"00000000")&amp;TEXT(COUNTIF($B$2:B2102,B2102),"00")</f>
        <v>2025060201</v>
      </c>
      <c r="B2102" s="21">
        <f t="shared" ref="B2102" si="709">DATE(C2102,D2102,E2102)</f>
        <v>45810</v>
      </c>
      <c r="C2102" s="22">
        <v>2025</v>
      </c>
      <c r="D2102" s="23">
        <v>6</v>
      </c>
      <c r="E2102" s="24">
        <v>2</v>
      </c>
      <c r="F2102" s="42" t="s">
        <v>17</v>
      </c>
      <c r="G2102" s="42" t="s">
        <v>13</v>
      </c>
      <c r="H2102" s="42" t="s">
        <v>138</v>
      </c>
      <c r="I2102" s="42" t="s">
        <v>139</v>
      </c>
      <c r="J2102" s="10">
        <v>4000</v>
      </c>
      <c r="K2102" s="7">
        <v>-4000</v>
      </c>
      <c r="L2102" s="1" t="s">
        <v>300</v>
      </c>
    </row>
    <row r="2103" spans="1:13">
      <c r="A2103" s="21" t="str">
        <f>TEXT(TEXT(B2103,"yyyymmdd"),"00000000")&amp;TEXT(COUNTIF($B$2:B2103,B2103),"00")</f>
        <v>2025060202</v>
      </c>
      <c r="B2103" s="21">
        <f t="shared" ref="B2103" si="710">DATE(C2103,D2103,E2103)</f>
        <v>45810</v>
      </c>
      <c r="C2103" s="22">
        <v>2025</v>
      </c>
      <c r="D2103" s="23">
        <v>6</v>
      </c>
      <c r="E2103" s="24">
        <v>2</v>
      </c>
      <c r="F2103" s="42" t="s">
        <v>17</v>
      </c>
      <c r="G2103" s="42" t="s">
        <v>7</v>
      </c>
      <c r="H2103" s="42" t="s">
        <v>167</v>
      </c>
      <c r="I2103" s="42" t="s">
        <v>168</v>
      </c>
      <c r="J2103" s="10">
        <v>7210</v>
      </c>
      <c r="K2103" s="7">
        <v>-7210</v>
      </c>
      <c r="L2103" s="1" t="s">
        <v>532</v>
      </c>
    </row>
    <row r="2104" spans="1:13">
      <c r="A2104" s="21" t="str">
        <f>TEXT(TEXT(B2104,"yyyymmdd"),"00000000")&amp;TEXT(COUNTIF($B$2:B2104,B2104),"00")</f>
        <v>2025060203</v>
      </c>
      <c r="B2104" s="21">
        <f t="shared" ref="B2104" si="711">DATE(C2104,D2104,E2104)</f>
        <v>45810</v>
      </c>
      <c r="C2104" s="22">
        <v>2025</v>
      </c>
      <c r="D2104" s="23">
        <v>6</v>
      </c>
      <c r="E2104" s="24">
        <v>2</v>
      </c>
      <c r="F2104" s="42" t="s">
        <v>17</v>
      </c>
      <c r="G2104" s="42" t="s">
        <v>13</v>
      </c>
      <c r="H2104" s="42" t="s">
        <v>138</v>
      </c>
      <c r="I2104" s="42" t="s">
        <v>139</v>
      </c>
      <c r="J2104" s="10">
        <v>11800</v>
      </c>
      <c r="K2104" s="7">
        <v>-11800</v>
      </c>
      <c r="L2104" s="1" t="s">
        <v>661</v>
      </c>
    </row>
    <row r="2105" spans="1:13">
      <c r="A2105" s="21" t="str">
        <f>TEXT(TEXT(B2105,"yyyymmdd"),"00000000")&amp;TEXT(COUNTIF($B$2:B2105,B2105),"00")</f>
        <v>2025060301</v>
      </c>
      <c r="B2105" s="21">
        <f t="shared" ref="B2105" si="712">DATE(C2105,D2105,E2105)</f>
        <v>45811</v>
      </c>
      <c r="C2105" s="22">
        <v>2025</v>
      </c>
      <c r="D2105" s="23">
        <v>6</v>
      </c>
      <c r="E2105" s="24">
        <v>3</v>
      </c>
      <c r="F2105" s="42" t="s">
        <v>17</v>
      </c>
      <c r="G2105" s="42" t="s">
        <v>7</v>
      </c>
      <c r="H2105" s="42" t="s">
        <v>116</v>
      </c>
      <c r="I2105" s="42" t="s">
        <v>695</v>
      </c>
      <c r="J2105" s="10">
        <v>14610</v>
      </c>
      <c r="K2105" s="7">
        <v>-14610</v>
      </c>
      <c r="L2105" s="1" t="s">
        <v>824</v>
      </c>
    </row>
    <row r="2106" spans="1:13">
      <c r="A2106" s="21" t="str">
        <f>TEXT(TEXT(B2106,"yyyymmdd"),"00000000")&amp;TEXT(COUNTIF($B$2:B2106,B2106),"00")</f>
        <v>2025060401</v>
      </c>
      <c r="B2106" s="21">
        <f t="shared" ref="B2106" si="713">DATE(C2106,D2106,E2106)</f>
        <v>45812</v>
      </c>
      <c r="C2106" s="22">
        <v>2025</v>
      </c>
      <c r="D2106" s="23">
        <v>6</v>
      </c>
      <c r="E2106" s="24">
        <v>4</v>
      </c>
      <c r="F2106" s="42" t="s">
        <v>17</v>
      </c>
      <c r="G2106" s="42" t="s">
        <v>13</v>
      </c>
      <c r="H2106" s="42" t="s">
        <v>138</v>
      </c>
      <c r="I2106" s="42" t="s">
        <v>139</v>
      </c>
      <c r="J2106" s="10">
        <v>6000</v>
      </c>
      <c r="K2106" s="7">
        <v>-6000</v>
      </c>
      <c r="L2106" s="1" t="s">
        <v>619</v>
      </c>
    </row>
    <row r="2107" spans="1:13">
      <c r="A2107" s="21" t="str">
        <f>TEXT(TEXT(B2107,"yyyymmdd"),"00000000")&amp;TEXT(COUNTIF($B$2:B2107,B2107),"00")</f>
        <v>2025060501</v>
      </c>
      <c r="B2107" s="21">
        <f t="shared" ref="B2107" si="714">DATE(C2107,D2107,E2107)</f>
        <v>45813</v>
      </c>
      <c r="C2107" s="22">
        <v>2025</v>
      </c>
      <c r="D2107" s="23">
        <v>6</v>
      </c>
      <c r="E2107" s="24">
        <v>5</v>
      </c>
      <c r="F2107" s="42" t="s">
        <v>17</v>
      </c>
      <c r="G2107" s="42" t="s">
        <v>13</v>
      </c>
      <c r="H2107" s="42" t="s">
        <v>138</v>
      </c>
      <c r="I2107" s="42" t="s">
        <v>139</v>
      </c>
      <c r="J2107" s="10">
        <v>6000</v>
      </c>
      <c r="K2107" s="7">
        <v>-6000</v>
      </c>
      <c r="L2107" s="1" t="s">
        <v>619</v>
      </c>
    </row>
    <row r="2108" spans="1:13">
      <c r="A2108" s="21" t="str">
        <f>TEXT(TEXT(B2108,"yyyymmdd"),"00000000")&amp;TEXT(COUNTIF($B$2:B2108,B2108),"00")</f>
        <v>2025060502</v>
      </c>
      <c r="B2108" s="21">
        <f t="shared" ref="B2108" si="715">DATE(C2108,D2108,E2108)</f>
        <v>45813</v>
      </c>
      <c r="C2108" s="22">
        <v>2025</v>
      </c>
      <c r="D2108" s="23">
        <v>6</v>
      </c>
      <c r="E2108" s="24">
        <v>5</v>
      </c>
      <c r="F2108" s="42" t="s">
        <v>17</v>
      </c>
      <c r="G2108" s="42" t="s">
        <v>7</v>
      </c>
      <c r="H2108" s="42" t="s">
        <v>173</v>
      </c>
      <c r="I2108" s="42" t="s">
        <v>207</v>
      </c>
      <c r="J2108" s="10">
        <v>22640</v>
      </c>
      <c r="K2108" s="7">
        <v>-22640</v>
      </c>
      <c r="L2108" s="1" t="s">
        <v>208</v>
      </c>
    </row>
    <row r="2109" spans="1:13">
      <c r="A2109" s="21" t="str">
        <f>TEXT(TEXT(B2109,"yyyymmdd"),"00000000")&amp;TEXT(COUNTIF($B$2:B2109,B2109),"00")</f>
        <v>2025060503</v>
      </c>
      <c r="B2109" s="21">
        <f t="shared" ref="B2109" si="716">DATE(C2109,D2109,E2109)</f>
        <v>45813</v>
      </c>
      <c r="C2109" s="22">
        <v>2025</v>
      </c>
      <c r="D2109" s="23">
        <v>6</v>
      </c>
      <c r="E2109" s="24">
        <v>5</v>
      </c>
      <c r="F2109" s="42" t="s">
        <v>17</v>
      </c>
      <c r="G2109" s="42" t="s">
        <v>7</v>
      </c>
      <c r="H2109" s="42" t="s">
        <v>119</v>
      </c>
      <c r="I2109" s="42" t="s">
        <v>780</v>
      </c>
      <c r="J2109" s="10">
        <v>50000</v>
      </c>
      <c r="K2109" s="7">
        <v>-50000</v>
      </c>
      <c r="L2109" s="1" t="s">
        <v>1435</v>
      </c>
    </row>
    <row r="2110" spans="1:13">
      <c r="A2110" s="21" t="str">
        <f>TEXT(TEXT(B2110,"yyyymmdd"),"00000000")&amp;TEXT(COUNTIF($B$2:B2110,B2110),"00")</f>
        <v>2025060504</v>
      </c>
      <c r="B2110" s="21">
        <f t="shared" ref="B2110" si="717">DATE(C2110,D2110,E2110)</f>
        <v>45813</v>
      </c>
      <c r="C2110" s="22">
        <v>2025</v>
      </c>
      <c r="D2110" s="23">
        <v>6</v>
      </c>
      <c r="E2110" s="24">
        <v>5</v>
      </c>
      <c r="F2110" s="42" t="s">
        <v>17</v>
      </c>
      <c r="G2110" s="42" t="s">
        <v>7</v>
      </c>
      <c r="H2110" s="42" t="s">
        <v>155</v>
      </c>
      <c r="I2110" s="42" t="s">
        <v>617</v>
      </c>
      <c r="J2110" s="10">
        <v>1000</v>
      </c>
      <c r="K2110" s="7">
        <v>-1000</v>
      </c>
      <c r="L2110" s="1" t="s">
        <v>808</v>
      </c>
    </row>
    <row r="2111" spans="1:13">
      <c r="A2111" s="21" t="str">
        <f>TEXT(TEXT(B2111,"yyyymmdd"),"00000000")&amp;TEXT(COUNTIF($B$2:B2111,B2111),"00")</f>
        <v>2025060601</v>
      </c>
      <c r="B2111" s="21">
        <f t="shared" ref="B2111" si="718">DATE(C2111,D2111,E2111)</f>
        <v>45814</v>
      </c>
      <c r="C2111" s="22">
        <v>2025</v>
      </c>
      <c r="D2111" s="23">
        <v>6</v>
      </c>
      <c r="E2111" s="24">
        <v>6</v>
      </c>
      <c r="F2111" s="42" t="s">
        <v>17</v>
      </c>
      <c r="G2111" s="42" t="s">
        <v>7</v>
      </c>
      <c r="H2111" s="42" t="s">
        <v>110</v>
      </c>
      <c r="I2111" s="42" t="s">
        <v>122</v>
      </c>
      <c r="J2111" s="10">
        <v>2000</v>
      </c>
      <c r="K2111" s="7">
        <v>-2000</v>
      </c>
      <c r="L2111" s="1" t="s">
        <v>824</v>
      </c>
      <c r="M2111" s="2" t="s">
        <v>1436</v>
      </c>
    </row>
    <row r="2112" spans="1:13">
      <c r="A2112" s="21" t="str">
        <f>TEXT(TEXT(B2112,"yyyymmdd"),"00000000")&amp;TEXT(COUNTIF($B$2:B2112,B2112),"00")</f>
        <v>2025060602</v>
      </c>
      <c r="B2112" s="21">
        <f t="shared" ref="B2112" si="719">DATE(C2112,D2112,E2112)</f>
        <v>45814</v>
      </c>
      <c r="C2112" s="22">
        <v>2025</v>
      </c>
      <c r="D2112" s="23">
        <v>6</v>
      </c>
      <c r="E2112" s="24">
        <v>6</v>
      </c>
      <c r="F2112" s="42" t="s">
        <v>17</v>
      </c>
      <c r="G2112" s="42" t="s">
        <v>7</v>
      </c>
      <c r="H2112" s="42" t="s">
        <v>138</v>
      </c>
      <c r="I2112" s="42" t="s">
        <v>139</v>
      </c>
      <c r="J2112" s="10">
        <v>18000</v>
      </c>
      <c r="K2112" s="7">
        <v>-18000</v>
      </c>
      <c r="L2112" s="1" t="s">
        <v>1437</v>
      </c>
    </row>
    <row r="2113" spans="1:13">
      <c r="A2113" s="21" t="str">
        <f>TEXT(TEXT(B2113,"yyyymmdd"),"00000000")&amp;TEXT(COUNTIF($B$2:B2113,B2113),"00")</f>
        <v>2025060603</v>
      </c>
      <c r="B2113" s="21">
        <f t="shared" ref="B2113" si="720">DATE(C2113,D2113,E2113)</f>
        <v>45814</v>
      </c>
      <c r="C2113" s="22">
        <v>2025</v>
      </c>
      <c r="D2113" s="23">
        <v>6</v>
      </c>
      <c r="E2113" s="24">
        <v>6</v>
      </c>
      <c r="F2113" s="42" t="s">
        <v>17</v>
      </c>
      <c r="G2113" s="42" t="s">
        <v>7</v>
      </c>
      <c r="H2113" s="42" t="s">
        <v>110</v>
      </c>
      <c r="I2113" s="42" t="s">
        <v>120</v>
      </c>
      <c r="J2113" s="10">
        <v>3500</v>
      </c>
      <c r="K2113" s="7">
        <v>-3500</v>
      </c>
      <c r="L2113" s="1" t="s">
        <v>1438</v>
      </c>
    </row>
    <row r="2114" spans="1:13">
      <c r="A2114" s="21" t="str">
        <f>TEXT(TEXT(B2114,"yyyymmdd"),"00000000")&amp;TEXT(COUNTIF($B$2:B2114,B2114),"00")</f>
        <v>2025060801</v>
      </c>
      <c r="B2114" s="21">
        <f t="shared" ref="B2114:B2115" si="721">DATE(C2114,D2114,E2114)</f>
        <v>45816</v>
      </c>
      <c r="C2114" s="22">
        <v>2025</v>
      </c>
      <c r="D2114" s="23">
        <v>6</v>
      </c>
      <c r="E2114" s="24">
        <v>8</v>
      </c>
      <c r="F2114" s="42" t="s">
        <v>17</v>
      </c>
      <c r="G2114" s="42" t="s">
        <v>11</v>
      </c>
      <c r="H2114" s="42" t="s">
        <v>99</v>
      </c>
      <c r="I2114" s="42" t="s">
        <v>94</v>
      </c>
      <c r="J2114" s="10">
        <v>10000</v>
      </c>
      <c r="K2114" s="7">
        <v>-10000</v>
      </c>
      <c r="L2114" s="1" t="s">
        <v>1353</v>
      </c>
    </row>
    <row r="2115" spans="1:13">
      <c r="A2115" s="21" t="str">
        <f>TEXT(TEXT(B2115,"yyyymmdd"),"00000000")&amp;TEXT(COUNTIF($B$2:B2115,B2115),"00")</f>
        <v>2025060802</v>
      </c>
      <c r="B2115" s="21">
        <f t="shared" si="721"/>
        <v>45816</v>
      </c>
      <c r="C2115" s="22">
        <v>2025</v>
      </c>
      <c r="D2115" s="23">
        <v>6</v>
      </c>
      <c r="E2115" s="24">
        <v>8</v>
      </c>
      <c r="F2115" s="42" t="s">
        <v>1351</v>
      </c>
      <c r="G2115" s="42" t="s">
        <v>11</v>
      </c>
      <c r="H2115" s="42" t="s">
        <v>99</v>
      </c>
      <c r="I2115" s="42" t="s">
        <v>94</v>
      </c>
      <c r="J2115" s="10">
        <v>-10000</v>
      </c>
      <c r="K2115" s="7">
        <v>10000</v>
      </c>
      <c r="L2115" s="1" t="s">
        <v>1353</v>
      </c>
    </row>
    <row r="2116" spans="1:13">
      <c r="A2116" s="21" t="str">
        <f>TEXT(TEXT(B2116,"yyyymmdd"),"00000000")&amp;TEXT(COUNTIF($B$2:B2116,B2116),"00")</f>
        <v>2025060803</v>
      </c>
      <c r="B2116" s="21">
        <f t="shared" ref="B2116" si="722">DATE(C2116,D2116,E2116)</f>
        <v>45816</v>
      </c>
      <c r="C2116" s="22">
        <v>2025</v>
      </c>
      <c r="D2116" s="23">
        <v>6</v>
      </c>
      <c r="E2116" s="24">
        <v>8</v>
      </c>
      <c r="F2116" s="42" t="s">
        <v>17</v>
      </c>
      <c r="G2116" s="42" t="s">
        <v>7</v>
      </c>
      <c r="H2116" s="42" t="s">
        <v>138</v>
      </c>
      <c r="I2116" s="42" t="s">
        <v>139</v>
      </c>
      <c r="J2116" s="10">
        <v>17000</v>
      </c>
      <c r="K2116" s="7">
        <v>-17000</v>
      </c>
      <c r="L2116" s="1" t="s">
        <v>1439</v>
      </c>
    </row>
    <row r="2117" spans="1:13">
      <c r="A2117" s="21" t="str">
        <f>TEXT(TEXT(B2117,"yyyymmdd"),"00000000")&amp;TEXT(COUNTIF($B$2:B2117,B2117),"00")</f>
        <v>2025060804</v>
      </c>
      <c r="B2117" s="21">
        <f t="shared" ref="B2117" si="723">DATE(C2117,D2117,E2117)</f>
        <v>45816</v>
      </c>
      <c r="C2117" s="22">
        <v>2025</v>
      </c>
      <c r="D2117" s="23">
        <v>6</v>
      </c>
      <c r="E2117" s="24">
        <v>8</v>
      </c>
      <c r="F2117" s="42" t="s">
        <v>17</v>
      </c>
      <c r="G2117" s="42" t="s">
        <v>7</v>
      </c>
      <c r="H2117" s="42" t="s">
        <v>173</v>
      </c>
      <c r="I2117" s="42" t="s">
        <v>262</v>
      </c>
      <c r="J2117" s="10">
        <v>1500</v>
      </c>
      <c r="K2117" s="7">
        <v>-1500</v>
      </c>
      <c r="L2117" s="1" t="s">
        <v>1154</v>
      </c>
    </row>
    <row r="2118" spans="1:13">
      <c r="A2118" s="21" t="str">
        <f>TEXT(TEXT(B2118,"yyyymmdd"),"00000000")&amp;TEXT(COUNTIF($B$2:B2118,B2118),"00")</f>
        <v>2025060805</v>
      </c>
      <c r="B2118" s="21">
        <f t="shared" ref="B2118" si="724">DATE(C2118,D2118,E2118)</f>
        <v>45816</v>
      </c>
      <c r="C2118" s="22">
        <v>2025</v>
      </c>
      <c r="D2118" s="23">
        <v>6</v>
      </c>
      <c r="E2118" s="24">
        <v>8</v>
      </c>
      <c r="F2118" s="42" t="s">
        <v>17</v>
      </c>
      <c r="G2118" s="42" t="s">
        <v>7</v>
      </c>
      <c r="H2118" s="42" t="s">
        <v>110</v>
      </c>
      <c r="I2118" s="42" t="s">
        <v>124</v>
      </c>
      <c r="J2118" s="10">
        <v>6000</v>
      </c>
      <c r="K2118" s="7">
        <v>-6000</v>
      </c>
      <c r="L2118" s="1" t="s">
        <v>770</v>
      </c>
    </row>
    <row r="2119" spans="1:13">
      <c r="A2119" s="21" t="str">
        <f>TEXT(TEXT(B2119,"yyyymmdd"),"00000000")&amp;TEXT(COUNTIF($B$2:B2119,B2119),"00")</f>
        <v>2025060806</v>
      </c>
      <c r="B2119" s="21">
        <f t="shared" ref="B2119" si="725">DATE(C2119,D2119,E2119)</f>
        <v>45816</v>
      </c>
      <c r="C2119" s="22">
        <v>2025</v>
      </c>
      <c r="D2119" s="23">
        <v>6</v>
      </c>
      <c r="E2119" s="24">
        <v>8</v>
      </c>
      <c r="F2119" s="42" t="s">
        <v>1351</v>
      </c>
      <c r="G2119" s="42" t="s">
        <v>7</v>
      </c>
      <c r="H2119" s="42" t="s">
        <v>155</v>
      </c>
      <c r="I2119" s="42" t="s">
        <v>156</v>
      </c>
      <c r="J2119" s="10">
        <v>9000</v>
      </c>
      <c r="K2119" s="7">
        <v>-9000</v>
      </c>
      <c r="L2119" s="1" t="s">
        <v>1443</v>
      </c>
      <c r="M2119" s="2" t="s">
        <v>1444</v>
      </c>
    </row>
    <row r="2120" spans="1:13">
      <c r="A2120" s="21" t="str">
        <f>TEXT(TEXT(B2120,"yyyymmdd"),"00000000")&amp;TEXT(COUNTIF($B$2:B2120,B2120),"00")</f>
        <v>2025060901</v>
      </c>
      <c r="B2120" s="21">
        <f t="shared" ref="B2120" si="726">DATE(C2120,D2120,E2120)</f>
        <v>45817</v>
      </c>
      <c r="C2120" s="22">
        <v>2025</v>
      </c>
      <c r="D2120" s="23">
        <v>6</v>
      </c>
      <c r="E2120" s="24">
        <v>9</v>
      </c>
      <c r="F2120" s="42" t="s">
        <v>17</v>
      </c>
      <c r="G2120" s="42" t="s">
        <v>170</v>
      </c>
      <c r="H2120" s="42" t="s">
        <v>114</v>
      </c>
      <c r="I2120" s="42" t="s">
        <v>1007</v>
      </c>
      <c r="J2120" s="10">
        <v>18000</v>
      </c>
      <c r="K2120" s="7">
        <v>-18000</v>
      </c>
      <c r="L2120" s="1" t="s">
        <v>1023</v>
      </c>
    </row>
    <row r="2121" spans="1:13">
      <c r="A2121" s="21" t="str">
        <f>TEXT(TEXT(B2121,"yyyymmdd"),"00000000")&amp;TEXT(COUNTIF($B$2:B2121,B2121),"00")</f>
        <v>2025060902</v>
      </c>
      <c r="B2121" s="21">
        <f t="shared" ref="B2121" si="727">DATE(C2121,D2121,E2121)</f>
        <v>45817</v>
      </c>
      <c r="C2121" s="22">
        <v>2025</v>
      </c>
      <c r="D2121" s="23">
        <v>6</v>
      </c>
      <c r="E2121" s="24">
        <v>9</v>
      </c>
      <c r="F2121" s="42" t="s">
        <v>17</v>
      </c>
      <c r="G2121" s="42" t="s">
        <v>13</v>
      </c>
      <c r="H2121" s="42" t="s">
        <v>138</v>
      </c>
      <c r="I2121" s="42" t="s">
        <v>139</v>
      </c>
      <c r="J2121" s="10">
        <v>6000</v>
      </c>
      <c r="K2121" s="7">
        <v>-6000</v>
      </c>
      <c r="L2121" s="1" t="s">
        <v>619</v>
      </c>
    </row>
    <row r="2122" spans="1:13">
      <c r="A2122" s="21" t="str">
        <f>TEXT(TEXT(B2122,"yyyymmdd"),"00000000")&amp;TEXT(COUNTIF($B$2:B2122,B2122),"00")</f>
        <v>2025060903</v>
      </c>
      <c r="B2122" s="21">
        <f t="shared" ref="B2122" si="728">DATE(C2122,D2122,E2122)</f>
        <v>45817</v>
      </c>
      <c r="C2122" s="22">
        <v>2025</v>
      </c>
      <c r="D2122" s="23">
        <v>6</v>
      </c>
      <c r="E2122" s="24">
        <v>9</v>
      </c>
      <c r="F2122" s="42" t="s">
        <v>17</v>
      </c>
      <c r="G2122" s="42" t="s">
        <v>7</v>
      </c>
      <c r="H2122" s="42" t="s">
        <v>167</v>
      </c>
      <c r="I2122" s="42" t="s">
        <v>168</v>
      </c>
      <c r="J2122" s="10">
        <v>9760</v>
      </c>
      <c r="K2122" s="7">
        <v>-9760</v>
      </c>
      <c r="L2122" s="1" t="s">
        <v>532</v>
      </c>
    </row>
    <row r="2123" spans="1:13">
      <c r="A2123" s="21" t="str">
        <f>TEXT(TEXT(B2123,"yyyymmdd"),"00000000")&amp;TEXT(COUNTIF($B$2:B2123,B2123),"00")</f>
        <v>2025060904</v>
      </c>
      <c r="B2123" s="21">
        <f t="shared" ref="B2123" si="729">DATE(C2123,D2123,E2123)</f>
        <v>45817</v>
      </c>
      <c r="C2123" s="22">
        <v>2025</v>
      </c>
      <c r="D2123" s="23">
        <v>6</v>
      </c>
      <c r="E2123" s="24">
        <v>9</v>
      </c>
      <c r="F2123" s="42" t="s">
        <v>17</v>
      </c>
      <c r="G2123" s="42" t="s">
        <v>7</v>
      </c>
      <c r="H2123" s="42" t="s">
        <v>155</v>
      </c>
      <c r="I2123" s="42" t="s">
        <v>617</v>
      </c>
      <c r="J2123" s="10">
        <v>1000</v>
      </c>
      <c r="K2123" s="7">
        <v>-1000</v>
      </c>
      <c r="L2123" s="1" t="s">
        <v>1440</v>
      </c>
    </row>
    <row r="2124" spans="1:13">
      <c r="A2124" s="21" t="str">
        <f>TEXT(TEXT(B2124,"yyyymmdd"),"00000000")&amp;TEXT(COUNTIF($B$2:B2124,B2124),"00")</f>
        <v>2025061001</v>
      </c>
      <c r="B2124" s="21">
        <f t="shared" ref="B2124" si="730">DATE(C2124,D2124,E2124)</f>
        <v>45818</v>
      </c>
      <c r="C2124" s="22">
        <v>2025</v>
      </c>
      <c r="D2124" s="23">
        <v>6</v>
      </c>
      <c r="E2124" s="24">
        <v>10</v>
      </c>
      <c r="F2124" s="42" t="s">
        <v>17</v>
      </c>
      <c r="G2124" s="42" t="s">
        <v>13</v>
      </c>
      <c r="H2124" s="42" t="s">
        <v>138</v>
      </c>
      <c r="I2124" s="42" t="s">
        <v>139</v>
      </c>
      <c r="J2124" s="10">
        <v>5000</v>
      </c>
      <c r="K2124" s="7">
        <v>-5000</v>
      </c>
      <c r="L2124" s="1" t="s">
        <v>619</v>
      </c>
    </row>
    <row r="2125" spans="1:13">
      <c r="A2125" s="21" t="str">
        <f>TEXT(TEXT(B2125,"yyyymmdd"),"00000000")&amp;TEXT(COUNTIF($B$2:B2125,B2125),"00")</f>
        <v>2025061002</v>
      </c>
      <c r="B2125" s="21">
        <f t="shared" ref="B2125" si="731">DATE(C2125,D2125,E2125)</f>
        <v>45818</v>
      </c>
      <c r="C2125" s="22">
        <v>2025</v>
      </c>
      <c r="D2125" s="23">
        <v>6</v>
      </c>
      <c r="E2125" s="24">
        <v>10</v>
      </c>
      <c r="F2125" s="42" t="s">
        <v>17</v>
      </c>
      <c r="G2125" s="42" t="s">
        <v>13</v>
      </c>
      <c r="H2125" s="42" t="s">
        <v>138</v>
      </c>
      <c r="I2125" s="42" t="s">
        <v>139</v>
      </c>
      <c r="J2125" s="10">
        <v>6000</v>
      </c>
      <c r="K2125" s="7">
        <v>-6000</v>
      </c>
      <c r="L2125" s="1" t="s">
        <v>619</v>
      </c>
    </row>
    <row r="2126" spans="1:13">
      <c r="A2126" s="21" t="str">
        <f>TEXT(TEXT(B2126,"yyyymmdd"),"00000000")&amp;TEXT(COUNTIF($B$2:B2126,B2126),"00")</f>
        <v>2025061003</v>
      </c>
      <c r="B2126" s="21">
        <f t="shared" ref="B2126" si="732">DATE(C2126,D2126,E2126)</f>
        <v>45818</v>
      </c>
      <c r="C2126" s="22">
        <v>2025</v>
      </c>
      <c r="D2126" s="23">
        <v>6</v>
      </c>
      <c r="E2126" s="24">
        <v>10</v>
      </c>
      <c r="F2126" s="42" t="s">
        <v>17</v>
      </c>
      <c r="G2126" s="42" t="s">
        <v>7</v>
      </c>
      <c r="H2126" s="42" t="s">
        <v>167</v>
      </c>
      <c r="I2126" s="42" t="s">
        <v>168</v>
      </c>
      <c r="J2126" s="10">
        <v>6300</v>
      </c>
      <c r="K2126" s="7">
        <v>-6300</v>
      </c>
      <c r="L2126" s="1" t="s">
        <v>532</v>
      </c>
    </row>
    <row r="2127" spans="1:13">
      <c r="A2127" s="21" t="str">
        <f>TEXT(TEXT(B2127,"yyyymmdd"),"00000000")&amp;TEXT(COUNTIF($B$2:B2127,B2127),"00")</f>
        <v>2025061101</v>
      </c>
      <c r="B2127" s="21">
        <f t="shared" ref="B2127" si="733">DATE(C2127,D2127,E2127)</f>
        <v>45819</v>
      </c>
      <c r="C2127" s="22">
        <v>2025</v>
      </c>
      <c r="D2127" s="23">
        <v>6</v>
      </c>
      <c r="E2127" s="24">
        <v>11</v>
      </c>
      <c r="F2127" s="42" t="s">
        <v>17</v>
      </c>
      <c r="G2127" s="42" t="s">
        <v>7</v>
      </c>
      <c r="H2127" s="42" t="s">
        <v>110</v>
      </c>
      <c r="I2127" s="42" t="s">
        <v>374</v>
      </c>
      <c r="J2127" s="10">
        <v>6700</v>
      </c>
      <c r="K2127" s="7">
        <v>-6700</v>
      </c>
      <c r="L2127" s="1" t="s">
        <v>1079</v>
      </c>
    </row>
    <row r="2128" spans="1:13">
      <c r="A2128" s="21" t="str">
        <f>TEXT(TEXT(B2128,"yyyymmdd"),"00000000")&amp;TEXT(COUNTIF($B$2:B2128,B2128),"00")</f>
        <v>2025061102</v>
      </c>
      <c r="B2128" s="21">
        <f t="shared" ref="B2128" si="734">DATE(C2128,D2128,E2128)</f>
        <v>45819</v>
      </c>
      <c r="C2128" s="22">
        <v>2025</v>
      </c>
      <c r="D2128" s="23">
        <v>6</v>
      </c>
      <c r="E2128" s="24">
        <v>11</v>
      </c>
      <c r="F2128" s="42" t="s">
        <v>17</v>
      </c>
      <c r="G2128" s="42" t="s">
        <v>7</v>
      </c>
      <c r="H2128" s="42" t="s">
        <v>155</v>
      </c>
      <c r="I2128" s="42" t="s">
        <v>221</v>
      </c>
      <c r="J2128" s="10">
        <v>77000</v>
      </c>
      <c r="K2128" s="7">
        <v>-77000</v>
      </c>
      <c r="L2128" s="1" t="s">
        <v>1441</v>
      </c>
      <c r="M2128" s="2" t="s">
        <v>1442</v>
      </c>
    </row>
    <row r="2129" spans="1:13">
      <c r="A2129" s="21" t="str">
        <f>TEXT(TEXT(B2129,"yyyymmdd"),"00000000")&amp;TEXT(COUNTIF($B$2:B2129,B2129),"00")</f>
        <v>2025061201</v>
      </c>
      <c r="B2129" s="21">
        <f t="shared" ref="B2129" si="735">DATE(C2129,D2129,E2129)</f>
        <v>45820</v>
      </c>
      <c r="C2129" s="22">
        <v>2025</v>
      </c>
      <c r="D2129" s="23">
        <v>6</v>
      </c>
      <c r="E2129" s="24">
        <v>12</v>
      </c>
      <c r="F2129" s="42" t="s">
        <v>17</v>
      </c>
      <c r="G2129" s="42" t="s">
        <v>13</v>
      </c>
      <c r="H2129" s="42" t="s">
        <v>138</v>
      </c>
      <c r="I2129" s="42" t="s">
        <v>139</v>
      </c>
      <c r="J2129" s="10">
        <v>3600</v>
      </c>
      <c r="K2129" s="7">
        <v>-3600</v>
      </c>
      <c r="L2129" s="1" t="s">
        <v>300</v>
      </c>
    </row>
    <row r="2130" spans="1:13">
      <c r="A2130" s="21" t="str">
        <f>TEXT(TEXT(B2130,"yyyymmdd"),"00000000")&amp;TEXT(COUNTIF($B$2:B2130,B2130),"00")</f>
        <v>2025061202</v>
      </c>
      <c r="B2130" s="21">
        <f t="shared" ref="B2130" si="736">DATE(C2130,D2130,E2130)</f>
        <v>45820</v>
      </c>
      <c r="C2130" s="22">
        <v>2025</v>
      </c>
      <c r="D2130" s="23">
        <v>6</v>
      </c>
      <c r="E2130" s="24">
        <v>12</v>
      </c>
      <c r="F2130" s="42" t="s">
        <v>17</v>
      </c>
      <c r="G2130" s="42" t="s">
        <v>13</v>
      </c>
      <c r="H2130" s="42" t="s">
        <v>138</v>
      </c>
      <c r="I2130" s="42" t="s">
        <v>139</v>
      </c>
      <c r="J2130" s="10">
        <v>6000</v>
      </c>
      <c r="K2130" s="7">
        <v>-6000</v>
      </c>
      <c r="L2130" s="1" t="s">
        <v>619</v>
      </c>
    </row>
    <row r="2131" spans="1:13">
      <c r="A2131" s="21" t="str">
        <f>TEXT(TEXT(B2131,"yyyymmdd"),"00000000")&amp;TEXT(COUNTIF($B$2:B2131,B2131),"00")</f>
        <v>2025061203</v>
      </c>
      <c r="B2131" s="21">
        <f t="shared" ref="B2131" si="737">DATE(C2131,D2131,E2131)</f>
        <v>45820</v>
      </c>
      <c r="C2131" s="22">
        <v>2025</v>
      </c>
      <c r="D2131" s="23">
        <v>6</v>
      </c>
      <c r="E2131" s="24">
        <v>12</v>
      </c>
      <c r="F2131" s="42" t="s">
        <v>17</v>
      </c>
      <c r="G2131" s="42" t="s">
        <v>7</v>
      </c>
      <c r="H2131" s="42" t="s">
        <v>167</v>
      </c>
      <c r="I2131" s="42" t="s">
        <v>168</v>
      </c>
      <c r="J2131" s="10">
        <v>1980</v>
      </c>
      <c r="K2131" s="7">
        <v>-1980</v>
      </c>
      <c r="L2131" s="1" t="s">
        <v>532</v>
      </c>
    </row>
    <row r="2132" spans="1:13">
      <c r="A2132" s="21" t="str">
        <f>TEXT(TEXT(B2132,"yyyymmdd"),"00000000")&amp;TEXT(COUNTIF($B$2:B2132,B2132),"00")</f>
        <v>2025061301</v>
      </c>
      <c r="B2132" s="21">
        <f t="shared" ref="B2132" si="738">DATE(C2132,D2132,E2132)</f>
        <v>45821</v>
      </c>
      <c r="C2132" s="22">
        <v>2025</v>
      </c>
      <c r="D2132" s="23">
        <v>6</v>
      </c>
      <c r="E2132" s="24">
        <v>13</v>
      </c>
      <c r="F2132" s="42" t="s">
        <v>17</v>
      </c>
      <c r="G2132" s="42" t="s">
        <v>13</v>
      </c>
      <c r="H2132" s="42" t="s">
        <v>138</v>
      </c>
      <c r="I2132" s="42" t="s">
        <v>139</v>
      </c>
      <c r="J2132" s="10">
        <v>6000</v>
      </c>
      <c r="K2132" s="7">
        <v>-6000</v>
      </c>
      <c r="L2132" s="1" t="s">
        <v>619</v>
      </c>
    </row>
    <row r="2133" spans="1:13">
      <c r="A2133" s="21" t="str">
        <f>TEXT(TEXT(B2133,"yyyymmdd"),"00000000")&amp;TEXT(COUNTIF($B$2:B2133,B2133),"00")</f>
        <v>2025061401</v>
      </c>
      <c r="B2133" s="21">
        <f t="shared" ref="B2133" si="739">DATE(C2133,D2133,E2133)</f>
        <v>45822</v>
      </c>
      <c r="C2133" s="22">
        <v>2025</v>
      </c>
      <c r="D2133" s="23">
        <v>6</v>
      </c>
      <c r="E2133" s="24">
        <v>14</v>
      </c>
      <c r="F2133" s="42" t="s">
        <v>17</v>
      </c>
      <c r="G2133" s="42" t="s">
        <v>13</v>
      </c>
      <c r="H2133" s="42" t="s">
        <v>138</v>
      </c>
      <c r="I2133" s="42" t="s">
        <v>139</v>
      </c>
      <c r="J2133" s="10">
        <v>8500</v>
      </c>
      <c r="K2133" s="7">
        <v>-8500</v>
      </c>
      <c r="L2133" s="1" t="s">
        <v>738</v>
      </c>
    </row>
    <row r="2134" spans="1:13">
      <c r="A2134" s="21" t="str">
        <f>TEXT(TEXT(B2134,"yyyymmdd"),"00000000")&amp;TEXT(COUNTIF($B$2:B2134,B2134),"00")</f>
        <v>2025061501</v>
      </c>
      <c r="B2134" s="21">
        <f t="shared" ref="B2134" si="740">DATE(C2134,D2134,E2134)</f>
        <v>45823</v>
      </c>
      <c r="C2134" s="22">
        <v>2025</v>
      </c>
      <c r="D2134" s="23">
        <v>6</v>
      </c>
      <c r="E2134" s="24">
        <v>15</v>
      </c>
      <c r="F2134" s="42" t="s">
        <v>17</v>
      </c>
      <c r="G2134" s="42" t="s">
        <v>13</v>
      </c>
      <c r="H2134" s="42" t="s">
        <v>138</v>
      </c>
      <c r="I2134" s="42" t="s">
        <v>197</v>
      </c>
      <c r="J2134" s="10">
        <v>9800</v>
      </c>
      <c r="K2134" s="7">
        <v>-9800</v>
      </c>
      <c r="L2134" s="1" t="s">
        <v>1425</v>
      </c>
    </row>
    <row r="2135" spans="1:13">
      <c r="A2135" s="21" t="str">
        <f>TEXT(TEXT(B2135,"yyyymmdd"),"00000000")&amp;TEXT(COUNTIF($B$2:B2135,B2135),"00")</f>
        <v>2025061601</v>
      </c>
      <c r="B2135" s="21">
        <f t="shared" ref="B2135" si="741">DATE(C2135,D2135,E2135)</f>
        <v>45824</v>
      </c>
      <c r="C2135" s="22">
        <v>2025</v>
      </c>
      <c r="D2135" s="23">
        <v>6</v>
      </c>
      <c r="E2135" s="24">
        <v>16</v>
      </c>
      <c r="F2135" s="42" t="s">
        <v>17</v>
      </c>
      <c r="G2135" s="42" t="s">
        <v>13</v>
      </c>
      <c r="H2135" s="42" t="s">
        <v>138</v>
      </c>
      <c r="I2135" s="42" t="s">
        <v>197</v>
      </c>
      <c r="J2135" s="10">
        <v>8900</v>
      </c>
      <c r="K2135" s="7">
        <v>-8900</v>
      </c>
      <c r="L2135" s="1" t="s">
        <v>1425</v>
      </c>
    </row>
    <row r="2136" spans="1:13">
      <c r="A2136" s="21" t="str">
        <f>TEXT(TEXT(B2136,"yyyymmdd"),"00000000")&amp;TEXT(COUNTIF($B$2:B2136,B2136),"00")</f>
        <v>2025061701</v>
      </c>
      <c r="B2136" s="21">
        <f t="shared" ref="B2136" si="742">DATE(C2136,D2136,E2136)</f>
        <v>45825</v>
      </c>
      <c r="C2136" s="22">
        <v>2025</v>
      </c>
      <c r="D2136" s="23">
        <v>6</v>
      </c>
      <c r="E2136" s="24">
        <v>17</v>
      </c>
      <c r="F2136" s="42" t="s">
        <v>17</v>
      </c>
      <c r="G2136" s="42" t="s">
        <v>7</v>
      </c>
      <c r="H2136" s="42" t="s">
        <v>119</v>
      </c>
      <c r="I2136" s="42" t="s">
        <v>180</v>
      </c>
      <c r="J2136" s="10">
        <v>2000</v>
      </c>
      <c r="K2136" s="7">
        <v>-2000</v>
      </c>
      <c r="L2136" s="1" t="s">
        <v>887</v>
      </c>
    </row>
    <row r="2137" spans="1:13">
      <c r="A2137" s="21" t="str">
        <f>TEXT(TEXT(B2137,"yyyymmdd"),"00000000")&amp;TEXT(COUNTIF($B$2:B2137,B2137),"00")</f>
        <v>2025061702</v>
      </c>
      <c r="B2137" s="21">
        <f t="shared" ref="B2137" si="743">DATE(C2137,D2137,E2137)</f>
        <v>45825</v>
      </c>
      <c r="C2137" s="22">
        <v>2025</v>
      </c>
      <c r="D2137" s="23">
        <v>6</v>
      </c>
      <c r="E2137" s="24">
        <v>17</v>
      </c>
      <c r="F2137" s="42" t="s">
        <v>17</v>
      </c>
      <c r="G2137" s="42" t="s">
        <v>7</v>
      </c>
      <c r="H2137" s="42" t="s">
        <v>110</v>
      </c>
      <c r="I2137" s="42" t="s">
        <v>374</v>
      </c>
      <c r="J2137" s="10">
        <v>9500</v>
      </c>
      <c r="K2137" s="7">
        <v>-9500</v>
      </c>
      <c r="L2137" s="1" t="s">
        <v>1079</v>
      </c>
    </row>
    <row r="2138" spans="1:13">
      <c r="A2138" s="21" t="str">
        <f>TEXT(TEXT(B2138,"yyyymmdd"),"00000000")&amp;TEXT(COUNTIF($B$2:B2138,B2138),"00")</f>
        <v>2025061703</v>
      </c>
      <c r="B2138" s="21">
        <f t="shared" ref="B2138" si="744">DATE(C2138,D2138,E2138)</f>
        <v>45825</v>
      </c>
      <c r="C2138" s="22">
        <v>2025</v>
      </c>
      <c r="D2138" s="23">
        <v>6</v>
      </c>
      <c r="E2138" s="24">
        <v>17</v>
      </c>
      <c r="F2138" s="42" t="s">
        <v>17</v>
      </c>
      <c r="G2138" s="42" t="s">
        <v>7</v>
      </c>
      <c r="H2138" s="42" t="s">
        <v>167</v>
      </c>
      <c r="I2138" s="42" t="s">
        <v>168</v>
      </c>
      <c r="J2138" s="10">
        <v>1400</v>
      </c>
      <c r="K2138" s="7">
        <v>-1400</v>
      </c>
      <c r="L2138" s="1" t="s">
        <v>748</v>
      </c>
    </row>
    <row r="2139" spans="1:13">
      <c r="A2139" s="21" t="str">
        <f>TEXT(TEXT(B2139,"yyyymmdd"),"00000000")&amp;TEXT(COUNTIF($B$2:B2139,B2139),"00")</f>
        <v>2025061704</v>
      </c>
      <c r="B2139" s="21">
        <f t="shared" ref="B2139" si="745">DATE(C2139,D2139,E2139)</f>
        <v>45825</v>
      </c>
      <c r="C2139" s="22">
        <v>2025</v>
      </c>
      <c r="D2139" s="23">
        <v>6</v>
      </c>
      <c r="E2139" s="24">
        <v>17</v>
      </c>
      <c r="F2139" s="42" t="s">
        <v>17</v>
      </c>
      <c r="G2139" s="42" t="s">
        <v>13</v>
      </c>
      <c r="H2139" s="42" t="s">
        <v>138</v>
      </c>
      <c r="I2139" s="42" t="s">
        <v>139</v>
      </c>
      <c r="J2139" s="10">
        <v>6000</v>
      </c>
      <c r="K2139" s="7">
        <v>-6000</v>
      </c>
      <c r="L2139" s="1" t="s">
        <v>619</v>
      </c>
    </row>
    <row r="2140" spans="1:13">
      <c r="A2140" s="21" t="str">
        <f>TEXT(TEXT(B2140,"yyyymmdd"),"00000000")&amp;TEXT(COUNTIF($B$2:B2140,B2140),"00")</f>
        <v>2025061705</v>
      </c>
      <c r="B2140" s="21">
        <f t="shared" ref="B2140" si="746">DATE(C2140,D2140,E2140)</f>
        <v>45825</v>
      </c>
      <c r="C2140" s="22">
        <v>2025</v>
      </c>
      <c r="D2140" s="23">
        <v>6</v>
      </c>
      <c r="E2140" s="24">
        <v>17</v>
      </c>
      <c r="F2140" s="42" t="s">
        <v>17</v>
      </c>
      <c r="G2140" s="42" t="s">
        <v>13</v>
      </c>
      <c r="H2140" s="42" t="s">
        <v>138</v>
      </c>
      <c r="I2140" s="42" t="s">
        <v>139</v>
      </c>
      <c r="J2140" s="10">
        <v>6000</v>
      </c>
      <c r="K2140" s="7">
        <v>-6000</v>
      </c>
      <c r="L2140" s="1" t="s">
        <v>619</v>
      </c>
    </row>
    <row r="2141" spans="1:13">
      <c r="A2141" s="21" t="str">
        <f>TEXT(TEXT(B2141,"yyyymmdd"),"00000000")&amp;TEXT(COUNTIF($B$2:B2141,B2141),"00")</f>
        <v>2025061901</v>
      </c>
      <c r="B2141" s="21">
        <f t="shared" ref="B2141" si="747">DATE(C2141,D2141,E2141)</f>
        <v>45827</v>
      </c>
      <c r="C2141" s="22">
        <v>2025</v>
      </c>
      <c r="D2141" s="23">
        <v>6</v>
      </c>
      <c r="E2141" s="24">
        <v>19</v>
      </c>
      <c r="F2141" s="42" t="s">
        <v>17</v>
      </c>
      <c r="G2141" s="42" t="s">
        <v>170</v>
      </c>
      <c r="H2141" s="42" t="s">
        <v>114</v>
      </c>
      <c r="I2141" s="42" t="s">
        <v>1005</v>
      </c>
      <c r="J2141" s="10">
        <v>34980</v>
      </c>
      <c r="K2141" s="7">
        <v>-34980</v>
      </c>
      <c r="L2141" s="1" t="s">
        <v>1006</v>
      </c>
    </row>
    <row r="2142" spans="1:13">
      <c r="A2142" s="21" t="str">
        <f>TEXT(TEXT(B2142,"yyyymmdd"),"00000000")&amp;TEXT(COUNTIF($B$2:B2142,B2142),"00")</f>
        <v>2025061902</v>
      </c>
      <c r="B2142" s="21">
        <f t="shared" ref="B2142" si="748">DATE(C2142,D2142,E2142)</f>
        <v>45827</v>
      </c>
      <c r="C2142" s="22">
        <v>2025</v>
      </c>
      <c r="D2142" s="23">
        <v>6</v>
      </c>
      <c r="E2142" s="24">
        <v>19</v>
      </c>
      <c r="F2142" s="42" t="s">
        <v>17</v>
      </c>
      <c r="G2142" s="42" t="s">
        <v>7</v>
      </c>
      <c r="H2142" s="42" t="s">
        <v>138</v>
      </c>
      <c r="I2142" s="42" t="s">
        <v>139</v>
      </c>
      <c r="J2142" s="10">
        <v>12600</v>
      </c>
      <c r="K2142" s="7">
        <v>-12600</v>
      </c>
      <c r="L2142" s="1" t="s">
        <v>1447</v>
      </c>
    </row>
    <row r="2143" spans="1:13">
      <c r="A2143" s="21" t="str">
        <f>TEXT(TEXT(B2143,"yyyymmdd"),"00000000")&amp;TEXT(COUNTIF($B$2:B2143,B2143),"00")</f>
        <v>2025061903</v>
      </c>
      <c r="B2143" s="21">
        <f t="shared" ref="B2143" si="749">DATE(C2143,D2143,E2143)</f>
        <v>45827</v>
      </c>
      <c r="C2143" s="22">
        <v>2025</v>
      </c>
      <c r="D2143" s="23">
        <v>6</v>
      </c>
      <c r="E2143" s="24">
        <v>19</v>
      </c>
      <c r="F2143" s="42" t="s">
        <v>17</v>
      </c>
      <c r="G2143" s="42" t="s">
        <v>7</v>
      </c>
      <c r="H2143" s="42" t="s">
        <v>110</v>
      </c>
      <c r="I2143" s="42" t="s">
        <v>124</v>
      </c>
      <c r="J2143" s="10">
        <v>3600</v>
      </c>
      <c r="K2143" s="7">
        <v>-3600</v>
      </c>
      <c r="L2143" s="1" t="s">
        <v>1282</v>
      </c>
      <c r="M2143" s="2" t="s">
        <v>697</v>
      </c>
    </row>
    <row r="2144" spans="1:13">
      <c r="A2144" s="21" t="str">
        <f>TEXT(TEXT(B2144,"yyyymmdd"),"00000000")&amp;TEXT(COUNTIF($B$2:B2144,B2144),"00")</f>
        <v>2025062001</v>
      </c>
      <c r="B2144" s="21">
        <f t="shared" ref="B2144" si="750">DATE(C2144,D2144,E2144)</f>
        <v>45828</v>
      </c>
      <c r="C2144" s="22">
        <v>2025</v>
      </c>
      <c r="D2144" s="23">
        <v>6</v>
      </c>
      <c r="E2144" s="24">
        <v>20</v>
      </c>
      <c r="F2144" s="42" t="s">
        <v>17</v>
      </c>
      <c r="G2144" s="42" t="s">
        <v>135</v>
      </c>
      <c r="H2144" s="42" t="s">
        <v>135</v>
      </c>
      <c r="I2144" s="42" t="s">
        <v>143</v>
      </c>
      <c r="J2144" s="10">
        <v>-10000</v>
      </c>
      <c r="K2144" s="7">
        <v>10000</v>
      </c>
      <c r="L2144" s="1" t="s">
        <v>165</v>
      </c>
    </row>
    <row r="2145" spans="1:13">
      <c r="A2145" s="21" t="str">
        <f>TEXT(TEXT(B2145,"yyyymmdd"),"00000000")&amp;TEXT(COUNTIF($B$2:B2145,B2145),"00")</f>
        <v>2025062002</v>
      </c>
      <c r="B2145" s="21">
        <f t="shared" ref="B2145" si="751">DATE(C2145,D2145,E2145)</f>
        <v>45828</v>
      </c>
      <c r="C2145" s="22">
        <v>2025</v>
      </c>
      <c r="D2145" s="23">
        <v>6</v>
      </c>
      <c r="E2145" s="24">
        <v>20</v>
      </c>
      <c r="F2145" s="42" t="s">
        <v>17</v>
      </c>
      <c r="G2145" s="42" t="s">
        <v>7</v>
      </c>
      <c r="H2145" s="42" t="s">
        <v>138</v>
      </c>
      <c r="I2145" s="42" t="s">
        <v>139</v>
      </c>
      <c r="J2145" s="10">
        <v>24000</v>
      </c>
      <c r="K2145" s="7">
        <v>-24000</v>
      </c>
      <c r="L2145" s="1" t="s">
        <v>1448</v>
      </c>
    </row>
    <row r="2146" spans="1:13">
      <c r="A2146" s="21" t="str">
        <f>TEXT(TEXT(B2146,"yyyymmdd"),"00000000")&amp;TEXT(COUNTIF($B$2:B2146,B2146),"00")</f>
        <v>2025062101</v>
      </c>
      <c r="B2146" s="21">
        <f t="shared" ref="B2146" si="752">DATE(C2146,D2146,E2146)</f>
        <v>45829</v>
      </c>
      <c r="C2146" s="22">
        <v>2025</v>
      </c>
      <c r="D2146" s="23">
        <v>6</v>
      </c>
      <c r="E2146" s="24">
        <v>21</v>
      </c>
      <c r="F2146" s="42" t="s">
        <v>17</v>
      </c>
      <c r="G2146" s="42" t="s">
        <v>13</v>
      </c>
      <c r="H2146" s="42" t="s">
        <v>138</v>
      </c>
      <c r="I2146" s="42" t="s">
        <v>197</v>
      </c>
      <c r="J2146" s="10">
        <v>7900</v>
      </c>
      <c r="K2146" s="7">
        <v>-7900</v>
      </c>
      <c r="L2146" s="1" t="s">
        <v>1425</v>
      </c>
    </row>
    <row r="2147" spans="1:13">
      <c r="A2147" s="21" t="str">
        <f>TEXT(TEXT(B2147,"yyyymmdd"),"00000000")&amp;TEXT(COUNTIF($B$2:B2147,B2147),"00")</f>
        <v>2025062201</v>
      </c>
      <c r="B2147" s="21">
        <f t="shared" ref="B2147" si="753">DATE(C2147,D2147,E2147)</f>
        <v>45830</v>
      </c>
      <c r="C2147" s="22">
        <v>2025</v>
      </c>
      <c r="D2147" s="23">
        <v>6</v>
      </c>
      <c r="E2147" s="24">
        <v>22</v>
      </c>
      <c r="F2147" s="42" t="s">
        <v>17</v>
      </c>
      <c r="G2147" s="42" t="s">
        <v>13</v>
      </c>
      <c r="H2147" s="42" t="s">
        <v>138</v>
      </c>
      <c r="I2147" s="42" t="s">
        <v>197</v>
      </c>
      <c r="J2147" s="10">
        <v>5900</v>
      </c>
      <c r="K2147" s="7">
        <v>-5900</v>
      </c>
      <c r="L2147" s="1" t="s">
        <v>1425</v>
      </c>
    </row>
    <row r="2148" spans="1:13">
      <c r="A2148" s="21" t="str">
        <f>TEXT(TEXT(B2148,"yyyymmdd"),"00000000")&amp;TEXT(COUNTIF($B$2:B2148,B2148),"00")</f>
        <v>2025062301</v>
      </c>
      <c r="B2148" s="21">
        <f t="shared" ref="B2148" si="754">DATE(C2148,D2148,E2148)</f>
        <v>45831</v>
      </c>
      <c r="C2148" s="22">
        <v>2025</v>
      </c>
      <c r="D2148" s="23">
        <v>6</v>
      </c>
      <c r="E2148" s="24">
        <v>23</v>
      </c>
      <c r="F2148" s="42" t="s">
        <v>17</v>
      </c>
      <c r="G2148" s="42" t="s">
        <v>13</v>
      </c>
      <c r="H2148" s="42" t="s">
        <v>138</v>
      </c>
      <c r="I2148" s="42" t="s">
        <v>197</v>
      </c>
      <c r="J2148" s="10">
        <v>6900</v>
      </c>
      <c r="K2148" s="7">
        <v>-6900</v>
      </c>
      <c r="L2148" s="1" t="s">
        <v>1425</v>
      </c>
    </row>
    <row r="2149" spans="1:13">
      <c r="A2149" s="21" t="str">
        <f>TEXT(TEXT(B2149,"yyyymmdd"),"00000000")&amp;TEXT(COUNTIF($B$2:B2149,B2149),"00")</f>
        <v>2025062302</v>
      </c>
      <c r="B2149" s="21">
        <f t="shared" ref="B2149" si="755">DATE(C2149,D2149,E2149)</f>
        <v>45831</v>
      </c>
      <c r="C2149" s="22">
        <v>2025</v>
      </c>
      <c r="D2149" s="23">
        <v>6</v>
      </c>
      <c r="E2149" s="24">
        <v>23</v>
      </c>
      <c r="F2149" s="42" t="s">
        <v>17</v>
      </c>
      <c r="G2149" s="42" t="s">
        <v>170</v>
      </c>
      <c r="H2149" s="42" t="s">
        <v>114</v>
      </c>
      <c r="I2149" s="42" t="s">
        <v>1266</v>
      </c>
      <c r="J2149" s="10">
        <v>5400</v>
      </c>
      <c r="K2149" s="7">
        <v>-5400</v>
      </c>
      <c r="L2149" s="1" t="s">
        <v>1267</v>
      </c>
    </row>
    <row r="2150" spans="1:13">
      <c r="A2150" s="21" t="str">
        <f>TEXT(TEXT(B2150,"yyyymmdd"),"00000000")&amp;TEXT(COUNTIF($B$2:B2150,B2150),"00")</f>
        <v>2025062303</v>
      </c>
      <c r="B2150" s="21">
        <f t="shared" ref="B2150" si="756">DATE(C2150,D2150,E2150)</f>
        <v>45831</v>
      </c>
      <c r="C2150" s="22">
        <v>2025</v>
      </c>
      <c r="D2150" s="23">
        <v>6</v>
      </c>
      <c r="E2150" s="24">
        <v>23</v>
      </c>
      <c r="F2150" s="42" t="s">
        <v>17</v>
      </c>
      <c r="G2150" s="42" t="s">
        <v>135</v>
      </c>
      <c r="H2150" s="42" t="s">
        <v>135</v>
      </c>
      <c r="I2150" s="42" t="s">
        <v>143</v>
      </c>
      <c r="J2150" s="10">
        <v>-1</v>
      </c>
      <c r="K2150" s="7">
        <v>1</v>
      </c>
      <c r="L2150" s="1" t="s">
        <v>551</v>
      </c>
    </row>
    <row r="2151" spans="1:13">
      <c r="A2151" s="21" t="str">
        <f>TEXT(TEXT(B2151,"yyyymmdd"),"00000000")&amp;TEXT(COUNTIF($B$2:B2151,B2151),"00")</f>
        <v>2025062401</v>
      </c>
      <c r="B2151" s="21">
        <f t="shared" ref="B2151" si="757">DATE(C2151,D2151,E2151)</f>
        <v>45832</v>
      </c>
      <c r="C2151" s="22">
        <v>2025</v>
      </c>
      <c r="D2151" s="23">
        <v>6</v>
      </c>
      <c r="E2151" s="24">
        <v>24</v>
      </c>
      <c r="F2151" s="42" t="s">
        <v>17</v>
      </c>
      <c r="G2151" s="42" t="s">
        <v>7</v>
      </c>
      <c r="H2151" s="42" t="s">
        <v>110</v>
      </c>
      <c r="I2151" s="42" t="s">
        <v>120</v>
      </c>
      <c r="J2151" s="10">
        <v>900</v>
      </c>
      <c r="K2151" s="7">
        <v>-900</v>
      </c>
      <c r="L2151" s="1" t="s">
        <v>480</v>
      </c>
    </row>
    <row r="2152" spans="1:13">
      <c r="A2152" s="21" t="str">
        <f>TEXT(TEXT(B2152,"yyyymmdd"),"00000000")&amp;TEXT(COUNTIF($B$2:B2152,B2152),"00")</f>
        <v>2025062601</v>
      </c>
      <c r="B2152" s="21">
        <f t="shared" ref="B2152" si="758">DATE(C2152,D2152,E2152)</f>
        <v>45834</v>
      </c>
      <c r="C2152" s="22">
        <v>2025</v>
      </c>
      <c r="D2152" s="23">
        <v>6</v>
      </c>
      <c r="E2152" s="24">
        <v>26</v>
      </c>
      <c r="F2152" s="42" t="s">
        <v>17</v>
      </c>
      <c r="G2152" s="42" t="s">
        <v>13</v>
      </c>
      <c r="H2152" s="42" t="s">
        <v>138</v>
      </c>
      <c r="I2152" s="42" t="s">
        <v>139</v>
      </c>
      <c r="J2152" s="10">
        <v>13900</v>
      </c>
      <c r="K2152" s="7">
        <v>-13900</v>
      </c>
      <c r="L2152" s="1" t="s">
        <v>300</v>
      </c>
    </row>
    <row r="2153" spans="1:13">
      <c r="A2153" s="21" t="str">
        <f>TEXT(TEXT(B2153,"yyyymmdd"),"00000000")&amp;TEXT(COUNTIF($B$2:B2153,B2153),"00")</f>
        <v>2025062602</v>
      </c>
      <c r="B2153" s="21">
        <f t="shared" ref="B2153" si="759">DATE(C2153,D2153,E2153)</f>
        <v>45834</v>
      </c>
      <c r="C2153" s="22">
        <v>2025</v>
      </c>
      <c r="D2153" s="23">
        <v>6</v>
      </c>
      <c r="E2153" s="24">
        <v>26</v>
      </c>
      <c r="F2153" s="42" t="s">
        <v>17</v>
      </c>
      <c r="G2153" s="42" t="s">
        <v>135</v>
      </c>
      <c r="H2153" s="42" t="s">
        <v>135</v>
      </c>
      <c r="I2153" s="42" t="s">
        <v>190</v>
      </c>
      <c r="J2153" s="10">
        <v>-2180</v>
      </c>
      <c r="K2153" s="7">
        <v>2180</v>
      </c>
      <c r="L2153" s="1" t="s">
        <v>592</v>
      </c>
      <c r="M2153" s="2" t="s">
        <v>1449</v>
      </c>
    </row>
    <row r="2154" spans="1:13">
      <c r="A2154" s="21" t="str">
        <f>TEXT(TEXT(B2154,"yyyymmdd"),"00000000")&amp;TEXT(COUNTIF($B$2:B2154,B2154),"00")</f>
        <v>2025062701</v>
      </c>
      <c r="B2154" s="21">
        <f t="shared" ref="B2154" si="760">DATE(C2154,D2154,E2154)</f>
        <v>45835</v>
      </c>
      <c r="C2154" s="22">
        <v>2025</v>
      </c>
      <c r="D2154" s="23">
        <v>6</v>
      </c>
      <c r="E2154" s="24">
        <v>27</v>
      </c>
      <c r="F2154" s="42" t="s">
        <v>17</v>
      </c>
      <c r="G2154" s="42" t="s">
        <v>7</v>
      </c>
      <c r="H2154" s="42" t="s">
        <v>117</v>
      </c>
      <c r="I2154" s="42" t="s">
        <v>471</v>
      </c>
      <c r="J2154" s="10">
        <v>47000</v>
      </c>
      <c r="K2154" s="7">
        <v>-47000</v>
      </c>
      <c r="L2154" s="1" t="s">
        <v>571</v>
      </c>
    </row>
    <row r="2155" spans="1:13">
      <c r="A2155" s="21" t="str">
        <f>TEXT(TEXT(B2155,"yyyymmdd"),"00000000")&amp;TEXT(COUNTIF($B$2:B2155,B2155),"00")</f>
        <v>2025062901</v>
      </c>
      <c r="B2155" s="21">
        <f t="shared" ref="B2155" si="761">DATE(C2155,D2155,E2155)</f>
        <v>45837</v>
      </c>
      <c r="C2155" s="22">
        <v>2025</v>
      </c>
      <c r="D2155" s="23">
        <v>6</v>
      </c>
      <c r="E2155" s="24">
        <v>29</v>
      </c>
      <c r="F2155" s="42" t="s">
        <v>17</v>
      </c>
      <c r="G2155" s="42" t="s">
        <v>7</v>
      </c>
      <c r="H2155" s="42" t="s">
        <v>138</v>
      </c>
      <c r="I2155" s="42" t="s">
        <v>139</v>
      </c>
      <c r="J2155" s="10">
        <v>9900</v>
      </c>
      <c r="K2155" s="7">
        <v>-9900</v>
      </c>
      <c r="L2155" s="1" t="s">
        <v>285</v>
      </c>
    </row>
    <row r="2156" spans="1:13">
      <c r="A2156" s="21" t="str">
        <f>TEXT(TEXT(B2156,"yyyymmdd"),"00000000")&amp;TEXT(COUNTIF($B$2:B2156,B2156),"00")</f>
        <v>2025063001</v>
      </c>
      <c r="B2156" s="21">
        <f t="shared" ref="B2156:B2157" si="762">DATE(C2156,D2156,E2156)</f>
        <v>45838</v>
      </c>
      <c r="C2156" s="22">
        <v>2025</v>
      </c>
      <c r="D2156" s="23">
        <v>6</v>
      </c>
      <c r="E2156" s="24">
        <v>30</v>
      </c>
      <c r="F2156" s="42" t="s">
        <v>17</v>
      </c>
      <c r="G2156" s="42" t="s">
        <v>11</v>
      </c>
      <c r="H2156" s="42" t="s">
        <v>99</v>
      </c>
      <c r="I2156" s="42" t="s">
        <v>94</v>
      </c>
      <c r="J2156" s="10">
        <v>10000</v>
      </c>
      <c r="K2156" s="7">
        <v>-10000</v>
      </c>
      <c r="L2156" s="1" t="s">
        <v>1382</v>
      </c>
    </row>
    <row r="2157" spans="1:13">
      <c r="A2157" s="21" t="str">
        <f>TEXT(TEXT(B2157,"yyyymmdd"),"00000000")&amp;TEXT(COUNTIF($B$2:B2157,B2157),"00")</f>
        <v>2025063002</v>
      </c>
      <c r="B2157" s="21">
        <f t="shared" si="762"/>
        <v>45838</v>
      </c>
      <c r="C2157" s="22">
        <v>2025</v>
      </c>
      <c r="D2157" s="23">
        <v>6</v>
      </c>
      <c r="E2157" s="24">
        <v>30</v>
      </c>
      <c r="F2157" s="42" t="s">
        <v>1351</v>
      </c>
      <c r="G2157" s="42" t="s">
        <v>11</v>
      </c>
      <c r="H2157" s="42" t="s">
        <v>99</v>
      </c>
      <c r="I2157" s="42" t="s">
        <v>94</v>
      </c>
      <c r="J2157" s="10">
        <v>-10000</v>
      </c>
      <c r="K2157" s="7">
        <v>10000</v>
      </c>
      <c r="L2157" s="1" t="s">
        <v>1382</v>
      </c>
    </row>
    <row r="2158" spans="1:13">
      <c r="A2158" s="21" t="str">
        <f>TEXT(TEXT(B2158,"yyyymmdd"),"00000000")&amp;TEXT(COUNTIF($B$2:B2158,B2158),"00")</f>
        <v>2025063003</v>
      </c>
      <c r="B2158" s="21">
        <f t="shared" ref="B2158" si="763">DATE(C2158,D2158,E2158)</f>
        <v>45838</v>
      </c>
      <c r="C2158" s="22">
        <v>2025</v>
      </c>
      <c r="D2158" s="23">
        <v>6</v>
      </c>
      <c r="E2158" s="24">
        <v>30</v>
      </c>
      <c r="F2158" s="42" t="s">
        <v>17</v>
      </c>
      <c r="G2158" s="42" t="s">
        <v>7</v>
      </c>
      <c r="H2158" s="42" t="s">
        <v>138</v>
      </c>
      <c r="I2158" s="42" t="s">
        <v>139</v>
      </c>
      <c r="J2158" s="10">
        <v>14300</v>
      </c>
      <c r="K2158" s="7">
        <v>-14300</v>
      </c>
      <c r="L2158" s="1" t="s">
        <v>1451</v>
      </c>
    </row>
    <row r="2159" spans="1:13">
      <c r="A2159" s="21" t="str">
        <f>TEXT(TEXT(B2159,"yyyymmdd"),"00000000")&amp;TEXT(COUNTIF($B$2:B2159,B2159),"00")</f>
        <v>2025070101</v>
      </c>
      <c r="B2159" s="21">
        <f t="shared" ref="B2159" si="764">DATE(C2159,D2159,E2159)</f>
        <v>45839</v>
      </c>
      <c r="C2159" s="22">
        <v>2025</v>
      </c>
      <c r="D2159" s="23">
        <v>7</v>
      </c>
      <c r="E2159" s="24">
        <v>1</v>
      </c>
      <c r="F2159" s="42" t="s">
        <v>17</v>
      </c>
      <c r="G2159" s="42" t="s">
        <v>151</v>
      </c>
      <c r="H2159" s="42" t="s">
        <v>151</v>
      </c>
      <c r="I2159" s="42" t="s">
        <v>152</v>
      </c>
      <c r="J2159" s="10">
        <v>-600000</v>
      </c>
      <c r="K2159" s="7">
        <v>600000</v>
      </c>
      <c r="L2159" s="1" t="s">
        <v>252</v>
      </c>
      <c r="M2159" s="2" t="s">
        <v>1450</v>
      </c>
    </row>
    <row r="2160" spans="1:13">
      <c r="A2160" s="21" t="str">
        <f>TEXT(TEXT(B2160,"yyyymmdd"),"00000000")&amp;TEXT(COUNTIF($B$2:B2160,B2160),"00")</f>
        <v>2025070201</v>
      </c>
      <c r="B2160" s="21">
        <f t="shared" ref="B2160" si="765">DATE(C2160,D2160,E2160)</f>
        <v>45840</v>
      </c>
      <c r="C2160" s="22">
        <v>2025</v>
      </c>
      <c r="D2160" s="23">
        <v>7</v>
      </c>
      <c r="E2160" s="24">
        <v>2</v>
      </c>
      <c r="F2160" s="42" t="s">
        <v>17</v>
      </c>
      <c r="G2160" s="42" t="s">
        <v>7</v>
      </c>
      <c r="H2160" s="42" t="s">
        <v>138</v>
      </c>
      <c r="I2160" s="42" t="s">
        <v>139</v>
      </c>
      <c r="J2160" s="10">
        <v>11000</v>
      </c>
      <c r="K2160" s="7">
        <v>-11000</v>
      </c>
      <c r="L2160" s="1" t="s">
        <v>1452</v>
      </c>
    </row>
    <row r="2161" spans="1:13">
      <c r="A2161" s="21" t="str">
        <f>TEXT(TEXT(B2161,"yyyymmdd"),"00000000")&amp;TEXT(COUNTIF($B$2:B2161,B2161),"00")</f>
        <v>2025070202</v>
      </c>
      <c r="B2161" s="21">
        <f t="shared" ref="B2161" si="766">DATE(C2161,D2161,E2161)</f>
        <v>45840</v>
      </c>
      <c r="C2161" s="22">
        <v>2025</v>
      </c>
      <c r="D2161" s="23">
        <v>7</v>
      </c>
      <c r="E2161" s="24">
        <v>2</v>
      </c>
      <c r="F2161" s="42" t="s">
        <v>17</v>
      </c>
      <c r="G2161" s="42" t="s">
        <v>7</v>
      </c>
      <c r="H2161" s="42" t="s">
        <v>110</v>
      </c>
      <c r="I2161" s="42" t="s">
        <v>120</v>
      </c>
      <c r="J2161" s="10">
        <v>6600</v>
      </c>
      <c r="K2161" s="7">
        <v>-6600</v>
      </c>
      <c r="L2161" s="1" t="s">
        <v>651</v>
      </c>
    </row>
    <row r="2162" spans="1:13">
      <c r="A2162" s="21" t="str">
        <f>TEXT(TEXT(B2162,"yyyymmdd"),"00000000")&amp;TEXT(COUNTIF($B$2:B2162,B2162),"00")</f>
        <v>2025070301</v>
      </c>
      <c r="B2162" s="21">
        <f t="shared" ref="B2162" si="767">DATE(C2162,D2162,E2162)</f>
        <v>45841</v>
      </c>
      <c r="C2162" s="22">
        <v>2025</v>
      </c>
      <c r="D2162" s="23">
        <v>7</v>
      </c>
      <c r="E2162" s="24">
        <v>3</v>
      </c>
      <c r="F2162" s="42" t="s">
        <v>17</v>
      </c>
      <c r="G2162" s="42" t="s">
        <v>13</v>
      </c>
      <c r="H2162" s="42" t="s">
        <v>113</v>
      </c>
      <c r="I2162" s="42" t="s">
        <v>171</v>
      </c>
      <c r="J2162" s="10">
        <v>15000</v>
      </c>
      <c r="K2162" s="7">
        <v>-15000</v>
      </c>
      <c r="L2162" s="1" t="s">
        <v>502</v>
      </c>
    </row>
    <row r="2163" spans="1:13">
      <c r="A2163" s="21" t="str">
        <f>TEXT(TEXT(B2163,"yyyymmdd"),"00000000")&amp;TEXT(COUNTIF($B$2:B2163,B2163),"00")</f>
        <v>2025070302</v>
      </c>
      <c r="B2163" s="21">
        <f t="shared" ref="B2163" si="768">DATE(C2163,D2163,E2163)</f>
        <v>45841</v>
      </c>
      <c r="C2163" s="22">
        <v>2025</v>
      </c>
      <c r="D2163" s="23">
        <v>7</v>
      </c>
      <c r="E2163" s="24">
        <v>3</v>
      </c>
      <c r="F2163" s="42" t="s">
        <v>17</v>
      </c>
      <c r="G2163" s="42" t="s">
        <v>7</v>
      </c>
      <c r="H2163" s="42" t="s">
        <v>173</v>
      </c>
      <c r="I2163" s="42" t="s">
        <v>207</v>
      </c>
      <c r="J2163" s="10">
        <v>22080</v>
      </c>
      <c r="K2163" s="7">
        <v>-22080</v>
      </c>
      <c r="L2163" s="1" t="s">
        <v>208</v>
      </c>
    </row>
    <row r="2164" spans="1:13">
      <c r="A2164" s="21" t="str">
        <f>TEXT(TEXT(B2164,"yyyymmdd"),"00000000")&amp;TEXT(COUNTIF($B$2:B2164,B2164),"00")</f>
        <v>2025070401</v>
      </c>
      <c r="B2164" s="21">
        <f t="shared" ref="B2164" si="769">DATE(C2164,D2164,E2164)</f>
        <v>45842</v>
      </c>
      <c r="C2164" s="22">
        <v>2025</v>
      </c>
      <c r="D2164" s="23">
        <v>7</v>
      </c>
      <c r="E2164" s="24">
        <v>4</v>
      </c>
      <c r="F2164" s="42" t="s">
        <v>17</v>
      </c>
      <c r="G2164" s="42" t="s">
        <v>7</v>
      </c>
      <c r="H2164" s="42" t="s">
        <v>155</v>
      </c>
      <c r="I2164" s="42" t="s">
        <v>221</v>
      </c>
      <c r="J2164" s="10">
        <v>34900</v>
      </c>
      <c r="K2164" s="7">
        <v>-34900</v>
      </c>
      <c r="L2164" s="1" t="s">
        <v>1038</v>
      </c>
      <c r="M2164" s="2" t="s">
        <v>1453</v>
      </c>
    </row>
    <row r="2165" spans="1:13">
      <c r="A2165" s="21" t="str">
        <f>TEXT(TEXT(B2165,"yyyymmdd"),"00000000")&amp;TEXT(COUNTIF($B$2:B2165,B2165),"00")</f>
        <v>2025070501</v>
      </c>
      <c r="B2165" s="21">
        <f t="shared" ref="B2165" si="770">DATE(C2165,D2165,E2165)</f>
        <v>45843</v>
      </c>
      <c r="C2165" s="22">
        <v>2025</v>
      </c>
      <c r="D2165" s="23">
        <v>7</v>
      </c>
      <c r="E2165" s="24">
        <v>5</v>
      </c>
      <c r="F2165" s="42" t="s">
        <v>17</v>
      </c>
      <c r="G2165" s="42" t="s">
        <v>13</v>
      </c>
      <c r="H2165" s="42" t="s">
        <v>138</v>
      </c>
      <c r="I2165" s="42" t="s">
        <v>197</v>
      </c>
      <c r="J2165" s="10">
        <v>2900</v>
      </c>
      <c r="K2165" s="7">
        <v>-2900</v>
      </c>
      <c r="L2165" s="1" t="s">
        <v>1425</v>
      </c>
    </row>
    <row r="2166" spans="1:13">
      <c r="A2166" s="21" t="str">
        <f>TEXT(TEXT(B2166,"yyyymmdd"),"00000000")&amp;TEXT(COUNTIF($B$2:B2166,B2166),"00")</f>
        <v>2025070502</v>
      </c>
      <c r="B2166" s="21">
        <f t="shared" ref="B2166" si="771">DATE(C2166,D2166,E2166)</f>
        <v>45843</v>
      </c>
      <c r="C2166" s="22">
        <v>2025</v>
      </c>
      <c r="D2166" s="23">
        <v>7</v>
      </c>
      <c r="E2166" s="24">
        <v>5</v>
      </c>
      <c r="F2166" s="42" t="s">
        <v>17</v>
      </c>
      <c r="G2166" s="42" t="s">
        <v>7</v>
      </c>
      <c r="H2166" s="42" t="s">
        <v>138</v>
      </c>
      <c r="I2166" s="42" t="s">
        <v>139</v>
      </c>
      <c r="J2166" s="10">
        <v>10000</v>
      </c>
      <c r="K2166" s="7">
        <v>-10000</v>
      </c>
      <c r="L2166" s="1" t="s">
        <v>1454</v>
      </c>
    </row>
    <row r="2167" spans="1:13">
      <c r="A2167" s="21" t="str">
        <f>TEXT(TEXT(B2167,"yyyymmdd"),"00000000")&amp;TEXT(COUNTIF($B$2:B2167,B2167),"00")</f>
        <v>2025070503</v>
      </c>
      <c r="B2167" s="21">
        <f t="shared" ref="B2167" si="772">DATE(C2167,D2167,E2167)</f>
        <v>45843</v>
      </c>
      <c r="C2167" s="22">
        <v>2025</v>
      </c>
      <c r="D2167" s="23">
        <v>7</v>
      </c>
      <c r="E2167" s="24">
        <v>5</v>
      </c>
      <c r="F2167" s="42" t="s">
        <v>17</v>
      </c>
      <c r="G2167" s="42" t="s">
        <v>7</v>
      </c>
      <c r="H2167" s="42" t="s">
        <v>110</v>
      </c>
      <c r="I2167" s="42" t="s">
        <v>120</v>
      </c>
      <c r="J2167" s="10">
        <v>7100</v>
      </c>
      <c r="K2167" s="7">
        <v>-7100</v>
      </c>
      <c r="L2167" s="1" t="s">
        <v>1455</v>
      </c>
    </row>
    <row r="2168" spans="1:13">
      <c r="A2168" s="21" t="str">
        <f>TEXT(TEXT(B2168,"yyyymmdd"),"00000000")&amp;TEXT(COUNTIF($B$2:B2168,B2168),"00")</f>
        <v>2025070504</v>
      </c>
      <c r="B2168" s="21">
        <f t="shared" ref="B2168" si="773">DATE(C2168,D2168,E2168)</f>
        <v>45843</v>
      </c>
      <c r="C2168" s="22">
        <v>2025</v>
      </c>
      <c r="D2168" s="23">
        <v>7</v>
      </c>
      <c r="E2168" s="24">
        <v>5</v>
      </c>
      <c r="F2168" s="42" t="s">
        <v>17</v>
      </c>
      <c r="G2168" s="42" t="s">
        <v>7</v>
      </c>
      <c r="H2168" s="42" t="s">
        <v>116</v>
      </c>
      <c r="I2168" s="42" t="s">
        <v>339</v>
      </c>
      <c r="J2168" s="10">
        <v>16500</v>
      </c>
      <c r="K2168" s="7">
        <v>-16500</v>
      </c>
      <c r="L2168" s="1" t="s">
        <v>1456</v>
      </c>
      <c r="M2168" s="2" t="s">
        <v>1462</v>
      </c>
    </row>
    <row r="2169" spans="1:13">
      <c r="A2169" s="21" t="str">
        <f>TEXT(TEXT(B2169,"yyyymmdd"),"00000000")&amp;TEXT(COUNTIF($B$2:B2169,B2169),"00")</f>
        <v>2025070505</v>
      </c>
      <c r="B2169" s="21">
        <f t="shared" ref="B2169" si="774">DATE(C2169,D2169,E2169)</f>
        <v>45843</v>
      </c>
      <c r="C2169" s="22">
        <v>2025</v>
      </c>
      <c r="D2169" s="23">
        <v>7</v>
      </c>
      <c r="E2169" s="24">
        <v>5</v>
      </c>
      <c r="F2169" s="42" t="s">
        <v>17</v>
      </c>
      <c r="G2169" s="42" t="s">
        <v>7</v>
      </c>
      <c r="H2169" s="42" t="s">
        <v>110</v>
      </c>
      <c r="I2169" s="42" t="s">
        <v>122</v>
      </c>
      <c r="J2169" s="10">
        <v>10500</v>
      </c>
      <c r="K2169" s="7">
        <v>-10500</v>
      </c>
      <c r="L2169" s="1" t="s">
        <v>1456</v>
      </c>
      <c r="M2169" s="2" t="s">
        <v>548</v>
      </c>
    </row>
    <row r="2170" spans="1:13">
      <c r="A2170" s="21" t="str">
        <f>TEXT(TEXT(B2170,"yyyymmdd"),"00000000")&amp;TEXT(COUNTIF($B$2:B2170,B2170),"00")</f>
        <v>2025070701</v>
      </c>
      <c r="B2170" s="21">
        <f t="shared" ref="B2170" si="775">DATE(C2170,D2170,E2170)</f>
        <v>45845</v>
      </c>
      <c r="C2170" s="22">
        <v>2025</v>
      </c>
      <c r="D2170" s="23">
        <v>7</v>
      </c>
      <c r="E2170" s="24">
        <v>7</v>
      </c>
      <c r="F2170" s="42" t="s">
        <v>17</v>
      </c>
      <c r="G2170" s="42" t="s">
        <v>13</v>
      </c>
      <c r="H2170" s="42" t="s">
        <v>138</v>
      </c>
      <c r="I2170" s="42" t="s">
        <v>139</v>
      </c>
      <c r="J2170" s="10">
        <v>8000</v>
      </c>
      <c r="K2170" s="7">
        <v>-8000</v>
      </c>
      <c r="L2170" s="1" t="s">
        <v>677</v>
      </c>
    </row>
    <row r="2171" spans="1:13">
      <c r="A2171" s="21" t="str">
        <f>TEXT(TEXT(B2171,"yyyymmdd"),"00000000")&amp;TEXT(COUNTIF($B$2:B2171,B2171),"00")</f>
        <v>2025070702</v>
      </c>
      <c r="B2171" s="21">
        <f t="shared" ref="B2171" si="776">DATE(C2171,D2171,E2171)</f>
        <v>45845</v>
      </c>
      <c r="C2171" s="22">
        <v>2025</v>
      </c>
      <c r="D2171" s="23">
        <v>7</v>
      </c>
      <c r="E2171" s="24">
        <v>7</v>
      </c>
      <c r="F2171" s="42" t="s">
        <v>17</v>
      </c>
      <c r="G2171" s="42" t="s">
        <v>13</v>
      </c>
      <c r="H2171" s="42" t="s">
        <v>138</v>
      </c>
      <c r="I2171" s="42" t="s">
        <v>139</v>
      </c>
      <c r="J2171" s="10">
        <v>9000</v>
      </c>
      <c r="K2171" s="7">
        <v>-9000</v>
      </c>
      <c r="L2171" s="1" t="s">
        <v>911</v>
      </c>
    </row>
    <row r="2172" spans="1:13">
      <c r="A2172" s="21" t="str">
        <f>TEXT(TEXT(B2172,"yyyymmdd"),"00000000")&amp;TEXT(COUNTIF($B$2:B2172,B2172),"00")</f>
        <v>2025070703</v>
      </c>
      <c r="B2172" s="21">
        <f t="shared" ref="B2172" si="777">DATE(C2172,D2172,E2172)</f>
        <v>45845</v>
      </c>
      <c r="C2172" s="22">
        <v>2025</v>
      </c>
      <c r="D2172" s="23">
        <v>7</v>
      </c>
      <c r="E2172" s="24">
        <v>7</v>
      </c>
      <c r="F2172" s="42" t="s">
        <v>17</v>
      </c>
      <c r="G2172" s="42" t="s">
        <v>7</v>
      </c>
      <c r="H2172" s="42" t="s">
        <v>167</v>
      </c>
      <c r="I2172" s="42" t="s">
        <v>168</v>
      </c>
      <c r="J2172" s="10">
        <v>18800</v>
      </c>
      <c r="K2172" s="7">
        <v>-18800</v>
      </c>
      <c r="L2172" s="1" t="s">
        <v>532</v>
      </c>
      <c r="M2172" s="2" t="s">
        <v>1457</v>
      </c>
    </row>
    <row r="2173" spans="1:13">
      <c r="A2173" s="21" t="str">
        <f>TEXT(TEXT(B2173,"yyyymmdd"),"00000000")&amp;TEXT(COUNTIF($B$2:B2173,B2173),"00")</f>
        <v>2025070801</v>
      </c>
      <c r="B2173" s="21">
        <f t="shared" ref="B2173" si="778">DATE(C2173,D2173,E2173)</f>
        <v>45846</v>
      </c>
      <c r="C2173" s="22">
        <v>2025</v>
      </c>
      <c r="D2173" s="23">
        <v>7</v>
      </c>
      <c r="E2173" s="24">
        <v>8</v>
      </c>
      <c r="F2173" s="42" t="s">
        <v>17</v>
      </c>
      <c r="G2173" s="42" t="s">
        <v>13</v>
      </c>
      <c r="H2173" s="42" t="s">
        <v>167</v>
      </c>
      <c r="I2173" s="42" t="s">
        <v>214</v>
      </c>
      <c r="J2173" s="10">
        <v>53850</v>
      </c>
      <c r="K2173" s="7">
        <v>-53850</v>
      </c>
      <c r="L2173" s="1" t="s">
        <v>1227</v>
      </c>
    </row>
    <row r="2174" spans="1:13">
      <c r="A2174" s="21" t="str">
        <f>TEXT(TEXT(B2174,"yyyymmdd"),"00000000")&amp;TEXT(COUNTIF($B$2:B2174,B2174),"00")</f>
        <v>2025070802</v>
      </c>
      <c r="B2174" s="21">
        <f t="shared" ref="B2174" si="779">DATE(C2174,D2174,E2174)</f>
        <v>45846</v>
      </c>
      <c r="C2174" s="22">
        <v>2025</v>
      </c>
      <c r="D2174" s="23">
        <v>7</v>
      </c>
      <c r="E2174" s="24">
        <v>8</v>
      </c>
      <c r="F2174" s="42" t="s">
        <v>17</v>
      </c>
      <c r="G2174" s="42" t="s">
        <v>7</v>
      </c>
      <c r="H2174" s="42" t="s">
        <v>138</v>
      </c>
      <c r="I2174" s="42" t="s">
        <v>139</v>
      </c>
      <c r="J2174" s="10">
        <v>4500</v>
      </c>
      <c r="K2174" s="7">
        <v>-4500</v>
      </c>
      <c r="L2174" s="1" t="s">
        <v>1458</v>
      </c>
    </row>
    <row r="2175" spans="1:13">
      <c r="A2175" s="21" t="str">
        <f>TEXT(TEXT(B2175,"yyyymmdd"),"00000000")&amp;TEXT(COUNTIF($B$2:B2175,B2175),"00")</f>
        <v>2025070803</v>
      </c>
      <c r="B2175" s="21">
        <f t="shared" ref="B2175" si="780">DATE(C2175,D2175,E2175)</f>
        <v>45846</v>
      </c>
      <c r="C2175" s="22">
        <v>2025</v>
      </c>
      <c r="D2175" s="23">
        <v>7</v>
      </c>
      <c r="E2175" s="24">
        <v>8</v>
      </c>
      <c r="F2175" s="42" t="s">
        <v>17</v>
      </c>
      <c r="G2175" s="42" t="s">
        <v>7</v>
      </c>
      <c r="H2175" s="42" t="s">
        <v>167</v>
      </c>
      <c r="I2175" s="42" t="s">
        <v>214</v>
      </c>
      <c r="J2175" s="10">
        <v>3000</v>
      </c>
      <c r="K2175" s="7">
        <v>-3000</v>
      </c>
      <c r="L2175" s="1" t="s">
        <v>603</v>
      </c>
    </row>
    <row r="2176" spans="1:13">
      <c r="A2176" s="21" t="str">
        <f>TEXT(TEXT(B2176,"yyyymmdd"),"00000000")&amp;TEXT(COUNTIF($B$2:B2176,B2176),"00")</f>
        <v>2025070804</v>
      </c>
      <c r="B2176" s="21">
        <f t="shared" ref="B2176" si="781">DATE(C2176,D2176,E2176)</f>
        <v>45846</v>
      </c>
      <c r="C2176" s="22">
        <v>2025</v>
      </c>
      <c r="D2176" s="23">
        <v>7</v>
      </c>
      <c r="E2176" s="24">
        <v>8</v>
      </c>
      <c r="F2176" s="42" t="s">
        <v>17</v>
      </c>
      <c r="G2176" s="42" t="s">
        <v>7</v>
      </c>
      <c r="H2176" s="42" t="s">
        <v>110</v>
      </c>
      <c r="I2176" s="42" t="s">
        <v>120</v>
      </c>
      <c r="J2176" s="10">
        <v>5200</v>
      </c>
      <c r="K2176" s="7">
        <v>-5200</v>
      </c>
      <c r="L2176" s="1" t="s">
        <v>599</v>
      </c>
    </row>
    <row r="2177" spans="1:13">
      <c r="A2177" s="21" t="str">
        <f>TEXT(TEXT(B2177,"yyyymmdd"),"00000000")&amp;TEXT(COUNTIF($B$2:B2177,B2177),"00")</f>
        <v>2025070901</v>
      </c>
      <c r="B2177" s="21">
        <f t="shared" ref="B2177" si="782">DATE(C2177,D2177,E2177)</f>
        <v>45847</v>
      </c>
      <c r="C2177" s="22">
        <v>2025</v>
      </c>
      <c r="D2177" s="23">
        <v>7</v>
      </c>
      <c r="E2177" s="24">
        <v>9</v>
      </c>
      <c r="F2177" s="42" t="s">
        <v>17</v>
      </c>
      <c r="G2177" s="42" t="s">
        <v>170</v>
      </c>
      <c r="H2177" s="42" t="s">
        <v>114</v>
      </c>
      <c r="I2177" s="42" t="s">
        <v>1007</v>
      </c>
      <c r="J2177" s="10">
        <v>12760</v>
      </c>
      <c r="K2177" s="7">
        <v>-12760</v>
      </c>
      <c r="L2177" s="1" t="s">
        <v>1023</v>
      </c>
    </row>
    <row r="2178" spans="1:13">
      <c r="A2178" s="21" t="str">
        <f>TEXT(TEXT(B2178,"yyyymmdd"),"00000000")&amp;TEXT(COUNTIF($B$2:B2178,B2178),"00")</f>
        <v>2025071001</v>
      </c>
      <c r="B2178" s="21">
        <f t="shared" ref="B2178" si="783">DATE(C2178,D2178,E2178)</f>
        <v>45848</v>
      </c>
      <c r="C2178" s="22">
        <v>2025</v>
      </c>
      <c r="D2178" s="23">
        <v>7</v>
      </c>
      <c r="E2178" s="24">
        <v>10</v>
      </c>
      <c r="F2178" s="42" t="s">
        <v>17</v>
      </c>
      <c r="G2178" s="42" t="s">
        <v>7</v>
      </c>
      <c r="H2178" s="42" t="s">
        <v>167</v>
      </c>
      <c r="I2178" s="42" t="s">
        <v>168</v>
      </c>
      <c r="J2178" s="10">
        <v>1500</v>
      </c>
      <c r="K2178" s="7">
        <v>-1500</v>
      </c>
      <c r="L2178" s="1" t="s">
        <v>748</v>
      </c>
    </row>
    <row r="2179" spans="1:13">
      <c r="A2179" s="21" t="str">
        <f>TEXT(TEXT(B2179,"yyyymmdd"),"00000000")&amp;TEXT(COUNTIF($B$2:B2179,B2179),"00")</f>
        <v>2025071101</v>
      </c>
      <c r="B2179" s="21">
        <f t="shared" ref="B2179" si="784">DATE(C2179,D2179,E2179)</f>
        <v>45849</v>
      </c>
      <c r="C2179" s="22">
        <v>2025</v>
      </c>
      <c r="D2179" s="23">
        <v>7</v>
      </c>
      <c r="E2179" s="24">
        <v>11</v>
      </c>
      <c r="F2179" s="42" t="s">
        <v>17</v>
      </c>
      <c r="G2179" s="42" t="s">
        <v>13</v>
      </c>
      <c r="H2179" s="42" t="s">
        <v>138</v>
      </c>
      <c r="I2179" s="42" t="s">
        <v>139</v>
      </c>
      <c r="J2179" s="10">
        <v>6500</v>
      </c>
      <c r="K2179" s="7">
        <v>-6500</v>
      </c>
      <c r="L2179" s="1" t="s">
        <v>634</v>
      </c>
    </row>
    <row r="2180" spans="1:13">
      <c r="A2180" s="21" t="str">
        <f>TEXT(TEXT(B2180,"yyyymmdd"),"00000000")&amp;TEXT(COUNTIF($B$2:B2180,B2180),"00")</f>
        <v>2025071102</v>
      </c>
      <c r="B2180" s="21">
        <f t="shared" ref="B2180" si="785">DATE(C2180,D2180,E2180)</f>
        <v>45849</v>
      </c>
      <c r="C2180" s="22">
        <v>2025</v>
      </c>
      <c r="D2180" s="23">
        <v>7</v>
      </c>
      <c r="E2180" s="24">
        <v>11</v>
      </c>
      <c r="F2180" s="42" t="s">
        <v>17</v>
      </c>
      <c r="G2180" s="42" t="s">
        <v>7</v>
      </c>
      <c r="H2180" s="42" t="s">
        <v>167</v>
      </c>
      <c r="I2180" s="42" t="s">
        <v>168</v>
      </c>
      <c r="J2180" s="10">
        <v>20500</v>
      </c>
      <c r="K2180" s="7">
        <v>-20500</v>
      </c>
      <c r="L2180" s="1" t="s">
        <v>532</v>
      </c>
    </row>
    <row r="2181" spans="1:13">
      <c r="A2181" s="21" t="str">
        <f>TEXT(TEXT(B2181,"yyyymmdd"),"00000000")&amp;TEXT(COUNTIF($B$2:B2181,B2181),"00")</f>
        <v>2025071201</v>
      </c>
      <c r="B2181" s="21">
        <f t="shared" ref="B2181" si="786">DATE(C2181,D2181,E2181)</f>
        <v>45850</v>
      </c>
      <c r="C2181" s="22">
        <v>2025</v>
      </c>
      <c r="D2181" s="23">
        <v>7</v>
      </c>
      <c r="E2181" s="24">
        <v>12</v>
      </c>
      <c r="F2181" s="42" t="s">
        <v>17</v>
      </c>
      <c r="G2181" s="42" t="s">
        <v>7</v>
      </c>
      <c r="H2181" s="42" t="s">
        <v>167</v>
      </c>
      <c r="I2181" s="42" t="s">
        <v>168</v>
      </c>
      <c r="J2181" s="10">
        <v>30340</v>
      </c>
      <c r="K2181" s="7">
        <v>-30340</v>
      </c>
      <c r="L2181" s="1" t="s">
        <v>532</v>
      </c>
      <c r="M2181" s="2" t="s">
        <v>1459</v>
      </c>
    </row>
    <row r="2182" spans="1:13">
      <c r="A2182" s="21" t="str">
        <f>TEXT(TEXT(B2182,"yyyymmdd"),"00000000")&amp;TEXT(COUNTIF($B$2:B2182,B2182),"00")</f>
        <v>2025071401</v>
      </c>
      <c r="B2182" s="21">
        <f t="shared" ref="B2182" si="787">DATE(C2182,D2182,E2182)</f>
        <v>45852</v>
      </c>
      <c r="C2182" s="22">
        <v>2025</v>
      </c>
      <c r="D2182" s="23">
        <v>7</v>
      </c>
      <c r="E2182" s="24">
        <v>14</v>
      </c>
      <c r="F2182" s="42" t="s">
        <v>17</v>
      </c>
      <c r="G2182" s="42" t="s">
        <v>13</v>
      </c>
      <c r="H2182" s="42" t="s">
        <v>167</v>
      </c>
      <c r="I2182" s="42" t="s">
        <v>214</v>
      </c>
      <c r="J2182" s="10">
        <v>38130</v>
      </c>
      <c r="K2182" s="7">
        <v>-38130</v>
      </c>
      <c r="L2182" s="1" t="s">
        <v>1227</v>
      </c>
    </row>
    <row r="2183" spans="1:13">
      <c r="A2183" s="21" t="str">
        <f>TEXT(TEXT(B2183,"yyyymmdd"),"00000000")&amp;TEXT(COUNTIF($B$2:B2183,B2183),"00")</f>
        <v>2025071501</v>
      </c>
      <c r="B2183" s="21">
        <f t="shared" ref="B2183" si="788">DATE(C2183,D2183,E2183)</f>
        <v>45853</v>
      </c>
      <c r="C2183" s="22">
        <v>2025</v>
      </c>
      <c r="D2183" s="23">
        <v>7</v>
      </c>
      <c r="E2183" s="24">
        <v>15</v>
      </c>
      <c r="F2183" s="42" t="s">
        <v>17</v>
      </c>
      <c r="G2183" s="42" t="s">
        <v>7</v>
      </c>
      <c r="H2183" s="42" t="s">
        <v>167</v>
      </c>
      <c r="I2183" s="42" t="s">
        <v>168</v>
      </c>
      <c r="J2183" s="10">
        <v>3300</v>
      </c>
      <c r="K2183" s="7">
        <v>-3300</v>
      </c>
      <c r="L2183" s="1" t="s">
        <v>532</v>
      </c>
    </row>
    <row r="2184" spans="1:13">
      <c r="A2184" s="21" t="str">
        <f>TEXT(TEXT(B2184,"yyyymmdd"),"00000000")&amp;TEXT(COUNTIF($B$2:B2184,B2184),"00")</f>
        <v>2025071601</v>
      </c>
      <c r="B2184" s="21">
        <f t="shared" ref="B2184" si="789">DATE(C2184,D2184,E2184)</f>
        <v>45854</v>
      </c>
      <c r="C2184" s="22">
        <v>2025</v>
      </c>
      <c r="D2184" s="23">
        <v>7</v>
      </c>
      <c r="E2184" s="24">
        <v>16</v>
      </c>
      <c r="F2184" s="42" t="s">
        <v>17</v>
      </c>
      <c r="G2184" s="42" t="s">
        <v>7</v>
      </c>
      <c r="H2184" s="42" t="s">
        <v>138</v>
      </c>
      <c r="I2184" s="42" t="s">
        <v>139</v>
      </c>
      <c r="J2184" s="10">
        <v>13000</v>
      </c>
      <c r="K2184" s="7">
        <v>-13000</v>
      </c>
      <c r="L2184" s="1" t="s">
        <v>1460</v>
      </c>
    </row>
    <row r="2185" spans="1:13">
      <c r="A2185" s="21" t="str">
        <f>TEXT(TEXT(B2185,"yyyymmdd"),"00000000")&amp;TEXT(COUNTIF($B$2:B2185,B2185),"00")</f>
        <v>2025071602</v>
      </c>
      <c r="B2185" s="21">
        <f t="shared" ref="B2185" si="790">DATE(C2185,D2185,E2185)</f>
        <v>45854</v>
      </c>
      <c r="C2185" s="22">
        <v>2025</v>
      </c>
      <c r="D2185" s="23">
        <v>7</v>
      </c>
      <c r="E2185" s="24">
        <v>16</v>
      </c>
      <c r="F2185" s="42" t="s">
        <v>17</v>
      </c>
      <c r="G2185" s="42" t="s">
        <v>7</v>
      </c>
      <c r="H2185" s="42" t="s">
        <v>167</v>
      </c>
      <c r="I2185" s="42" t="s">
        <v>545</v>
      </c>
      <c r="J2185" s="10">
        <v>36993</v>
      </c>
      <c r="K2185" s="7">
        <v>-36993</v>
      </c>
      <c r="L2185" s="1" t="s">
        <v>934</v>
      </c>
      <c r="M2185" s="2" t="s">
        <v>1461</v>
      </c>
    </row>
    <row r="2186" spans="1:13">
      <c r="A2186" s="21" t="str">
        <f>TEXT(TEXT(B2186,"yyyymmdd"),"00000000")&amp;TEXT(COUNTIF($B$2:B2186,B2186),"00")</f>
        <v>2025071801</v>
      </c>
      <c r="B2186" s="21">
        <f t="shared" ref="B2186" si="791">DATE(C2186,D2186,E2186)</f>
        <v>45856</v>
      </c>
      <c r="C2186" s="22">
        <v>2025</v>
      </c>
      <c r="D2186" s="23">
        <v>7</v>
      </c>
      <c r="E2186" s="24">
        <v>18</v>
      </c>
      <c r="F2186" s="42" t="s">
        <v>17</v>
      </c>
      <c r="G2186" s="42" t="s">
        <v>7</v>
      </c>
      <c r="H2186" s="42" t="s">
        <v>116</v>
      </c>
      <c r="I2186" s="42" t="s">
        <v>225</v>
      </c>
      <c r="J2186" s="10">
        <v>2000</v>
      </c>
      <c r="K2186" s="7">
        <v>-2000</v>
      </c>
      <c r="L2186" s="1" t="s">
        <v>774</v>
      </c>
    </row>
    <row r="2187" spans="1:13">
      <c r="A2187" s="21" t="str">
        <f>TEXT(TEXT(B2187,"yyyymmdd"),"00000000")&amp;TEXT(COUNTIF($B$2:B2187,B2187),"00")</f>
        <v>2025071901</v>
      </c>
      <c r="B2187" s="21">
        <f t="shared" ref="B2187" si="792">DATE(C2187,D2187,E2187)</f>
        <v>45857</v>
      </c>
      <c r="C2187" s="22">
        <v>2025</v>
      </c>
      <c r="D2187" s="23">
        <v>7</v>
      </c>
      <c r="E2187" s="24">
        <v>19</v>
      </c>
      <c r="F2187" s="42" t="s">
        <v>17</v>
      </c>
      <c r="G2187" s="42" t="s">
        <v>7</v>
      </c>
      <c r="H2187" s="42" t="s">
        <v>138</v>
      </c>
      <c r="I2187" s="42" t="s">
        <v>139</v>
      </c>
      <c r="J2187" s="10">
        <v>6750</v>
      </c>
      <c r="K2187" s="7">
        <v>-6750</v>
      </c>
      <c r="L2187" s="1" t="s">
        <v>1396</v>
      </c>
    </row>
    <row r="2188" spans="1:13">
      <c r="A2188" s="21" t="str">
        <f>TEXT(TEXT(B2188,"yyyymmdd"),"00000000")&amp;TEXT(COUNTIF($B$2:B2188,B2188),"00")</f>
        <v>2025071902</v>
      </c>
      <c r="B2188" s="21">
        <f t="shared" ref="B2188" si="793">DATE(C2188,D2188,E2188)</f>
        <v>45857</v>
      </c>
      <c r="C2188" s="22">
        <v>2025</v>
      </c>
      <c r="D2188" s="23">
        <v>7</v>
      </c>
      <c r="E2188" s="24">
        <v>19</v>
      </c>
      <c r="F2188" s="42" t="s">
        <v>17</v>
      </c>
      <c r="G2188" s="42" t="s">
        <v>7</v>
      </c>
      <c r="H2188" s="42" t="s">
        <v>32</v>
      </c>
      <c r="I2188" s="42" t="s">
        <v>141</v>
      </c>
      <c r="J2188" s="10">
        <v>3300</v>
      </c>
      <c r="K2188" s="7">
        <v>-3300</v>
      </c>
      <c r="L2188" s="1" t="s">
        <v>768</v>
      </c>
    </row>
    <row r="2189" spans="1:13">
      <c r="A2189" s="21" t="str">
        <f>TEXT(TEXT(B2189,"yyyymmdd"),"00000000")&amp;TEXT(COUNTIF($B$2:B2189,B2189),"00")</f>
        <v>2025071903</v>
      </c>
      <c r="B2189" s="21">
        <f t="shared" ref="B2189" si="794">DATE(C2189,D2189,E2189)</f>
        <v>45857</v>
      </c>
      <c r="C2189" s="22">
        <v>2025</v>
      </c>
      <c r="D2189" s="23">
        <v>7</v>
      </c>
      <c r="E2189" s="24">
        <v>19</v>
      </c>
      <c r="F2189" s="42" t="s">
        <v>17</v>
      </c>
      <c r="G2189" s="42" t="s">
        <v>7</v>
      </c>
      <c r="H2189" s="42" t="s">
        <v>138</v>
      </c>
      <c r="I2189" s="42" t="s">
        <v>139</v>
      </c>
      <c r="J2189" s="10">
        <v>17400</v>
      </c>
      <c r="K2189" s="7">
        <v>-17400</v>
      </c>
      <c r="L2189" s="1" t="s">
        <v>1463</v>
      </c>
    </row>
    <row r="2190" spans="1:13">
      <c r="A2190" s="21" t="str">
        <f>TEXT(TEXT(B2190,"yyyymmdd"),"00000000")&amp;TEXT(COUNTIF($B$2:B2190,B2190),"00")</f>
        <v>2025071904</v>
      </c>
      <c r="B2190" s="21">
        <f t="shared" ref="B2190" si="795">DATE(C2190,D2190,E2190)</f>
        <v>45857</v>
      </c>
      <c r="C2190" s="22">
        <v>2025</v>
      </c>
      <c r="D2190" s="23">
        <v>7</v>
      </c>
      <c r="E2190" s="24">
        <v>19</v>
      </c>
      <c r="F2190" s="42" t="s">
        <v>17</v>
      </c>
      <c r="G2190" s="42" t="s">
        <v>7</v>
      </c>
      <c r="H2190" s="42" t="s">
        <v>32</v>
      </c>
      <c r="I2190" s="42" t="s">
        <v>620</v>
      </c>
      <c r="J2190" s="10">
        <v>70000</v>
      </c>
      <c r="K2190" s="7">
        <v>-70000</v>
      </c>
      <c r="L2190" s="1" t="s">
        <v>598</v>
      </c>
    </row>
    <row r="2191" spans="1:13">
      <c r="A2191" s="21" t="str">
        <f>TEXT(TEXT(B2191,"yyyymmdd"),"00000000")&amp;TEXT(COUNTIF($B$2:B2191,B2191),"00")</f>
        <v>2025072001</v>
      </c>
      <c r="B2191" s="21">
        <f t="shared" ref="B2191" si="796">DATE(C2191,D2191,E2191)</f>
        <v>45858</v>
      </c>
      <c r="C2191" s="22">
        <v>2025</v>
      </c>
      <c r="D2191" s="23">
        <v>7</v>
      </c>
      <c r="E2191" s="24">
        <v>20</v>
      </c>
      <c r="F2191" s="42" t="s">
        <v>17</v>
      </c>
      <c r="G2191" s="42" t="s">
        <v>7</v>
      </c>
      <c r="H2191" s="42" t="s">
        <v>117</v>
      </c>
      <c r="I2191" s="42" t="s">
        <v>453</v>
      </c>
      <c r="J2191" s="10">
        <v>12000</v>
      </c>
      <c r="K2191" s="7">
        <v>-12000</v>
      </c>
      <c r="L2191" s="1" t="s">
        <v>1432</v>
      </c>
    </row>
    <row r="2192" spans="1:13">
      <c r="A2192" s="21" t="str">
        <f>TEXT(TEXT(B2192,"yyyymmdd"),"00000000")&amp;TEXT(COUNTIF($B$2:B2192,B2192),"00")</f>
        <v>2025072002</v>
      </c>
      <c r="B2192" s="21">
        <f t="shared" ref="B2192" si="797">DATE(C2192,D2192,E2192)</f>
        <v>45858</v>
      </c>
      <c r="C2192" s="22">
        <v>2025</v>
      </c>
      <c r="D2192" s="23">
        <v>7</v>
      </c>
      <c r="E2192" s="24">
        <v>20</v>
      </c>
      <c r="F2192" s="42" t="s">
        <v>17</v>
      </c>
      <c r="G2192" s="42" t="s">
        <v>7</v>
      </c>
      <c r="H2192" s="42" t="s">
        <v>111</v>
      </c>
      <c r="I2192" s="42" t="s">
        <v>334</v>
      </c>
      <c r="J2192" s="10">
        <v>25650</v>
      </c>
      <c r="K2192" s="7">
        <v>-25650</v>
      </c>
      <c r="L2192" s="1" t="s">
        <v>1211</v>
      </c>
    </row>
    <row r="2193" spans="1:13">
      <c r="A2193" s="21" t="str">
        <f>TEXT(TEXT(B2193,"yyyymmdd"),"00000000")&amp;TEXT(COUNTIF($B$2:B2193,B2193),"00")</f>
        <v>2025072003</v>
      </c>
      <c r="B2193" s="21">
        <f t="shared" ref="B2193" si="798">DATE(C2193,D2193,E2193)</f>
        <v>45858</v>
      </c>
      <c r="C2193" s="22">
        <v>2025</v>
      </c>
      <c r="D2193" s="23">
        <v>7</v>
      </c>
      <c r="E2193" s="24">
        <v>20</v>
      </c>
      <c r="F2193" s="42" t="s">
        <v>17</v>
      </c>
      <c r="G2193" s="42" t="s">
        <v>7</v>
      </c>
      <c r="H2193" s="42" t="s">
        <v>167</v>
      </c>
      <c r="I2193" s="42" t="s">
        <v>214</v>
      </c>
      <c r="J2193" s="10">
        <v>2500</v>
      </c>
      <c r="K2193" s="7">
        <v>-2500</v>
      </c>
      <c r="L2193" s="1" t="s">
        <v>603</v>
      </c>
      <c r="M2193" s="2" t="s">
        <v>1464</v>
      </c>
    </row>
    <row r="2194" spans="1:13">
      <c r="A2194" s="21" t="str">
        <f>TEXT(TEXT(B2194,"yyyymmdd"),"00000000")&amp;TEXT(COUNTIF($B$2:B2194,B2194),"00")</f>
        <v>2025072004</v>
      </c>
      <c r="B2194" s="21">
        <f t="shared" ref="B2194" si="799">DATE(C2194,D2194,E2194)</f>
        <v>45858</v>
      </c>
      <c r="C2194" s="22">
        <v>2025</v>
      </c>
      <c r="D2194" s="23">
        <v>7</v>
      </c>
      <c r="E2194" s="24">
        <v>20</v>
      </c>
      <c r="F2194" s="42" t="s">
        <v>17</v>
      </c>
      <c r="G2194" s="42" t="s">
        <v>7</v>
      </c>
      <c r="H2194" s="42" t="s">
        <v>167</v>
      </c>
      <c r="I2194" s="42" t="s">
        <v>214</v>
      </c>
      <c r="J2194" s="10">
        <v>4500</v>
      </c>
      <c r="K2194" s="7">
        <v>-4500</v>
      </c>
      <c r="L2194" s="1" t="s">
        <v>753</v>
      </c>
    </row>
    <row r="2195" spans="1:13">
      <c r="A2195" s="21" t="str">
        <f>TEXT(TEXT(B2195,"yyyymmdd"),"00000000")&amp;TEXT(COUNTIF($B$2:B2195,B2195),"00")</f>
        <v>2025072101</v>
      </c>
      <c r="B2195" s="21">
        <f t="shared" ref="B2195" si="800">DATE(C2195,D2195,E2195)</f>
        <v>45859</v>
      </c>
      <c r="C2195" s="22">
        <v>2025</v>
      </c>
      <c r="D2195" s="23">
        <v>7</v>
      </c>
      <c r="E2195" s="24">
        <v>21</v>
      </c>
      <c r="F2195" s="42" t="s">
        <v>17</v>
      </c>
      <c r="G2195" s="42" t="s">
        <v>170</v>
      </c>
      <c r="H2195" s="42" t="s">
        <v>114</v>
      </c>
      <c r="I2195" s="42" t="s">
        <v>1266</v>
      </c>
      <c r="J2195" s="10">
        <v>5400</v>
      </c>
      <c r="K2195" s="7">
        <v>-5400</v>
      </c>
      <c r="L2195" s="1" t="s">
        <v>1267</v>
      </c>
    </row>
    <row r="2196" spans="1:13">
      <c r="A2196" s="21" t="str">
        <f>TEXT(TEXT(B2196,"yyyymmdd"),"00000000")&amp;TEXT(COUNTIF($B$2:B2196,B2196),"00")</f>
        <v>2025072102</v>
      </c>
      <c r="B2196" s="21">
        <f t="shared" ref="B2196" si="801">DATE(C2196,D2196,E2196)</f>
        <v>45859</v>
      </c>
      <c r="C2196" s="22">
        <v>2025</v>
      </c>
      <c r="D2196" s="23">
        <v>7</v>
      </c>
      <c r="E2196" s="24">
        <v>21</v>
      </c>
      <c r="F2196" s="42" t="s">
        <v>17</v>
      </c>
      <c r="G2196" s="42" t="s">
        <v>7</v>
      </c>
      <c r="H2196" s="42" t="s">
        <v>118</v>
      </c>
      <c r="I2196" s="42" t="s">
        <v>446</v>
      </c>
      <c r="J2196" s="10">
        <v>10700</v>
      </c>
      <c r="K2196" s="7">
        <v>-10700</v>
      </c>
      <c r="L2196" s="1" t="s">
        <v>1465</v>
      </c>
      <c r="M2196" s="2" t="s">
        <v>1466</v>
      </c>
    </row>
    <row r="2197" spans="1:13">
      <c r="A2197" s="21" t="str">
        <f>TEXT(TEXT(B2197,"yyyymmdd"),"00000000")&amp;TEXT(COUNTIF($B$2:B2197,B2197),"00")</f>
        <v>2025072103</v>
      </c>
      <c r="B2197" s="21">
        <f t="shared" ref="B2197" si="802">DATE(C2197,D2197,E2197)</f>
        <v>45859</v>
      </c>
      <c r="C2197" s="22">
        <v>2025</v>
      </c>
      <c r="D2197" s="23">
        <v>7</v>
      </c>
      <c r="E2197" s="24">
        <v>21</v>
      </c>
      <c r="F2197" s="42" t="s">
        <v>17</v>
      </c>
      <c r="G2197" s="42" t="s">
        <v>7</v>
      </c>
      <c r="H2197" s="42" t="s">
        <v>118</v>
      </c>
      <c r="I2197" s="42" t="s">
        <v>446</v>
      </c>
      <c r="J2197" s="10">
        <v>69000</v>
      </c>
      <c r="K2197" s="7">
        <v>-69000</v>
      </c>
      <c r="L2197" s="1" t="s">
        <v>1468</v>
      </c>
    </row>
    <row r="2198" spans="1:13">
      <c r="A2198" s="21" t="str">
        <f>TEXT(TEXT(B2198,"yyyymmdd"),"00000000")&amp;TEXT(COUNTIF($B$2:B2198,B2198),"00")</f>
        <v>2025072104</v>
      </c>
      <c r="B2198" s="21">
        <f t="shared" ref="B2198" si="803">DATE(C2198,D2198,E2198)</f>
        <v>45859</v>
      </c>
      <c r="C2198" s="22">
        <v>2025</v>
      </c>
      <c r="D2198" s="23">
        <v>7</v>
      </c>
      <c r="E2198" s="24">
        <v>21</v>
      </c>
      <c r="F2198" s="42" t="s">
        <v>17</v>
      </c>
      <c r="G2198" s="42" t="s">
        <v>170</v>
      </c>
      <c r="H2198" s="42" t="s">
        <v>114</v>
      </c>
      <c r="I2198" s="42" t="s">
        <v>1005</v>
      </c>
      <c r="J2198" s="10">
        <v>43710</v>
      </c>
      <c r="K2198" s="7">
        <v>-43710</v>
      </c>
      <c r="L2198" s="1" t="s">
        <v>1006</v>
      </c>
    </row>
    <row r="2199" spans="1:13">
      <c r="A2199" s="21" t="str">
        <f>TEXT(TEXT(B2199,"yyyymmdd"),"00000000")&amp;TEXT(COUNTIF($B$2:B2199,B2199),"00")</f>
        <v>2025072301</v>
      </c>
      <c r="B2199" s="21">
        <f t="shared" ref="B2199" si="804">DATE(C2199,D2199,E2199)</f>
        <v>45861</v>
      </c>
      <c r="C2199" s="22">
        <v>2025</v>
      </c>
      <c r="D2199" s="23">
        <v>7</v>
      </c>
      <c r="E2199" s="24">
        <v>23</v>
      </c>
      <c r="F2199" s="42" t="s">
        <v>17</v>
      </c>
      <c r="G2199" s="42" t="s">
        <v>7</v>
      </c>
      <c r="H2199" s="42" t="s">
        <v>116</v>
      </c>
      <c r="I2199" s="42" t="s">
        <v>217</v>
      </c>
      <c r="J2199" s="10">
        <v>2600</v>
      </c>
      <c r="K2199" s="7">
        <v>-2600</v>
      </c>
      <c r="L2199" s="1" t="s">
        <v>218</v>
      </c>
    </row>
    <row r="2200" spans="1:13">
      <c r="A2200" s="21" t="str">
        <f>TEXT(TEXT(B2200,"yyyymmdd"),"00000000")&amp;TEXT(COUNTIF($B$2:B2200,B2200),"00")</f>
        <v>2025072302</v>
      </c>
      <c r="B2200" s="21">
        <f t="shared" ref="B2200" si="805">DATE(C2200,D2200,E2200)</f>
        <v>45861</v>
      </c>
      <c r="C2200" s="22">
        <v>2025</v>
      </c>
      <c r="D2200" s="23">
        <v>7</v>
      </c>
      <c r="E2200" s="24">
        <v>23</v>
      </c>
      <c r="F2200" s="42" t="s">
        <v>17</v>
      </c>
      <c r="G2200" s="42" t="s">
        <v>13</v>
      </c>
      <c r="H2200" s="42" t="s">
        <v>167</v>
      </c>
      <c r="I2200" s="42" t="s">
        <v>214</v>
      </c>
      <c r="J2200" s="10">
        <v>34950</v>
      </c>
      <c r="K2200" s="7">
        <v>-34950</v>
      </c>
      <c r="L2200" s="1" t="s">
        <v>1227</v>
      </c>
    </row>
    <row r="2201" spans="1:13">
      <c r="A2201" s="21" t="str">
        <f>TEXT(TEXT(B2201,"yyyymmdd"),"00000000")&amp;TEXT(COUNTIF($B$2:B2201,B2201),"00")</f>
        <v>2025072401</v>
      </c>
      <c r="B2201" s="21">
        <f t="shared" ref="B2201" si="806">DATE(C2201,D2201,E2201)</f>
        <v>45862</v>
      </c>
      <c r="C2201" s="22">
        <v>2025</v>
      </c>
      <c r="D2201" s="23">
        <v>7</v>
      </c>
      <c r="E2201" s="24">
        <v>24</v>
      </c>
      <c r="F2201" s="42" t="s">
        <v>17</v>
      </c>
      <c r="G2201" s="42" t="s">
        <v>13</v>
      </c>
      <c r="H2201" s="42" t="s">
        <v>138</v>
      </c>
      <c r="I2201" s="42" t="s">
        <v>139</v>
      </c>
      <c r="J2201" s="10">
        <v>25900</v>
      </c>
      <c r="K2201" s="7">
        <v>-25900</v>
      </c>
      <c r="L2201" s="1" t="s">
        <v>1469</v>
      </c>
    </row>
    <row r="2202" spans="1:13">
      <c r="A2202" s="21" t="str">
        <f>TEXT(TEXT(B2202,"yyyymmdd"),"00000000")&amp;TEXT(COUNTIF($B$2:B2202,B2202),"00")</f>
        <v>2025072601</v>
      </c>
      <c r="B2202" s="21">
        <f t="shared" ref="B2202" si="807">DATE(C2202,D2202,E2202)</f>
        <v>45864</v>
      </c>
      <c r="C2202" s="22">
        <v>2025</v>
      </c>
      <c r="D2202" s="23">
        <v>7</v>
      </c>
      <c r="E2202" s="24">
        <v>26</v>
      </c>
      <c r="F2202" s="42" t="s">
        <v>17</v>
      </c>
      <c r="G2202" s="42" t="s">
        <v>7</v>
      </c>
      <c r="H2202" s="42" t="s">
        <v>167</v>
      </c>
      <c r="I2202" s="42" t="s">
        <v>214</v>
      </c>
      <c r="J2202" s="10">
        <v>2000</v>
      </c>
      <c r="K2202" s="7">
        <v>-2000</v>
      </c>
      <c r="L2202" s="1" t="s">
        <v>603</v>
      </c>
    </row>
    <row r="2203" spans="1:13">
      <c r="A2203" s="21" t="str">
        <f>TEXT(TEXT(B2203,"yyyymmdd"),"00000000")&amp;TEXT(COUNTIF($B$2:B2203,B2203),"00")</f>
        <v>2025072602</v>
      </c>
      <c r="B2203" s="21">
        <f t="shared" ref="B2203" si="808">DATE(C2203,D2203,E2203)</f>
        <v>45864</v>
      </c>
      <c r="C2203" s="22">
        <v>2025</v>
      </c>
      <c r="D2203" s="23">
        <v>7</v>
      </c>
      <c r="E2203" s="24">
        <v>26</v>
      </c>
      <c r="F2203" s="42" t="s">
        <v>17</v>
      </c>
      <c r="G2203" s="42" t="s">
        <v>13</v>
      </c>
      <c r="H2203" s="42" t="s">
        <v>138</v>
      </c>
      <c r="I2203" s="42" t="s">
        <v>139</v>
      </c>
      <c r="J2203" s="10">
        <v>12000</v>
      </c>
      <c r="K2203" s="7">
        <v>-12000</v>
      </c>
      <c r="L2203" s="1" t="s">
        <v>661</v>
      </c>
    </row>
    <row r="2204" spans="1:13">
      <c r="A2204" s="21" t="str">
        <f>TEXT(TEXT(B2204,"yyyymmdd"),"00000000")&amp;TEXT(COUNTIF($B$2:B2204,B2204),"00")</f>
        <v>2025072603</v>
      </c>
      <c r="B2204" s="21">
        <f t="shared" ref="B2204" si="809">DATE(C2204,D2204,E2204)</f>
        <v>45864</v>
      </c>
      <c r="C2204" s="22">
        <v>2025</v>
      </c>
      <c r="D2204" s="23">
        <v>7</v>
      </c>
      <c r="E2204" s="24">
        <v>26</v>
      </c>
      <c r="F2204" s="42" t="s">
        <v>17</v>
      </c>
      <c r="G2204" s="42" t="s">
        <v>7</v>
      </c>
      <c r="H2204" s="42" t="s">
        <v>138</v>
      </c>
      <c r="I2204" s="42" t="s">
        <v>139</v>
      </c>
      <c r="J2204" s="10">
        <v>7500</v>
      </c>
      <c r="K2204" s="7">
        <v>-7500</v>
      </c>
      <c r="L2204" s="1" t="s">
        <v>1060</v>
      </c>
    </row>
    <row r="2205" spans="1:13">
      <c r="A2205" s="21" t="str">
        <f>TEXT(TEXT(B2205,"yyyymmdd"),"00000000")&amp;TEXT(COUNTIF($B$2:B2205,B2205),"00")</f>
        <v>2025072701</v>
      </c>
      <c r="B2205" s="21">
        <f t="shared" ref="B2205" si="810">DATE(C2205,D2205,E2205)</f>
        <v>45865</v>
      </c>
      <c r="C2205" s="22">
        <v>2025</v>
      </c>
      <c r="D2205" s="23">
        <v>7</v>
      </c>
      <c r="E2205" s="24">
        <v>27</v>
      </c>
      <c r="F2205" s="42" t="s">
        <v>17</v>
      </c>
      <c r="G2205" s="42" t="s">
        <v>7</v>
      </c>
      <c r="H2205" s="42" t="s">
        <v>138</v>
      </c>
      <c r="I2205" s="42" t="s">
        <v>139</v>
      </c>
      <c r="J2205" s="10">
        <v>6900</v>
      </c>
      <c r="K2205" s="7">
        <v>-6900</v>
      </c>
      <c r="L2205" s="1" t="s">
        <v>1409</v>
      </c>
    </row>
    <row r="2206" spans="1:13">
      <c r="A2206" s="21" t="str">
        <f>TEXT(TEXT(B2206,"yyyymmdd"),"00000000")&amp;TEXT(COUNTIF($B$2:B2206,B2206),"00")</f>
        <v>2025072702</v>
      </c>
      <c r="B2206" s="21">
        <f t="shared" ref="B2206" si="811">DATE(C2206,D2206,E2206)</f>
        <v>45865</v>
      </c>
      <c r="C2206" s="22">
        <v>2025</v>
      </c>
      <c r="D2206" s="23">
        <v>7</v>
      </c>
      <c r="E2206" s="24">
        <v>27</v>
      </c>
      <c r="F2206" s="42" t="s">
        <v>17</v>
      </c>
      <c r="G2206" s="42" t="s">
        <v>7</v>
      </c>
      <c r="H2206" s="42" t="s">
        <v>110</v>
      </c>
      <c r="I2206" s="42" t="s">
        <v>120</v>
      </c>
      <c r="J2206" s="10">
        <v>3400</v>
      </c>
      <c r="K2206" s="7">
        <v>-3400</v>
      </c>
      <c r="L2206" s="1" t="s">
        <v>1142</v>
      </c>
    </row>
    <row r="2207" spans="1:13">
      <c r="A2207" s="21" t="str">
        <f>TEXT(TEXT(B2207,"yyyymmdd"),"00000000")&amp;TEXT(COUNTIF($B$2:B2207,B2207),"00")</f>
        <v>2025072703</v>
      </c>
      <c r="B2207" s="21">
        <f t="shared" ref="B2207" si="812">DATE(C2207,D2207,E2207)</f>
        <v>45865</v>
      </c>
      <c r="C2207" s="22">
        <v>2025</v>
      </c>
      <c r="D2207" s="23">
        <v>7</v>
      </c>
      <c r="E2207" s="24">
        <v>27</v>
      </c>
      <c r="F2207" s="42" t="s">
        <v>17</v>
      </c>
      <c r="G2207" s="42" t="s">
        <v>13</v>
      </c>
      <c r="H2207" s="42" t="s">
        <v>138</v>
      </c>
      <c r="I2207" s="42" t="s">
        <v>139</v>
      </c>
      <c r="J2207" s="10">
        <v>11000</v>
      </c>
      <c r="K2207" s="7">
        <v>-11000</v>
      </c>
      <c r="L2207" s="1" t="s">
        <v>670</v>
      </c>
    </row>
    <row r="2208" spans="1:13">
      <c r="A2208" s="21" t="str">
        <f>TEXT(TEXT(B2208,"yyyymmdd"),"00000000")&amp;TEXT(COUNTIF($B$2:B2208,B2208),"00")</f>
        <v>2025072704</v>
      </c>
      <c r="B2208" s="21">
        <f t="shared" ref="B2208" si="813">DATE(C2208,D2208,E2208)</f>
        <v>45865</v>
      </c>
      <c r="C2208" s="22">
        <v>2025</v>
      </c>
      <c r="D2208" s="23">
        <v>7</v>
      </c>
      <c r="E2208" s="24">
        <v>27</v>
      </c>
      <c r="F2208" s="42" t="s">
        <v>17</v>
      </c>
      <c r="G2208" s="42" t="s">
        <v>7</v>
      </c>
      <c r="H2208" s="42" t="s">
        <v>117</v>
      </c>
      <c r="I2208" s="42" t="s">
        <v>453</v>
      </c>
      <c r="J2208" s="10">
        <v>12500</v>
      </c>
      <c r="K2208" s="7">
        <v>-12500</v>
      </c>
      <c r="L2208" s="1" t="s">
        <v>1432</v>
      </c>
    </row>
    <row r="2209" spans="1:13">
      <c r="A2209" s="21" t="str">
        <f>TEXT(TEXT(B2209,"yyyymmdd"),"00000000")&amp;TEXT(COUNTIF($B$2:B2209,B2209),"00")</f>
        <v>2025072801</v>
      </c>
      <c r="B2209" s="21">
        <f t="shared" ref="B2209" si="814">DATE(C2209,D2209,E2209)</f>
        <v>45866</v>
      </c>
      <c r="C2209" s="22">
        <v>2025</v>
      </c>
      <c r="D2209" s="23">
        <v>7</v>
      </c>
      <c r="E2209" s="24">
        <v>28</v>
      </c>
      <c r="F2209" s="42" t="s">
        <v>17</v>
      </c>
      <c r="G2209" s="42" t="s">
        <v>13</v>
      </c>
      <c r="H2209" s="42" t="s">
        <v>138</v>
      </c>
      <c r="I2209" s="42" t="s">
        <v>197</v>
      </c>
      <c r="J2209" s="10">
        <v>7900</v>
      </c>
      <c r="K2209" s="7">
        <v>-7900</v>
      </c>
      <c r="L2209" s="1" t="s">
        <v>1425</v>
      </c>
      <c r="M2209" s="2" t="s">
        <v>1470</v>
      </c>
    </row>
    <row r="2210" spans="1:13">
      <c r="A2210" s="21" t="str">
        <f>TEXT(TEXT(B2210,"yyyymmdd"),"00000000")&amp;TEXT(COUNTIF($B$2:B2210,B2210),"00")</f>
        <v>2025073001</v>
      </c>
      <c r="B2210" s="21">
        <f t="shared" ref="B2210" si="815">DATE(C2210,D2210,E2210)</f>
        <v>45868</v>
      </c>
      <c r="C2210" s="22">
        <v>2025</v>
      </c>
      <c r="D2210" s="23">
        <v>7</v>
      </c>
      <c r="E2210" s="24">
        <v>30</v>
      </c>
      <c r="F2210" s="42" t="s">
        <v>17</v>
      </c>
      <c r="G2210" s="42" t="s">
        <v>170</v>
      </c>
      <c r="H2210" s="42" t="s">
        <v>155</v>
      </c>
      <c r="I2210" s="42" t="s">
        <v>156</v>
      </c>
      <c r="J2210" s="10">
        <v>22800</v>
      </c>
      <c r="K2210" s="7">
        <v>-22800</v>
      </c>
      <c r="L2210" s="1" t="s">
        <v>1471</v>
      </c>
    </row>
    <row r="2211" spans="1:13">
      <c r="A2211" s="21" t="str">
        <f>TEXT(TEXT(B2211,"yyyymmdd"),"00000000")&amp;TEXT(COUNTIF($B$2:B2211,B2211),"00")</f>
        <v>2025073002</v>
      </c>
      <c r="B2211" s="21">
        <f t="shared" ref="B2211" si="816">DATE(C2211,D2211,E2211)</f>
        <v>45868</v>
      </c>
      <c r="C2211" s="22">
        <v>2025</v>
      </c>
      <c r="D2211" s="23">
        <v>7</v>
      </c>
      <c r="E2211" s="24">
        <v>30</v>
      </c>
      <c r="F2211" s="42" t="s">
        <v>17</v>
      </c>
      <c r="G2211" s="42" t="s">
        <v>13</v>
      </c>
      <c r="H2211" s="42" t="s">
        <v>138</v>
      </c>
      <c r="I2211" s="42" t="s">
        <v>197</v>
      </c>
      <c r="J2211" s="10">
        <v>7900</v>
      </c>
      <c r="K2211" s="7">
        <v>-7900</v>
      </c>
      <c r="L2211" s="1" t="s">
        <v>1425</v>
      </c>
    </row>
    <row r="2212" spans="1:13">
      <c r="A2212" s="21" t="str">
        <f>TEXT(TEXT(B2212,"yyyymmdd"),"00000000")&amp;TEXT(COUNTIF($B$2:B2212,B2212),"00")</f>
        <v>2025073101</v>
      </c>
      <c r="B2212" s="21">
        <f t="shared" ref="B2212" si="817">DATE(C2212,D2212,E2212)</f>
        <v>45869</v>
      </c>
      <c r="C2212" s="22">
        <v>2025</v>
      </c>
      <c r="D2212" s="23">
        <v>7</v>
      </c>
      <c r="E2212" s="24">
        <v>31</v>
      </c>
      <c r="F2212" s="42" t="s">
        <v>17</v>
      </c>
      <c r="G2212" s="42" t="s">
        <v>7</v>
      </c>
      <c r="H2212" s="42" t="s">
        <v>110</v>
      </c>
      <c r="I2212" s="42" t="s">
        <v>120</v>
      </c>
      <c r="J2212" s="10">
        <v>9520</v>
      </c>
      <c r="K2212" s="7">
        <v>-9520</v>
      </c>
      <c r="L2212" s="1" t="s">
        <v>480</v>
      </c>
      <c r="M2212" s="2" t="s">
        <v>1473</v>
      </c>
    </row>
    <row r="2213" spans="1:13">
      <c r="A2213" s="21" t="str">
        <f>TEXT(TEXT(B2213,"yyyymmdd"),"00000000")&amp;TEXT(COUNTIF($B$2:B2213,B2213),"00")</f>
        <v>2025073102</v>
      </c>
      <c r="B2213" s="21">
        <f t="shared" ref="B2213" si="818">DATE(C2213,D2213,E2213)</f>
        <v>45869</v>
      </c>
      <c r="C2213" s="22">
        <v>2025</v>
      </c>
      <c r="D2213" s="23">
        <v>7</v>
      </c>
      <c r="E2213" s="24">
        <v>31</v>
      </c>
      <c r="F2213" s="42" t="s">
        <v>17</v>
      </c>
      <c r="G2213" s="42" t="s">
        <v>13</v>
      </c>
      <c r="H2213" s="42" t="s">
        <v>138</v>
      </c>
      <c r="I2213" s="42" t="s">
        <v>139</v>
      </c>
      <c r="J2213" s="10">
        <v>6000</v>
      </c>
      <c r="K2213" s="7">
        <v>-6000</v>
      </c>
      <c r="L2213" s="1" t="s">
        <v>619</v>
      </c>
    </row>
    <row r="2214" spans="1:13">
      <c r="A2214" s="21" t="str">
        <f>TEXT(TEXT(B2214,"yyyymmdd"),"00000000")&amp;TEXT(COUNTIF($B$2:B2214,B2214),"00")</f>
        <v>2025080101</v>
      </c>
      <c r="B2214" s="21">
        <f t="shared" ref="B2214" si="819">DATE(C2214,D2214,E2214)</f>
        <v>45870</v>
      </c>
      <c r="C2214" s="22">
        <v>2025</v>
      </c>
      <c r="D2214" s="23">
        <v>8</v>
      </c>
      <c r="E2214" s="24">
        <v>1</v>
      </c>
      <c r="F2214" s="42" t="s">
        <v>17</v>
      </c>
      <c r="G2214" s="42" t="s">
        <v>151</v>
      </c>
      <c r="H2214" s="42" t="s">
        <v>151</v>
      </c>
      <c r="I2214" s="42" t="s">
        <v>152</v>
      </c>
      <c r="J2214" s="10">
        <v>-600000</v>
      </c>
      <c r="K2214" s="7">
        <v>600000</v>
      </c>
      <c r="L2214" s="1" t="s">
        <v>252</v>
      </c>
      <c r="M2214" s="2" t="s">
        <v>1472</v>
      </c>
    </row>
    <row r="2215" spans="1:13">
      <c r="A2215" s="21" t="str">
        <f>TEXT(TEXT(B2215,"yyyymmdd"),"00000000")&amp;TEXT(COUNTIF($B$2:B2215,B2215),"00")</f>
        <v>2025080102</v>
      </c>
      <c r="B2215" s="21">
        <f t="shared" ref="B2215" si="820">DATE(C2215,D2215,E2215)</f>
        <v>45870</v>
      </c>
      <c r="C2215" s="22">
        <v>2025</v>
      </c>
      <c r="D2215" s="23">
        <v>8</v>
      </c>
      <c r="E2215" s="24">
        <v>1</v>
      </c>
      <c r="F2215" s="42" t="s">
        <v>17</v>
      </c>
      <c r="G2215" s="42" t="s">
        <v>7</v>
      </c>
      <c r="H2215" s="42" t="s">
        <v>116</v>
      </c>
      <c r="I2215" s="42" t="s">
        <v>217</v>
      </c>
      <c r="J2215" s="10">
        <v>6600</v>
      </c>
      <c r="K2215" s="7">
        <v>-6600</v>
      </c>
      <c r="L2215" s="1" t="s">
        <v>218</v>
      </c>
    </row>
    <row r="2216" spans="1:13">
      <c r="A2216" s="21" t="str">
        <f>TEXT(TEXT(B2216,"yyyymmdd"),"00000000")&amp;TEXT(COUNTIF($B$2:B2216,B2216),"00")</f>
        <v>2025080201</v>
      </c>
      <c r="B2216" s="21">
        <f t="shared" ref="B2216" si="821">DATE(C2216,D2216,E2216)</f>
        <v>45871</v>
      </c>
      <c r="C2216" s="22">
        <v>2025</v>
      </c>
      <c r="D2216" s="23">
        <v>8</v>
      </c>
      <c r="E2216" s="24">
        <v>2</v>
      </c>
      <c r="F2216" s="42" t="s">
        <v>17</v>
      </c>
      <c r="G2216" s="42" t="s">
        <v>13</v>
      </c>
      <c r="H2216" s="42" t="s">
        <v>113</v>
      </c>
      <c r="I2216" s="42" t="s">
        <v>171</v>
      </c>
      <c r="J2216" s="10">
        <v>15000</v>
      </c>
      <c r="K2216" s="7">
        <v>-15000</v>
      </c>
      <c r="L2216" s="1" t="s">
        <v>502</v>
      </c>
    </row>
    <row r="2217" spans="1:13">
      <c r="A2217" s="21" t="str">
        <f>TEXT(TEXT(B2217,"yyyymmdd"),"00000000")&amp;TEXT(COUNTIF($B$2:B2217,B2217),"00")</f>
        <v>2025080202</v>
      </c>
      <c r="B2217" s="21">
        <f t="shared" ref="B2217" si="822">DATE(C2217,D2217,E2217)</f>
        <v>45871</v>
      </c>
      <c r="C2217" s="22">
        <v>2025</v>
      </c>
      <c r="D2217" s="23">
        <v>8</v>
      </c>
      <c r="E2217" s="24">
        <v>2</v>
      </c>
      <c r="F2217" s="42" t="s">
        <v>17</v>
      </c>
      <c r="G2217" s="42" t="s">
        <v>7</v>
      </c>
      <c r="H2217" s="42" t="s">
        <v>155</v>
      </c>
      <c r="I2217" s="42" t="s">
        <v>617</v>
      </c>
      <c r="J2217" s="10">
        <v>1000</v>
      </c>
      <c r="K2217" s="7">
        <v>-1000</v>
      </c>
      <c r="L2217" s="1" t="s">
        <v>1440</v>
      </c>
    </row>
    <row r="2218" spans="1:13">
      <c r="A2218" s="21" t="str">
        <f>TEXT(TEXT(B2218,"yyyymmdd"),"00000000")&amp;TEXT(COUNTIF($B$2:B2218,B2218),"00")</f>
        <v>2025080203</v>
      </c>
      <c r="B2218" s="21">
        <f t="shared" ref="B2218" si="823">DATE(C2218,D2218,E2218)</f>
        <v>45871</v>
      </c>
      <c r="C2218" s="22">
        <v>2025</v>
      </c>
      <c r="D2218" s="23">
        <v>8</v>
      </c>
      <c r="E2218" s="24">
        <v>2</v>
      </c>
      <c r="F2218" s="42" t="s">
        <v>17</v>
      </c>
      <c r="G2218" s="42" t="s">
        <v>7</v>
      </c>
      <c r="H2218" s="42" t="s">
        <v>155</v>
      </c>
      <c r="I2218" s="42" t="s">
        <v>156</v>
      </c>
      <c r="J2218" s="10">
        <v>30693</v>
      </c>
      <c r="K2218" s="7">
        <v>-30693</v>
      </c>
      <c r="L2218" s="1" t="s">
        <v>1193</v>
      </c>
      <c r="M2218" s="2" t="s">
        <v>1194</v>
      </c>
    </row>
    <row r="2219" spans="1:13">
      <c r="A2219" s="21" t="str">
        <f>TEXT(TEXT(B2219,"yyyymmdd"),"00000000")&amp;TEXT(COUNTIF($B$2:B2219,B2219),"00")</f>
        <v>2025080301</v>
      </c>
      <c r="B2219" s="21">
        <f t="shared" ref="B2219" si="824">DATE(C2219,D2219,E2219)</f>
        <v>45872</v>
      </c>
      <c r="C2219" s="22">
        <v>2025</v>
      </c>
      <c r="D2219" s="23">
        <v>8</v>
      </c>
      <c r="E2219" s="24">
        <v>3</v>
      </c>
      <c r="F2219" s="42" t="s">
        <v>17</v>
      </c>
      <c r="G2219" s="42" t="s">
        <v>7</v>
      </c>
      <c r="H2219" s="42" t="s">
        <v>138</v>
      </c>
      <c r="I2219" s="42" t="s">
        <v>139</v>
      </c>
      <c r="J2219" s="10">
        <v>16400</v>
      </c>
      <c r="K2219" s="7">
        <v>-16400</v>
      </c>
      <c r="L2219" s="1" t="s">
        <v>1186</v>
      </c>
    </row>
    <row r="2220" spans="1:13">
      <c r="A2220" s="21" t="str">
        <f>TEXT(TEXT(B2220,"yyyymmdd"),"00000000")&amp;TEXT(COUNTIF($B$2:B2220,B2220),"00")</f>
        <v>2025080501</v>
      </c>
      <c r="B2220" s="21">
        <f t="shared" ref="B2220" si="825">DATE(C2220,D2220,E2220)</f>
        <v>45874</v>
      </c>
      <c r="C2220" s="22">
        <v>2025</v>
      </c>
      <c r="D2220" s="23">
        <v>8</v>
      </c>
      <c r="E2220" s="24">
        <v>5</v>
      </c>
      <c r="F2220" s="42" t="s">
        <v>17</v>
      </c>
      <c r="G2220" s="42" t="s">
        <v>13</v>
      </c>
      <c r="H2220" s="42" t="s">
        <v>138</v>
      </c>
      <c r="I2220" s="42" t="s">
        <v>197</v>
      </c>
      <c r="J2220" s="10">
        <v>2900</v>
      </c>
      <c r="K2220" s="7">
        <v>-2900</v>
      </c>
      <c r="L2220" s="1" t="s">
        <v>1425</v>
      </c>
      <c r="M2220" s="2" t="s">
        <v>1474</v>
      </c>
    </row>
    <row r="2221" spans="1:13">
      <c r="A2221" s="21" t="str">
        <f>TEXT(TEXT(B2221,"yyyymmdd"),"00000000")&amp;TEXT(COUNTIF($B$2:B2221,B2221),"00")</f>
        <v>2025080502</v>
      </c>
      <c r="B2221" s="21">
        <f t="shared" ref="B2221" si="826">DATE(C2221,D2221,E2221)</f>
        <v>45874</v>
      </c>
      <c r="C2221" s="22">
        <v>2025</v>
      </c>
      <c r="D2221" s="23">
        <v>8</v>
      </c>
      <c r="E2221" s="24">
        <v>5</v>
      </c>
      <c r="F2221" s="42" t="s">
        <v>17</v>
      </c>
      <c r="G2221" s="42" t="s">
        <v>11</v>
      </c>
      <c r="H2221" s="42" t="s">
        <v>99</v>
      </c>
      <c r="I2221" s="42" t="s">
        <v>11</v>
      </c>
      <c r="J2221" s="10">
        <v>-248106</v>
      </c>
      <c r="K2221" s="7">
        <v>248106</v>
      </c>
      <c r="L2221" s="1" t="s">
        <v>1475</v>
      </c>
    </row>
    <row r="2222" spans="1:13">
      <c r="A2222" s="21" t="str">
        <f>TEXT(TEXT(B2222,"yyyymmdd"),"00000000")&amp;TEXT(COUNTIF($B$2:B2222,B2222),"00")</f>
        <v>2025080503</v>
      </c>
      <c r="B2222" s="21">
        <f t="shared" ref="B2222" si="827">DATE(C2222,D2222,E2222)</f>
        <v>45874</v>
      </c>
      <c r="C2222" s="22">
        <v>2025</v>
      </c>
      <c r="D2222" s="23">
        <v>8</v>
      </c>
      <c r="E2222" s="24">
        <v>5</v>
      </c>
      <c r="F2222" s="42" t="s">
        <v>17</v>
      </c>
      <c r="G2222" s="42" t="s">
        <v>11</v>
      </c>
      <c r="H2222" s="42" t="s">
        <v>99</v>
      </c>
      <c r="I2222" s="42" t="s">
        <v>11</v>
      </c>
      <c r="J2222" s="10">
        <v>-25400</v>
      </c>
      <c r="K2222" s="7">
        <v>25400</v>
      </c>
      <c r="L2222" s="1" t="s">
        <v>1476</v>
      </c>
      <c r="M2222" s="2" t="s">
        <v>1477</v>
      </c>
    </row>
    <row r="2223" spans="1:13">
      <c r="A2223" s="21" t="str">
        <f>TEXT(TEXT(B2223,"yyyymmdd"),"00000000")&amp;TEXT(COUNTIF($B$2:B2223,B2223),"00")</f>
        <v>2025080504</v>
      </c>
      <c r="B2223" s="21">
        <f t="shared" ref="B2223" si="828">DATE(C2223,D2223,E2223)</f>
        <v>45874</v>
      </c>
      <c r="C2223" s="22">
        <v>2025</v>
      </c>
      <c r="D2223" s="23">
        <v>8</v>
      </c>
      <c r="E2223" s="24">
        <v>5</v>
      </c>
      <c r="F2223" s="42" t="s">
        <v>17</v>
      </c>
      <c r="G2223" s="42" t="s">
        <v>11</v>
      </c>
      <c r="H2223" s="42" t="s">
        <v>99</v>
      </c>
      <c r="I2223" s="42" t="s">
        <v>11</v>
      </c>
      <c r="J2223" s="10">
        <v>-13500</v>
      </c>
      <c r="K2223" s="7">
        <v>13500</v>
      </c>
      <c r="L2223" s="1" t="s">
        <v>1478</v>
      </c>
      <c r="M2223" s="2" t="s">
        <v>1479</v>
      </c>
    </row>
    <row r="2224" spans="1:13">
      <c r="A2224" s="21" t="str">
        <f>TEXT(TEXT(B2224,"yyyymmdd"),"00000000")&amp;TEXT(COUNTIF($B$2:B2224,B2224),"00")</f>
        <v>2025080505</v>
      </c>
      <c r="B2224" s="21">
        <f t="shared" ref="B2224" si="829">DATE(C2224,D2224,E2224)</f>
        <v>45874</v>
      </c>
      <c r="C2224" s="22">
        <v>2025</v>
      </c>
      <c r="D2224" s="23">
        <v>8</v>
      </c>
      <c r="E2224" s="24">
        <v>5</v>
      </c>
      <c r="F2224" s="42" t="s">
        <v>17</v>
      </c>
      <c r="G2224" s="42" t="s">
        <v>13</v>
      </c>
      <c r="H2224" s="42" t="s">
        <v>167</v>
      </c>
      <c r="I2224" s="42" t="s">
        <v>214</v>
      </c>
      <c r="J2224" s="10">
        <v>34100</v>
      </c>
      <c r="K2224" s="7">
        <v>-34100</v>
      </c>
      <c r="L2224" s="1" t="s">
        <v>1227</v>
      </c>
    </row>
    <row r="2225" spans="1:12">
      <c r="A2225" s="21" t="str">
        <f>TEXT(TEXT(B2225,"yyyymmdd"),"00000000")&amp;TEXT(COUNTIF($B$2:B2225,B2225),"00")</f>
        <v>2025080506</v>
      </c>
      <c r="B2225" s="21">
        <f t="shared" ref="B2225" si="830">DATE(C2225,D2225,E2225)</f>
        <v>45874</v>
      </c>
      <c r="C2225" s="22">
        <v>2025</v>
      </c>
      <c r="D2225" s="23">
        <v>8</v>
      </c>
      <c r="E2225" s="24">
        <v>5</v>
      </c>
      <c r="F2225" s="42" t="s">
        <v>17</v>
      </c>
      <c r="G2225" s="42" t="s">
        <v>7</v>
      </c>
      <c r="H2225" s="42" t="s">
        <v>173</v>
      </c>
      <c r="I2225" s="42" t="s">
        <v>207</v>
      </c>
      <c r="J2225" s="10">
        <v>50327</v>
      </c>
      <c r="K2225" s="7">
        <v>-50327</v>
      </c>
      <c r="L2225" s="1" t="s">
        <v>208</v>
      </c>
    </row>
    <row r="2226" spans="1:12">
      <c r="A2226" s="21" t="str">
        <f>TEXT(TEXT(B2226,"yyyymmdd"),"00000000")&amp;TEXT(COUNTIF($B$2:B2226,B2226),"00")</f>
        <v>2025080701</v>
      </c>
      <c r="B2226" s="21">
        <f t="shared" ref="B2226" si="831">DATE(C2226,D2226,E2226)</f>
        <v>45876</v>
      </c>
      <c r="C2226" s="22">
        <v>2025</v>
      </c>
      <c r="D2226" s="23">
        <v>8</v>
      </c>
      <c r="E2226" s="24">
        <v>7</v>
      </c>
      <c r="F2226" s="42" t="s">
        <v>17</v>
      </c>
      <c r="G2226" s="42" t="s">
        <v>13</v>
      </c>
      <c r="H2226" s="42" t="s">
        <v>167</v>
      </c>
      <c r="I2226" s="42" t="s">
        <v>168</v>
      </c>
      <c r="J2226" s="10">
        <v>3200</v>
      </c>
      <c r="K2226" s="7">
        <v>-3200</v>
      </c>
      <c r="L2226" s="1" t="s">
        <v>748</v>
      </c>
    </row>
    <row r="2227" spans="1:12">
      <c r="A2227" s="21" t="str">
        <f>TEXT(TEXT(B2227,"yyyymmdd"),"00000000")&amp;TEXT(COUNTIF($B$2:B2227,B2227),"00")</f>
        <v>2025080901</v>
      </c>
      <c r="B2227" s="21">
        <f t="shared" ref="B2227" si="832">DATE(C2227,D2227,E2227)</f>
        <v>45878</v>
      </c>
      <c r="C2227" s="22">
        <v>2025</v>
      </c>
      <c r="D2227" s="23">
        <v>8</v>
      </c>
      <c r="E2227" s="24">
        <v>9</v>
      </c>
      <c r="F2227" s="42" t="s">
        <v>17</v>
      </c>
      <c r="G2227" s="42" t="s">
        <v>135</v>
      </c>
      <c r="H2227" s="42" t="s">
        <v>135</v>
      </c>
      <c r="I2227" s="42" t="s">
        <v>190</v>
      </c>
      <c r="J2227" s="10">
        <v>-241</v>
      </c>
      <c r="K2227" s="7">
        <v>241</v>
      </c>
      <c r="L2227" s="1" t="s">
        <v>210</v>
      </c>
    </row>
  </sheetData>
  <autoFilter ref="B1:M2050" xr:uid="{2DF4BA8F-0AE0-40D8-A896-8411420AA166}"/>
  <sortState xmlns:xlrd2="http://schemas.microsoft.com/office/spreadsheetml/2017/richdata2" ref="A2:M176">
    <sortCondition ref="B2:B176"/>
  </sortState>
  <dataConsolidate/>
  <phoneticPr fontId="1" type="noConversion"/>
  <dataValidations count="5">
    <dataValidation type="list" allowBlank="1" showInputMessage="1" showErrorMessage="1" sqref="H293" xr:uid="{47849E5F-FACE-46AD-917C-21ACA6471ABF}">
      <formula1>INDIRECT(RIGHT(G292,2))</formula1>
    </dataValidation>
    <dataValidation type="list" allowBlank="1" showInputMessage="1" showErrorMessage="1" sqref="F1:F6 F9:F28 F30:F91 F93:F154 F156:F219 F221:F264 F266:F280 F282:F286 F288:F1863 F1865:F1925 F2137:F2159 F1927:F2135 F2161:F1048576" xr:uid="{0C37BC7C-FEC4-4F47-A75C-6C2A341BDDBB}">
      <formula1>계좌</formula1>
    </dataValidation>
    <dataValidation type="list" allowBlank="1" showInputMessage="1" showErrorMessage="1" sqref="H2:H292 H294:H1863 H1865:H1925 H2137:H2159 H1927:H2135 H2161:H1048576" xr:uid="{EE228EEC-2952-4954-A77E-A008083760BF}">
      <formula1>INDIRECT(RIGHT(G2,2))</formula1>
    </dataValidation>
    <dataValidation type="list" allowBlank="1" showInputMessage="1" showErrorMessage="1" sqref="G2:G1863 G1865:G1925 G2137:G2159 G1927:G2135 G2161:G1048576" xr:uid="{3DD19000-D8F3-4DAA-B0D3-A30F8900A6AF}">
      <formula1>$AC$2:$AC$7</formula1>
    </dataValidation>
    <dataValidation type="list" allowBlank="1" showInputMessage="1" showErrorMessage="1" sqref="I1:I1863 I1865:I1925 I2137:I2159 I1927:I2135 I2161:I1048576" xr:uid="{D74C8AE5-2116-4D94-AACE-559A60D2CAF2}">
      <formula1>INDIRECT(H1)</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60" r:id="rId4" name="폼열기">
          <controlPr defaultSize="0" autoLine="0" r:id="rId5">
            <anchor moveWithCells="1">
              <from>
                <xdr:col>12</xdr:col>
                <xdr:colOff>260350</xdr:colOff>
                <xdr:row>0</xdr:row>
                <xdr:rowOff>0</xdr:rowOff>
              </from>
              <to>
                <xdr:col>12</xdr:col>
                <xdr:colOff>1174750</xdr:colOff>
                <xdr:row>1</xdr:row>
                <xdr:rowOff>19050</xdr:rowOff>
              </to>
            </anchor>
          </controlPr>
        </control>
      </mc:Choice>
      <mc:Fallback>
        <control shapeId="2060" r:id="rId4" name="폼열기"/>
      </mc:Fallback>
    </mc:AlternateContent>
    <mc:AlternateContent xmlns:mc="http://schemas.openxmlformats.org/markup-compatibility/2006">
      <mc:Choice Requires="x14">
        <control shapeId="2056" r:id="rId6" name="Button 8">
          <controlPr defaultSize="0" print="0" autoFill="0" autoPict="0" macro="[0]!피벗테이블_모두_새로고침">
            <anchor moveWithCells="1" sizeWithCells="1">
              <from>
                <xdr:col>13</xdr:col>
                <xdr:colOff>133350</xdr:colOff>
                <xdr:row>0</xdr:row>
                <xdr:rowOff>0</xdr:rowOff>
              </from>
              <to>
                <xdr:col>15</xdr:col>
                <xdr:colOff>400050</xdr:colOff>
                <xdr:row>0</xdr:row>
                <xdr:rowOff>336550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71D08C-0299-4A4E-A65E-73359AAAC30F}">
  <dimension ref="A1:T31"/>
  <sheetViews>
    <sheetView topLeftCell="A8" workbookViewId="0">
      <selection activeCell="P19" sqref="P19"/>
    </sheetView>
  </sheetViews>
  <sheetFormatPr defaultRowHeight="17"/>
  <cols>
    <col min="1" max="20" width="11.33203125" customWidth="1"/>
  </cols>
  <sheetData>
    <row r="1" spans="1:20" ht="21">
      <c r="A1" s="3" t="s">
        <v>12</v>
      </c>
      <c r="B1" s="3" t="s">
        <v>9</v>
      </c>
      <c r="C1" s="3" t="s">
        <v>10</v>
      </c>
      <c r="D1" s="3" t="s">
        <v>28</v>
      </c>
      <c r="E1" s="3" t="s">
        <v>110</v>
      </c>
      <c r="F1" s="3" t="s">
        <v>111</v>
      </c>
      <c r="G1" s="3" t="s">
        <v>29</v>
      </c>
      <c r="H1" s="3" t="s">
        <v>30</v>
      </c>
      <c r="I1" s="3" t="s">
        <v>112</v>
      </c>
      <c r="J1" s="3" t="s">
        <v>113</v>
      </c>
      <c r="K1" s="3" t="s">
        <v>31</v>
      </c>
      <c r="L1" s="3" t="s">
        <v>33</v>
      </c>
      <c r="M1" s="3" t="s">
        <v>114</v>
      </c>
      <c r="N1" s="3" t="s">
        <v>115</v>
      </c>
      <c r="O1" s="3" t="s">
        <v>74</v>
      </c>
      <c r="P1" s="3" t="s">
        <v>116</v>
      </c>
      <c r="Q1" s="3" t="s">
        <v>117</v>
      </c>
      <c r="R1" s="3" t="s">
        <v>118</v>
      </c>
      <c r="S1" s="3" t="s">
        <v>119</v>
      </c>
      <c r="T1" s="3" t="s">
        <v>100</v>
      </c>
    </row>
    <row r="2" spans="1:20">
      <c r="A2" s="43" t="s">
        <v>16</v>
      </c>
      <c r="B2" t="s">
        <v>23</v>
      </c>
      <c r="C2" t="s">
        <v>26</v>
      </c>
      <c r="D2" t="s">
        <v>36</v>
      </c>
      <c r="E2" t="s">
        <v>120</v>
      </c>
      <c r="F2" t="s">
        <v>38</v>
      </c>
      <c r="G2" t="s">
        <v>39</v>
      </c>
      <c r="H2" t="s">
        <v>46</v>
      </c>
      <c r="I2" t="s">
        <v>48</v>
      </c>
      <c r="J2" t="s">
        <v>51</v>
      </c>
      <c r="K2" t="s">
        <v>55</v>
      </c>
      <c r="L2" t="s">
        <v>59</v>
      </c>
      <c r="M2" t="s">
        <v>65</v>
      </c>
      <c r="N2" t="s">
        <v>71</v>
      </c>
      <c r="O2" t="s">
        <v>75</v>
      </c>
      <c r="P2" t="s">
        <v>77</v>
      </c>
      <c r="Q2" t="s">
        <v>83</v>
      </c>
      <c r="R2" t="s">
        <v>89</v>
      </c>
      <c r="S2" t="s">
        <v>90</v>
      </c>
      <c r="T2" t="s">
        <v>95</v>
      </c>
    </row>
    <row r="3" spans="1:20">
      <c r="A3" s="44" t="s">
        <v>18</v>
      </c>
      <c r="B3" t="s">
        <v>24</v>
      </c>
      <c r="C3" t="s">
        <v>27</v>
      </c>
      <c r="D3" t="s">
        <v>35</v>
      </c>
      <c r="E3" t="s">
        <v>37</v>
      </c>
      <c r="F3" t="s">
        <v>543</v>
      </c>
      <c r="G3" t="s">
        <v>40</v>
      </c>
      <c r="H3" t="s">
        <v>47</v>
      </c>
      <c r="I3" t="s">
        <v>49</v>
      </c>
      <c r="J3" t="s">
        <v>52</v>
      </c>
      <c r="K3" t="s">
        <v>56</v>
      </c>
      <c r="L3" t="s">
        <v>60</v>
      </c>
      <c r="M3" t="s">
        <v>66</v>
      </c>
      <c r="N3" t="s">
        <v>72</v>
      </c>
      <c r="O3" t="s">
        <v>121</v>
      </c>
      <c r="P3" t="s">
        <v>78</v>
      </c>
      <c r="Q3" t="s">
        <v>84</v>
      </c>
      <c r="R3" t="s">
        <v>87</v>
      </c>
      <c r="S3" t="s">
        <v>91</v>
      </c>
      <c r="T3" t="s">
        <v>3</v>
      </c>
    </row>
    <row r="4" spans="1:20">
      <c r="A4" s="44" t="s">
        <v>22</v>
      </c>
      <c r="C4" t="s">
        <v>25</v>
      </c>
      <c r="D4" t="s">
        <v>34</v>
      </c>
      <c r="E4" t="s">
        <v>122</v>
      </c>
      <c r="G4" t="s">
        <v>41</v>
      </c>
      <c r="H4" t="s">
        <v>45</v>
      </c>
      <c r="I4" t="s">
        <v>1124</v>
      </c>
      <c r="J4" t="s">
        <v>53</v>
      </c>
      <c r="K4" t="s">
        <v>57</v>
      </c>
      <c r="L4" t="s">
        <v>61</v>
      </c>
      <c r="M4" t="s">
        <v>67</v>
      </c>
      <c r="N4" t="s">
        <v>123</v>
      </c>
      <c r="O4" t="s">
        <v>76</v>
      </c>
      <c r="P4" t="s">
        <v>79</v>
      </c>
      <c r="Q4" t="s">
        <v>85</v>
      </c>
      <c r="R4" t="s">
        <v>88</v>
      </c>
      <c r="S4" t="s">
        <v>92</v>
      </c>
      <c r="T4" t="s">
        <v>96</v>
      </c>
    </row>
    <row r="5" spans="1:20">
      <c r="A5" s="44" t="s">
        <v>20</v>
      </c>
      <c r="C5" t="s">
        <v>24</v>
      </c>
      <c r="D5" t="s">
        <v>159</v>
      </c>
      <c r="E5" t="s">
        <v>124</v>
      </c>
      <c r="G5" t="s">
        <v>44</v>
      </c>
      <c r="H5" t="s">
        <v>618</v>
      </c>
      <c r="I5" t="s">
        <v>50</v>
      </c>
      <c r="J5" t="s">
        <v>54</v>
      </c>
      <c r="K5" t="s">
        <v>58</v>
      </c>
      <c r="L5" t="s">
        <v>62</v>
      </c>
      <c r="M5" t="s">
        <v>68</v>
      </c>
      <c r="N5" t="s">
        <v>73</v>
      </c>
      <c r="O5" t="s">
        <v>125</v>
      </c>
      <c r="P5" t="s">
        <v>80</v>
      </c>
      <c r="Q5" t="s">
        <v>86</v>
      </c>
      <c r="S5" t="s">
        <v>93</v>
      </c>
      <c r="T5" t="s">
        <v>97</v>
      </c>
    </row>
    <row r="6" spans="1:20">
      <c r="A6" s="44" t="s">
        <v>499</v>
      </c>
      <c r="C6" t="s">
        <v>144</v>
      </c>
      <c r="G6" t="s">
        <v>42</v>
      </c>
      <c r="K6" t="s">
        <v>174</v>
      </c>
      <c r="L6" t="s">
        <v>126</v>
      </c>
      <c r="M6" t="s">
        <v>69</v>
      </c>
      <c r="O6" t="s">
        <v>127</v>
      </c>
      <c r="P6" t="s">
        <v>128</v>
      </c>
      <c r="Q6" t="s">
        <v>472</v>
      </c>
      <c r="T6" t="s">
        <v>98</v>
      </c>
    </row>
    <row r="7" spans="1:20">
      <c r="A7" s="44" t="s">
        <v>525</v>
      </c>
      <c r="G7" t="s">
        <v>129</v>
      </c>
      <c r="K7" t="s">
        <v>1045</v>
      </c>
      <c r="L7" t="s">
        <v>63</v>
      </c>
      <c r="M7" t="s">
        <v>70</v>
      </c>
      <c r="P7" t="s">
        <v>81</v>
      </c>
    </row>
    <row r="8" spans="1:20">
      <c r="A8" s="44" t="s">
        <v>440</v>
      </c>
      <c r="G8" t="s">
        <v>43</v>
      </c>
      <c r="L8" t="s">
        <v>64</v>
      </c>
      <c r="P8" t="s">
        <v>82</v>
      </c>
    </row>
    <row r="9" spans="1:20">
      <c r="A9" s="44" t="s">
        <v>441</v>
      </c>
      <c r="G9" t="s">
        <v>546</v>
      </c>
      <c r="L9" t="s">
        <v>534</v>
      </c>
      <c r="P9" t="s">
        <v>212</v>
      </c>
    </row>
    <row r="10" spans="1:20">
      <c r="A10" s="45" t="s">
        <v>1352</v>
      </c>
    </row>
    <row r="12" spans="1:20" ht="21">
      <c r="A12" s="3" t="s">
        <v>12</v>
      </c>
      <c r="B12" s="43" t="s">
        <v>16</v>
      </c>
      <c r="C12" s="44" t="s">
        <v>18</v>
      </c>
      <c r="D12" s="44" t="s">
        <v>22</v>
      </c>
      <c r="E12" s="44" t="s">
        <v>20</v>
      </c>
      <c r="F12" s="44" t="s">
        <v>499</v>
      </c>
      <c r="G12" s="44" t="s">
        <v>525</v>
      </c>
      <c r="H12" s="44" t="s">
        <v>440</v>
      </c>
      <c r="I12" s="44" t="s">
        <v>441</v>
      </c>
      <c r="J12" s="45" t="s">
        <v>1352</v>
      </c>
    </row>
    <row r="13" spans="1:20" ht="21">
      <c r="A13" s="3" t="s">
        <v>9</v>
      </c>
      <c r="B13" t="s">
        <v>23</v>
      </c>
      <c r="C13" t="s">
        <v>24</v>
      </c>
    </row>
    <row r="14" spans="1:20" ht="21">
      <c r="A14" s="3" t="s">
        <v>10</v>
      </c>
      <c r="B14" t="s">
        <v>26</v>
      </c>
      <c r="C14" t="s">
        <v>27</v>
      </c>
      <c r="D14" t="s">
        <v>25</v>
      </c>
      <c r="E14" t="s">
        <v>24</v>
      </c>
      <c r="F14" t="s">
        <v>144</v>
      </c>
    </row>
    <row r="15" spans="1:20" ht="21">
      <c r="A15" s="3" t="s">
        <v>28</v>
      </c>
      <c r="B15" t="s">
        <v>36</v>
      </c>
      <c r="C15" t="s">
        <v>35</v>
      </c>
      <c r="D15" t="s">
        <v>34</v>
      </c>
      <c r="E15" t="s">
        <v>159</v>
      </c>
    </row>
    <row r="16" spans="1:20" ht="21">
      <c r="A16" s="3" t="s">
        <v>110</v>
      </c>
      <c r="B16" t="s">
        <v>120</v>
      </c>
      <c r="C16" t="s">
        <v>37</v>
      </c>
      <c r="D16" t="s">
        <v>122</v>
      </c>
      <c r="E16" t="s">
        <v>124</v>
      </c>
    </row>
    <row r="17" spans="1:9" ht="21">
      <c r="A17" s="3" t="s">
        <v>111</v>
      </c>
      <c r="B17" t="s">
        <v>38</v>
      </c>
      <c r="C17" t="s">
        <v>543</v>
      </c>
    </row>
    <row r="18" spans="1:9" ht="21">
      <c r="A18" s="3" t="s">
        <v>29</v>
      </c>
      <c r="B18" t="s">
        <v>39</v>
      </c>
      <c r="C18" t="s">
        <v>40</v>
      </c>
      <c r="D18" t="s">
        <v>41</v>
      </c>
      <c r="E18" t="s">
        <v>44</v>
      </c>
      <c r="F18" t="s">
        <v>42</v>
      </c>
      <c r="G18" t="s">
        <v>129</v>
      </c>
      <c r="H18" t="s">
        <v>43</v>
      </c>
      <c r="I18" t="s">
        <v>546</v>
      </c>
    </row>
    <row r="19" spans="1:9" ht="21">
      <c r="A19" s="3" t="s">
        <v>30</v>
      </c>
      <c r="B19" t="s">
        <v>46</v>
      </c>
      <c r="C19" t="s">
        <v>47</v>
      </c>
      <c r="D19" t="s">
        <v>45</v>
      </c>
      <c r="E19" t="s">
        <v>618</v>
      </c>
    </row>
    <row r="20" spans="1:9" ht="21">
      <c r="A20" s="3" t="s">
        <v>112</v>
      </c>
      <c r="B20" t="s">
        <v>48</v>
      </c>
      <c r="C20" t="s">
        <v>49</v>
      </c>
      <c r="D20" t="s">
        <v>1124</v>
      </c>
      <c r="E20" t="s">
        <v>50</v>
      </c>
    </row>
    <row r="21" spans="1:9" ht="21">
      <c r="A21" s="3" t="s">
        <v>113</v>
      </c>
      <c r="B21" t="s">
        <v>51</v>
      </c>
      <c r="C21" t="s">
        <v>52</v>
      </c>
      <c r="D21" t="s">
        <v>53</v>
      </c>
      <c r="E21" t="s">
        <v>54</v>
      </c>
    </row>
    <row r="22" spans="1:9" ht="21">
      <c r="A22" s="3" t="s">
        <v>31</v>
      </c>
      <c r="B22" t="s">
        <v>55</v>
      </c>
      <c r="C22" t="s">
        <v>56</v>
      </c>
      <c r="D22" t="s">
        <v>57</v>
      </c>
      <c r="E22" t="s">
        <v>58</v>
      </c>
      <c r="F22" t="s">
        <v>174</v>
      </c>
      <c r="G22" t="s">
        <v>1045</v>
      </c>
    </row>
    <row r="23" spans="1:9" ht="21">
      <c r="A23" s="3" t="s">
        <v>33</v>
      </c>
      <c r="B23" t="s">
        <v>59</v>
      </c>
      <c r="C23" t="s">
        <v>60</v>
      </c>
      <c r="D23" t="s">
        <v>61</v>
      </c>
      <c r="E23" t="s">
        <v>62</v>
      </c>
      <c r="F23" t="s">
        <v>126</v>
      </c>
      <c r="G23" t="s">
        <v>63</v>
      </c>
      <c r="H23" t="s">
        <v>64</v>
      </c>
      <c r="I23" t="s">
        <v>534</v>
      </c>
    </row>
    <row r="24" spans="1:9" ht="21">
      <c r="A24" s="3" t="s">
        <v>114</v>
      </c>
      <c r="B24" t="s">
        <v>65</v>
      </c>
      <c r="C24" t="s">
        <v>66</v>
      </c>
      <c r="D24" t="s">
        <v>67</v>
      </c>
      <c r="E24" t="s">
        <v>68</v>
      </c>
      <c r="F24" t="s">
        <v>69</v>
      </c>
      <c r="G24" t="s">
        <v>70</v>
      </c>
    </row>
    <row r="25" spans="1:9" ht="21">
      <c r="A25" s="3" t="s">
        <v>115</v>
      </c>
      <c r="B25" t="s">
        <v>71</v>
      </c>
      <c r="C25" t="s">
        <v>72</v>
      </c>
      <c r="D25" t="s">
        <v>123</v>
      </c>
      <c r="E25" t="s">
        <v>73</v>
      </c>
    </row>
    <row r="26" spans="1:9" ht="21">
      <c r="A26" s="3" t="s">
        <v>74</v>
      </c>
      <c r="B26" t="s">
        <v>75</v>
      </c>
      <c r="C26" t="s">
        <v>121</v>
      </c>
      <c r="D26" t="s">
        <v>76</v>
      </c>
      <c r="E26" t="s">
        <v>125</v>
      </c>
      <c r="F26" t="s">
        <v>127</v>
      </c>
    </row>
    <row r="27" spans="1:9" ht="21">
      <c r="A27" s="3" t="s">
        <v>116</v>
      </c>
      <c r="B27" t="s">
        <v>77</v>
      </c>
      <c r="C27" t="s">
        <v>78</v>
      </c>
      <c r="D27" t="s">
        <v>79</v>
      </c>
      <c r="E27" t="s">
        <v>80</v>
      </c>
      <c r="F27" t="s">
        <v>128</v>
      </c>
      <c r="G27" t="s">
        <v>81</v>
      </c>
      <c r="H27" t="s">
        <v>82</v>
      </c>
      <c r="I27" t="s">
        <v>212</v>
      </c>
    </row>
    <row r="28" spans="1:9" ht="21">
      <c r="A28" s="3" t="s">
        <v>117</v>
      </c>
      <c r="B28" t="s">
        <v>83</v>
      </c>
      <c r="C28" t="s">
        <v>84</v>
      </c>
      <c r="D28" t="s">
        <v>85</v>
      </c>
      <c r="E28" t="s">
        <v>86</v>
      </c>
      <c r="F28" t="s">
        <v>472</v>
      </c>
    </row>
    <row r="29" spans="1:9" ht="21">
      <c r="A29" s="3" t="s">
        <v>118</v>
      </c>
      <c r="B29" t="s">
        <v>89</v>
      </c>
      <c r="C29" t="s">
        <v>87</v>
      </c>
      <c r="D29" t="s">
        <v>88</v>
      </c>
    </row>
    <row r="30" spans="1:9" ht="21">
      <c r="A30" s="3" t="s">
        <v>119</v>
      </c>
      <c r="B30" t="s">
        <v>90</v>
      </c>
      <c r="C30" t="s">
        <v>91</v>
      </c>
      <c r="D30" t="s">
        <v>92</v>
      </c>
      <c r="E30" t="s">
        <v>93</v>
      </c>
    </row>
    <row r="31" spans="1:9" ht="21">
      <c r="A31" s="3" t="s">
        <v>100</v>
      </c>
      <c r="B31" t="s">
        <v>95</v>
      </c>
      <c r="C31" t="s">
        <v>3</v>
      </c>
      <c r="D31" t="s">
        <v>96</v>
      </c>
      <c r="E31" t="s">
        <v>97</v>
      </c>
      <c r="F31" t="s">
        <v>98</v>
      </c>
    </row>
  </sheetData>
  <phoneticPr fontId="1" type="noConversion"/>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3A510-C2E9-4A47-AA5A-A5D08EAF0AE1}">
  <sheetPr codeName="Sheet3"/>
  <dimension ref="A1:AP51"/>
  <sheetViews>
    <sheetView topLeftCell="A20" zoomScale="85" zoomScaleNormal="85" workbookViewId="0">
      <selection activeCell="K32" sqref="K32"/>
    </sheetView>
  </sheetViews>
  <sheetFormatPr defaultRowHeight="17"/>
  <cols>
    <col min="1" max="2" width="11.83203125" bestFit="1" customWidth="1"/>
    <col min="3" max="4" width="8.83203125" bestFit="1" customWidth="1"/>
    <col min="5" max="5" width="10" bestFit="1" customWidth="1"/>
    <col min="6" max="6" width="9.25" bestFit="1" customWidth="1"/>
    <col min="7" max="7" width="8.5" bestFit="1" customWidth="1"/>
    <col min="8" max="8" width="14.33203125" bestFit="1" customWidth="1"/>
    <col min="9" max="9" width="16.83203125" bestFit="1" customWidth="1"/>
    <col min="10" max="10" width="10.75" bestFit="1" customWidth="1"/>
    <col min="11" max="11" width="5.58203125" bestFit="1" customWidth="1"/>
    <col min="12" max="12" width="27.25" bestFit="1" customWidth="1"/>
    <col min="13" max="13" width="7.25" bestFit="1" customWidth="1"/>
    <col min="14" max="14" width="14.75" bestFit="1" customWidth="1"/>
    <col min="15" max="15" width="15.58203125" bestFit="1" customWidth="1"/>
    <col min="16" max="16" width="13.58203125" bestFit="1" customWidth="1"/>
    <col min="17" max="17" width="8.5" bestFit="1" customWidth="1"/>
    <col min="18" max="18" width="12.75" bestFit="1" customWidth="1"/>
    <col min="19" max="19" width="17.83203125" bestFit="1" customWidth="1"/>
    <col min="20" max="20" width="10.75" bestFit="1" customWidth="1"/>
    <col min="21" max="21" width="6.75" bestFit="1" customWidth="1"/>
    <col min="22" max="22" width="12.75" bestFit="1" customWidth="1"/>
    <col min="23" max="23" width="17.83203125" bestFit="1" customWidth="1"/>
    <col min="24" max="24" width="10.75" bestFit="1" customWidth="1"/>
    <col min="25" max="25" width="8.75" bestFit="1" customWidth="1"/>
    <col min="26" max="26" width="10.33203125" customWidth="1"/>
    <col min="27" max="27" width="13.58203125" bestFit="1" customWidth="1"/>
    <col min="28" max="28" width="11.83203125" bestFit="1" customWidth="1"/>
    <col min="29" max="29" width="10.75" bestFit="1" customWidth="1"/>
    <col min="30" max="30" width="8.83203125" bestFit="1" customWidth="1"/>
    <col min="31" max="32" width="9" bestFit="1" customWidth="1"/>
    <col min="33" max="33" width="8.75" bestFit="1" customWidth="1"/>
    <col min="34" max="34" width="14.75" bestFit="1" customWidth="1"/>
    <col min="35" max="35" width="11.83203125" bestFit="1" customWidth="1"/>
    <col min="36" max="36" width="13.58203125" bestFit="1" customWidth="1"/>
    <col min="37" max="37" width="13.08203125" bestFit="1" customWidth="1"/>
    <col min="38" max="38" width="10.75" bestFit="1" customWidth="1"/>
    <col min="39" max="39" width="13.33203125" bestFit="1" customWidth="1"/>
    <col min="40" max="40" width="8.75" bestFit="1" customWidth="1"/>
    <col min="41" max="41" width="20" bestFit="1" customWidth="1"/>
    <col min="42" max="42" width="13.25" bestFit="1" customWidth="1"/>
    <col min="43" max="43" width="7.75" bestFit="1" customWidth="1"/>
    <col min="44" max="51" width="6.75" bestFit="1" customWidth="1"/>
    <col min="52" max="52" width="7.25" bestFit="1" customWidth="1"/>
    <col min="53" max="53" width="6.08203125" bestFit="1" customWidth="1"/>
    <col min="54" max="54" width="7.25" bestFit="1" customWidth="1"/>
    <col min="55" max="55" width="20" bestFit="1" customWidth="1"/>
    <col min="56" max="56" width="10.75" bestFit="1" customWidth="1"/>
    <col min="57" max="57" width="8.75" bestFit="1" customWidth="1"/>
    <col min="58" max="58" width="20" bestFit="1" customWidth="1"/>
    <col min="59" max="59" width="8.75" bestFit="1" customWidth="1"/>
    <col min="60" max="60" width="10.75" bestFit="1" customWidth="1"/>
    <col min="61" max="61" width="27.25" bestFit="1" customWidth="1"/>
    <col min="62" max="62" width="7.25" bestFit="1" customWidth="1"/>
    <col min="63" max="63" width="13.5" bestFit="1" customWidth="1"/>
    <col min="64" max="75" width="6.75" bestFit="1" customWidth="1"/>
    <col min="76" max="100" width="5.58203125" bestFit="1" customWidth="1"/>
    <col min="101" max="101" width="13.5" bestFit="1" customWidth="1"/>
    <col min="102" max="102" width="18.58203125" bestFit="1" customWidth="1"/>
    <col min="103" max="103" width="20.5" bestFit="1" customWidth="1"/>
    <col min="104" max="104" width="13.25" bestFit="1" customWidth="1"/>
    <col min="105" max="105" width="8.5" bestFit="1" customWidth="1"/>
    <col min="106" max="106" width="12.58203125" bestFit="1" customWidth="1"/>
    <col min="107" max="108" width="6.75" bestFit="1" customWidth="1"/>
    <col min="109" max="109" width="8.5" bestFit="1" customWidth="1"/>
    <col min="110" max="110" width="12.58203125" bestFit="1" customWidth="1"/>
    <col min="111" max="111" width="6.75" bestFit="1" customWidth="1"/>
    <col min="112" max="112" width="17.33203125" bestFit="1" customWidth="1"/>
    <col min="113" max="113" width="14.58203125" bestFit="1" customWidth="1"/>
    <col min="114" max="115" width="6.75" bestFit="1" customWidth="1"/>
    <col min="116" max="116" width="10.5" bestFit="1" customWidth="1"/>
    <col min="117" max="117" width="16.75" bestFit="1" customWidth="1"/>
    <col min="118" max="118" width="7.5" bestFit="1" customWidth="1"/>
    <col min="119" max="119" width="13.25" bestFit="1" customWidth="1"/>
    <col min="120" max="120" width="15.25" bestFit="1" customWidth="1"/>
    <col min="121" max="121" width="8.5" bestFit="1" customWidth="1"/>
    <col min="122" max="123" width="10.5" bestFit="1" customWidth="1"/>
    <col min="124" max="124" width="11.25" bestFit="1" customWidth="1"/>
    <col min="125" max="125" width="8.5" bestFit="1" customWidth="1"/>
    <col min="126" max="126" width="15.25" bestFit="1" customWidth="1"/>
    <col min="127" max="127" width="6.75" bestFit="1" customWidth="1"/>
    <col min="128" max="128" width="8.5" bestFit="1" customWidth="1"/>
    <col min="129" max="129" width="19.08203125" bestFit="1" customWidth="1"/>
    <col min="130" max="130" width="9.25" bestFit="1" customWidth="1"/>
    <col min="131" max="132" width="10.5" bestFit="1" customWidth="1"/>
    <col min="133" max="133" width="4.58203125" bestFit="1" customWidth="1"/>
    <col min="134" max="134" width="7.5" bestFit="1" customWidth="1"/>
    <col min="135" max="136" width="6.08203125" bestFit="1" customWidth="1"/>
    <col min="137" max="137" width="9.25" bestFit="1" customWidth="1"/>
    <col min="138" max="138" width="15.33203125" bestFit="1" customWidth="1"/>
    <col min="139" max="139" width="11.33203125" bestFit="1" customWidth="1"/>
    <col min="140" max="140" width="14.08203125" bestFit="1" customWidth="1"/>
    <col min="141" max="141" width="5.58203125" bestFit="1" customWidth="1"/>
    <col min="142" max="142" width="10.75" bestFit="1" customWidth="1"/>
    <col min="143" max="143" width="3.25" bestFit="1" customWidth="1"/>
    <col min="144" max="144" width="8.5" bestFit="1" customWidth="1"/>
    <col min="145" max="145" width="15.25" bestFit="1" customWidth="1"/>
    <col min="146" max="146" width="11.83203125" bestFit="1" customWidth="1"/>
    <col min="147" max="147" width="17.33203125" bestFit="1" customWidth="1"/>
    <col min="148" max="148" width="13" bestFit="1" customWidth="1"/>
    <col min="149" max="149" width="21.5" bestFit="1" customWidth="1"/>
    <col min="150" max="150" width="11.83203125" bestFit="1" customWidth="1"/>
    <col min="151" max="151" width="15.33203125" bestFit="1" customWidth="1"/>
    <col min="152" max="152" width="10" bestFit="1" customWidth="1"/>
    <col min="153" max="153" width="11.83203125" bestFit="1" customWidth="1"/>
    <col min="154" max="154" width="11.25" bestFit="1" customWidth="1"/>
    <col min="155" max="155" width="11.83203125" bestFit="1" customWidth="1"/>
    <col min="156" max="156" width="11.25" bestFit="1" customWidth="1"/>
    <col min="157" max="157" width="11.83203125" bestFit="1" customWidth="1"/>
    <col min="158" max="158" width="9.5" bestFit="1" customWidth="1"/>
    <col min="159" max="159" width="11.83203125" bestFit="1" customWidth="1"/>
    <col min="160" max="160" width="9.5" bestFit="1" customWidth="1"/>
    <col min="161" max="161" width="11.83203125" bestFit="1" customWidth="1"/>
    <col min="162" max="162" width="11.25" bestFit="1" customWidth="1"/>
    <col min="163" max="163" width="11.83203125" bestFit="1" customWidth="1"/>
    <col min="164" max="164" width="13.25" bestFit="1" customWidth="1"/>
    <col min="165" max="165" width="11.83203125" bestFit="1" customWidth="1"/>
    <col min="166" max="166" width="9.5" bestFit="1" customWidth="1"/>
    <col min="167" max="167" width="11.83203125" bestFit="1" customWidth="1"/>
    <col min="168" max="168" width="15.33203125" bestFit="1" customWidth="1"/>
    <col min="169" max="169" width="11.83203125" bestFit="1" customWidth="1"/>
    <col min="170" max="170" width="9.5" bestFit="1" customWidth="1"/>
    <col min="171" max="171" width="11.83203125" bestFit="1" customWidth="1"/>
    <col min="172" max="172" width="9.5" bestFit="1" customWidth="1"/>
    <col min="173" max="173" width="11.83203125" bestFit="1" customWidth="1"/>
    <col min="174" max="174" width="9.5" bestFit="1" customWidth="1"/>
    <col min="175" max="175" width="11.83203125" bestFit="1" customWidth="1"/>
    <col min="176" max="176" width="11.25" bestFit="1" customWidth="1"/>
    <col min="177" max="177" width="11.83203125" bestFit="1" customWidth="1"/>
    <col min="178" max="178" width="9.5" bestFit="1" customWidth="1"/>
    <col min="179" max="179" width="11.83203125" bestFit="1" customWidth="1"/>
    <col min="180" max="180" width="13.25" bestFit="1" customWidth="1"/>
    <col min="181" max="181" width="11.83203125" bestFit="1" customWidth="1"/>
    <col min="182" max="182" width="9.5" bestFit="1" customWidth="1"/>
    <col min="183" max="183" width="11.83203125" bestFit="1" customWidth="1"/>
    <col min="184" max="184" width="11.25" bestFit="1" customWidth="1"/>
    <col min="185" max="185" width="11.83203125" bestFit="1" customWidth="1"/>
    <col min="186" max="186" width="9.5" bestFit="1" customWidth="1"/>
    <col min="187" max="187" width="11.83203125" bestFit="1" customWidth="1"/>
    <col min="188" max="188" width="9.5" bestFit="1" customWidth="1"/>
    <col min="189" max="189" width="11.83203125" bestFit="1" customWidth="1"/>
    <col min="190" max="190" width="9.5" bestFit="1" customWidth="1"/>
    <col min="191" max="191" width="11.83203125" bestFit="1" customWidth="1"/>
    <col min="192" max="192" width="9.5" bestFit="1" customWidth="1"/>
    <col min="193" max="193" width="11.83203125" bestFit="1" customWidth="1"/>
    <col min="194" max="194" width="11.25" bestFit="1" customWidth="1"/>
    <col min="195" max="195" width="11.83203125" bestFit="1" customWidth="1"/>
    <col min="196" max="196" width="9.5" bestFit="1" customWidth="1"/>
    <col min="197" max="197" width="11.83203125" bestFit="1" customWidth="1"/>
    <col min="198" max="198" width="13.25" bestFit="1" customWidth="1"/>
    <col min="199" max="199" width="11.83203125" bestFit="1" customWidth="1"/>
    <col min="200" max="200" width="9.5" bestFit="1" customWidth="1"/>
    <col min="201" max="201" width="11.83203125" bestFit="1" customWidth="1"/>
    <col min="202" max="202" width="11.25" bestFit="1" customWidth="1"/>
    <col min="203" max="203" width="11.83203125" bestFit="1" customWidth="1"/>
    <col min="204" max="204" width="9.5" bestFit="1" customWidth="1"/>
    <col min="205" max="205" width="11.83203125" bestFit="1" customWidth="1"/>
    <col min="206" max="206" width="9.5" bestFit="1" customWidth="1"/>
    <col min="207" max="207" width="11.83203125" bestFit="1" customWidth="1"/>
    <col min="208" max="208" width="11.25" bestFit="1" customWidth="1"/>
    <col min="209" max="209" width="11.83203125" bestFit="1" customWidth="1"/>
    <col min="210" max="210" width="10.5" bestFit="1" customWidth="1"/>
    <col min="211" max="211" width="13.08203125" bestFit="1" customWidth="1"/>
    <col min="212" max="212" width="10.5" bestFit="1" customWidth="1"/>
    <col min="213" max="213" width="13.08203125" bestFit="1" customWidth="1"/>
    <col min="214" max="214" width="11.83203125" bestFit="1" customWidth="1"/>
    <col min="215" max="215" width="14.33203125" bestFit="1" customWidth="1"/>
    <col min="216" max="216" width="9.5" bestFit="1" customWidth="1"/>
  </cols>
  <sheetData>
    <row r="1" spans="1:42" ht="21.5" thickBot="1">
      <c r="H1" s="8" t="s">
        <v>147</v>
      </c>
      <c r="I1" t="s">
        <v>150</v>
      </c>
      <c r="Z1" s="3" t="s">
        <v>478</v>
      </c>
    </row>
    <row r="2" spans="1:42" ht="18" thickTop="1" thickBot="1">
      <c r="H2" s="8" t="s">
        <v>505</v>
      </c>
      <c r="I2" t="s">
        <v>506</v>
      </c>
      <c r="Z2" s="77" t="s">
        <v>1489</v>
      </c>
      <c r="AI2" s="8" t="s">
        <v>505</v>
      </c>
      <c r="AJ2" t="s">
        <v>506</v>
      </c>
    </row>
    <row r="3" spans="1:42" ht="17.5" thickTop="1">
      <c r="A3" t="s">
        <v>131</v>
      </c>
      <c r="O3" t="s">
        <v>133</v>
      </c>
      <c r="P3" s="14">
        <f>GETPIVOTDATA("금액rev",$O$4)</f>
        <v>3441761</v>
      </c>
      <c r="S3" t="s">
        <v>539</v>
      </c>
      <c r="T3">
        <f>GETPIVOTDATA("금액",$S$4)</f>
        <v>-440021</v>
      </c>
      <c r="W3" t="s">
        <v>134</v>
      </c>
      <c r="X3">
        <f>GETPIVOTDATA("금액",$W$4)</f>
        <v>160220</v>
      </c>
      <c r="Z3" s="78" t="str" cm="1">
        <f t="array" ref="Z3:Z5">IFERROR(_xlfn.UNIQUE(_xlfn._xlws.FILTER(가계부!L:L,ISNUMBER(SEARCH(Z2,가계부!L:L)))),"")</f>
        <v>버거킹</v>
      </c>
      <c r="AA3" t="s">
        <v>148</v>
      </c>
      <c r="AB3" s="11"/>
    </row>
    <row r="4" spans="1:42">
      <c r="A4" s="8" t="s">
        <v>105</v>
      </c>
      <c r="B4" s="8" t="s">
        <v>109</v>
      </c>
      <c r="H4" s="8" t="s">
        <v>504</v>
      </c>
      <c r="I4" s="8" t="s">
        <v>500</v>
      </c>
      <c r="J4" t="s">
        <v>105</v>
      </c>
      <c r="L4" t="s">
        <v>507</v>
      </c>
      <c r="M4" t="s">
        <v>101</v>
      </c>
      <c r="O4" s="8" t="s">
        <v>103</v>
      </c>
      <c r="P4" t="s">
        <v>132</v>
      </c>
      <c r="S4" s="8" t="s">
        <v>103</v>
      </c>
      <c r="T4" t="s">
        <v>105</v>
      </c>
      <c r="W4" s="8" t="s">
        <v>103</v>
      </c>
      <c r="X4" t="s">
        <v>105</v>
      </c>
      <c r="Z4" s="78" t="str">
        <v>프랭크버거</v>
      </c>
      <c r="AA4" s="8" t="s">
        <v>132</v>
      </c>
      <c r="AB4" s="8" t="s">
        <v>109</v>
      </c>
      <c r="AI4" s="8" t="s">
        <v>103</v>
      </c>
      <c r="AJ4" t="s">
        <v>132</v>
      </c>
      <c r="AP4" s="2"/>
    </row>
    <row r="5" spans="1:42">
      <c r="A5" s="8" t="s">
        <v>103</v>
      </c>
      <c r="B5" t="s">
        <v>13</v>
      </c>
      <c r="C5" t="s">
        <v>7</v>
      </c>
      <c r="D5" t="s">
        <v>170</v>
      </c>
      <c r="E5" t="s">
        <v>737</v>
      </c>
      <c r="H5" t="s">
        <v>1467</v>
      </c>
      <c r="J5">
        <v>116340</v>
      </c>
      <c r="L5" t="str">
        <f>MID(H5,3,6)&amp;" "&amp;I6</f>
        <v>240823 루이까또즈</v>
      </c>
      <c r="M5">
        <f>J5</f>
        <v>116340</v>
      </c>
      <c r="O5" s="2" t="s">
        <v>21</v>
      </c>
      <c r="P5">
        <v>0</v>
      </c>
      <c r="S5" s="2">
        <v>2025</v>
      </c>
      <c r="T5">
        <v>-440021</v>
      </c>
      <c r="W5" s="2">
        <v>2025</v>
      </c>
      <c r="X5">
        <v>160220</v>
      </c>
      <c r="Z5" s="78" t="str">
        <v>크라이치즈버거</v>
      </c>
      <c r="AA5" s="8" t="s">
        <v>103</v>
      </c>
      <c r="AB5" t="s">
        <v>7</v>
      </c>
      <c r="AC5" t="s">
        <v>13</v>
      </c>
      <c r="AD5" t="s">
        <v>135</v>
      </c>
      <c r="AE5" t="s">
        <v>151</v>
      </c>
      <c r="AF5" t="s">
        <v>104</v>
      </c>
      <c r="AI5" s="2">
        <v>2022</v>
      </c>
      <c r="AL5" s="46" t="s">
        <v>149</v>
      </c>
      <c r="AM5" t="s">
        <v>538</v>
      </c>
      <c r="AP5" s="2"/>
    </row>
    <row r="6" spans="1:42">
      <c r="A6" s="2" t="s">
        <v>937</v>
      </c>
      <c r="B6">
        <v>1951253</v>
      </c>
      <c r="C6">
        <v>5910016</v>
      </c>
      <c r="D6">
        <v>402886</v>
      </c>
      <c r="E6">
        <v>8264155</v>
      </c>
      <c r="I6" t="s">
        <v>1210</v>
      </c>
      <c r="J6">
        <v>116340</v>
      </c>
      <c r="L6" t="str">
        <f>MID(H7,3,6)&amp;" "&amp;I8</f>
        <v>240512 네이버쇼핑</v>
      </c>
      <c r="M6">
        <f>J7</f>
        <v>120000</v>
      </c>
      <c r="O6" s="2" t="s">
        <v>19</v>
      </c>
      <c r="P6">
        <v>0</v>
      </c>
      <c r="S6" s="9">
        <v>8</v>
      </c>
      <c r="T6">
        <v>-440021</v>
      </c>
      <c r="W6" s="9">
        <v>8</v>
      </c>
      <c r="X6">
        <v>160220</v>
      </c>
      <c r="Z6" s="78"/>
      <c r="AA6" s="2">
        <v>2025</v>
      </c>
      <c r="AB6" s="48">
        <v>-105020</v>
      </c>
      <c r="AC6" s="48">
        <v>-55200</v>
      </c>
      <c r="AD6" s="48">
        <v>241</v>
      </c>
      <c r="AE6" s="48">
        <v>600000</v>
      </c>
      <c r="AF6" s="48">
        <v>440021</v>
      </c>
      <c r="AI6" s="9">
        <v>7</v>
      </c>
      <c r="AJ6">
        <v>10565154</v>
      </c>
      <c r="AL6" s="46" t="str">
        <f t="shared" ref="AL6:AL11" si="0">RIGHT($AI$5,2)&amp;"-"&amp;TEXT(AI6,"00")</f>
        <v>22-07</v>
      </c>
      <c r="AM6" s="15">
        <f>SUM($AJ$6:AJ6)</f>
        <v>10565154</v>
      </c>
    </row>
    <row r="7" spans="1:42">
      <c r="A7" s="9" t="s">
        <v>669</v>
      </c>
      <c r="B7">
        <v>375413</v>
      </c>
      <c r="C7">
        <v>425969</v>
      </c>
      <c r="D7">
        <v>69815</v>
      </c>
      <c r="E7">
        <v>871197</v>
      </c>
      <c r="H7" t="s">
        <v>1445</v>
      </c>
      <c r="J7">
        <v>120000</v>
      </c>
      <c r="L7" t="str">
        <f>MID(H9,3,6)&amp;" "&amp;I10</f>
        <v>250418 네이버쇼핑</v>
      </c>
      <c r="M7">
        <f>J9</f>
        <v>122000</v>
      </c>
      <c r="O7" s="2" t="s">
        <v>15</v>
      </c>
      <c r="P7">
        <v>0</v>
      </c>
      <c r="S7" s="82" t="s">
        <v>13</v>
      </c>
      <c r="T7">
        <v>55200</v>
      </c>
      <c r="W7" s="82" t="s">
        <v>173</v>
      </c>
      <c r="X7">
        <v>50327</v>
      </c>
      <c r="Z7" s="78"/>
      <c r="AA7" s="9">
        <v>8</v>
      </c>
      <c r="AB7" s="48">
        <v>-105020</v>
      </c>
      <c r="AC7" s="48">
        <v>-55200</v>
      </c>
      <c r="AD7" s="48">
        <v>241</v>
      </c>
      <c r="AE7" s="48">
        <v>600000</v>
      </c>
      <c r="AF7" s="48">
        <v>440021</v>
      </c>
      <c r="AI7" s="9">
        <v>8</v>
      </c>
      <c r="AJ7">
        <v>-1540949</v>
      </c>
      <c r="AL7" s="46" t="str">
        <f t="shared" si="0"/>
        <v>22-08</v>
      </c>
      <c r="AM7" s="15">
        <f>SUM($AJ$6:AJ7)</f>
        <v>9024205</v>
      </c>
    </row>
    <row r="8" spans="1:42">
      <c r="A8" s="9" t="s">
        <v>720</v>
      </c>
      <c r="B8">
        <v>319900</v>
      </c>
      <c r="C8">
        <v>613815</v>
      </c>
      <c r="D8">
        <v>42563</v>
      </c>
      <c r="E8">
        <v>976278</v>
      </c>
      <c r="I8" t="s">
        <v>1038</v>
      </c>
      <c r="J8">
        <v>120000</v>
      </c>
      <c r="L8" t="str">
        <f>MID(H11,3,6)&amp;" "&amp;I12</f>
        <v>240911 김명진</v>
      </c>
      <c r="M8">
        <f>J11</f>
        <v>150000</v>
      </c>
      <c r="O8" s="2" t="s">
        <v>1351</v>
      </c>
      <c r="P8">
        <v>10154</v>
      </c>
      <c r="S8" s="82" t="s">
        <v>7</v>
      </c>
      <c r="T8">
        <v>105020</v>
      </c>
      <c r="W8" s="82" t="s">
        <v>167</v>
      </c>
      <c r="X8">
        <v>37300</v>
      </c>
      <c r="Z8" s="78"/>
      <c r="AA8" s="2" t="s">
        <v>104</v>
      </c>
      <c r="AB8" s="48">
        <v>-105020</v>
      </c>
      <c r="AC8" s="48">
        <v>-55200</v>
      </c>
      <c r="AD8" s="48">
        <v>241</v>
      </c>
      <c r="AE8" s="48">
        <v>600000</v>
      </c>
      <c r="AF8" s="48">
        <v>440021</v>
      </c>
      <c r="AI8" s="9">
        <v>9</v>
      </c>
      <c r="AJ8">
        <v>-1174804</v>
      </c>
      <c r="AL8" s="46" t="str">
        <f t="shared" si="0"/>
        <v>22-09</v>
      </c>
      <c r="AM8" s="15">
        <f>SUM($AJ$6:AJ8)</f>
        <v>7849401</v>
      </c>
    </row>
    <row r="9" spans="1:42">
      <c r="A9" s="9" t="s">
        <v>744</v>
      </c>
      <c r="B9">
        <v>276590</v>
      </c>
      <c r="C9">
        <v>992559</v>
      </c>
      <c r="D9">
        <v>33738</v>
      </c>
      <c r="E9">
        <v>1302887</v>
      </c>
      <c r="H9" t="s">
        <v>1446</v>
      </c>
      <c r="J9">
        <v>122000</v>
      </c>
      <c r="L9" t="str">
        <f>MID(H13,3,6)&amp;" "&amp;I14</f>
        <v>250418 박병선</v>
      </c>
      <c r="M9">
        <f>J13</f>
        <v>200000</v>
      </c>
      <c r="O9" s="2" t="s">
        <v>17</v>
      </c>
      <c r="P9">
        <v>1235532</v>
      </c>
      <c r="S9" s="82" t="s">
        <v>135</v>
      </c>
      <c r="T9">
        <v>-241</v>
      </c>
      <c r="W9" s="82" t="s">
        <v>155</v>
      </c>
      <c r="X9">
        <v>31693</v>
      </c>
      <c r="Z9" s="78"/>
      <c r="AD9" s="48"/>
      <c r="AI9" s="9">
        <v>10</v>
      </c>
      <c r="AJ9">
        <v>357238</v>
      </c>
      <c r="AL9" s="46" t="str">
        <f t="shared" si="0"/>
        <v>22-10</v>
      </c>
      <c r="AM9" s="15">
        <f>SUM($AJ$6:AJ9)</f>
        <v>8206639</v>
      </c>
    </row>
    <row r="10" spans="1:42">
      <c r="A10" s="9" t="s">
        <v>767</v>
      </c>
      <c r="B10">
        <v>73260</v>
      </c>
      <c r="C10">
        <v>1555286</v>
      </c>
      <c r="D10">
        <v>11061</v>
      </c>
      <c r="E10">
        <v>1639607</v>
      </c>
      <c r="I10" t="s">
        <v>1038</v>
      </c>
      <c r="J10">
        <v>122000</v>
      </c>
      <c r="L10" t="str">
        <f>MID(H15,3,6)&amp;" "&amp;I16</f>
        <v>240416 학생복지스토어</v>
      </c>
      <c r="M10">
        <f>J15</f>
        <v>216019</v>
      </c>
      <c r="O10" s="2" t="s">
        <v>498</v>
      </c>
      <c r="P10">
        <v>2196075</v>
      </c>
      <c r="S10" s="82" t="s">
        <v>151</v>
      </c>
      <c r="T10">
        <v>-600000</v>
      </c>
      <c r="W10" s="82" t="s">
        <v>138</v>
      </c>
      <c r="X10">
        <v>19300</v>
      </c>
      <c r="Z10" s="78"/>
      <c r="AD10" s="48"/>
      <c r="AI10" s="9">
        <v>11</v>
      </c>
      <c r="AJ10">
        <v>425569</v>
      </c>
      <c r="AL10" s="46" t="str">
        <f t="shared" si="0"/>
        <v>22-11</v>
      </c>
      <c r="AM10" s="15">
        <f>SUM($AJ$6:AJ10)</f>
        <v>8632208</v>
      </c>
    </row>
    <row r="11" spans="1:42" ht="17.5" thickBot="1">
      <c r="A11" s="9" t="s">
        <v>802</v>
      </c>
      <c r="B11">
        <v>107940</v>
      </c>
      <c r="C11">
        <v>629036</v>
      </c>
      <c r="D11">
        <v>45299</v>
      </c>
      <c r="E11">
        <v>782275</v>
      </c>
      <c r="H11" t="s">
        <v>1239</v>
      </c>
      <c r="J11">
        <v>150000</v>
      </c>
      <c r="L11" t="str">
        <f>MID(H17,3,6)&amp;" "&amp;I18</f>
        <v>240715 진에어</v>
      </c>
      <c r="M11">
        <f>J17</f>
        <v>267800</v>
      </c>
      <c r="O11" s="2" t="s">
        <v>104</v>
      </c>
      <c r="P11">
        <v>3441761</v>
      </c>
      <c r="S11" s="2" t="s">
        <v>104</v>
      </c>
      <c r="T11">
        <v>-440021</v>
      </c>
      <c r="W11" s="82" t="s">
        <v>113</v>
      </c>
      <c r="X11">
        <v>15000</v>
      </c>
      <c r="Z11" s="79"/>
      <c r="AD11" s="48" t="s">
        <v>878</v>
      </c>
      <c r="AE11">
        <f t="array" ref="AE11">SUM( (RIGHT(AB5:AG5,2)="지출")*AB8:AG8)</f>
        <v>-160220</v>
      </c>
      <c r="AF11" t="s">
        <v>528</v>
      </c>
      <c r="AG11" s="49">
        <f>(ROUNDDOWN(QUOTIENT($AE$11,$AG$13),0)-1)*$AG$13</f>
        <v>-200000</v>
      </c>
      <c r="AI11" s="9">
        <v>12</v>
      </c>
      <c r="AJ11">
        <v>753123</v>
      </c>
      <c r="AL11" s="46" t="str">
        <f t="shared" si="0"/>
        <v>22-12</v>
      </c>
      <c r="AM11" s="15">
        <f>SUM($AJ$6:AJ11)</f>
        <v>9385331</v>
      </c>
    </row>
    <row r="12" spans="1:42" ht="17.5" thickTop="1">
      <c r="A12" s="9" t="s">
        <v>835</v>
      </c>
      <c r="B12">
        <v>165110</v>
      </c>
      <c r="C12">
        <v>377230</v>
      </c>
      <c r="D12">
        <v>40198</v>
      </c>
      <c r="E12">
        <v>582538</v>
      </c>
      <c r="I12" t="s">
        <v>847</v>
      </c>
      <c r="J12">
        <v>150000</v>
      </c>
      <c r="L12" t="str">
        <f>MID(H19,3,6)&amp;" "&amp;I20</f>
        <v>240619 제주여행</v>
      </c>
      <c r="M12">
        <f>J19</f>
        <v>543369</v>
      </c>
      <c r="W12" s="82" t="s">
        <v>116</v>
      </c>
      <c r="X12">
        <v>6600</v>
      </c>
      <c r="AD12" t="s">
        <v>879</v>
      </c>
      <c r="AE12">
        <f t="array" ref="AE12">SUM( (RIGHT(AB5:AG5,2)="수입")*AB8:AG8)</f>
        <v>600241</v>
      </c>
      <c r="AF12" t="s">
        <v>527</v>
      </c>
      <c r="AG12" s="49">
        <f>(ROUNDUP(QUOTIENT($AE$12,$AG$13),0)+1)*$AG$13</f>
        <v>650000</v>
      </c>
      <c r="AI12" s="2">
        <v>2023</v>
      </c>
      <c r="AL12" s="46" t="str">
        <f t="shared" ref="AL12:AL21" si="1">RIGHT($AI$12,2)&amp;"-"&amp;TEXT(AI13,"00")</f>
        <v>23-01</v>
      </c>
      <c r="AM12" s="15">
        <f>SUM($AJ$6:AJ13)</f>
        <v>10584853</v>
      </c>
    </row>
    <row r="13" spans="1:42">
      <c r="A13" s="9" t="s">
        <v>880</v>
      </c>
      <c r="B13">
        <v>234478</v>
      </c>
      <c r="C13">
        <v>1008250</v>
      </c>
      <c r="D13">
        <v>65869</v>
      </c>
      <c r="E13">
        <v>1308597</v>
      </c>
      <c r="H13" t="s">
        <v>1413</v>
      </c>
      <c r="J13">
        <v>200000</v>
      </c>
      <c r="L13" t="str">
        <f>MID(H21,3,6)&amp;" "&amp;I22</f>
        <v>241025 로앤산부인과</v>
      </c>
      <c r="M13">
        <f>J21</f>
        <v>570000</v>
      </c>
      <c r="W13" s="2" t="s">
        <v>104</v>
      </c>
      <c r="X13">
        <v>160220</v>
      </c>
      <c r="AF13" t="s">
        <v>529</v>
      </c>
      <c r="AG13" s="47" cm="1">
        <f t="array" ref="AG13">ABS(MAX(1,QUOTIENT(MAX(ABS(AE11:AE12)),250000)-1)*50000)</f>
        <v>50000</v>
      </c>
      <c r="AI13" s="9">
        <v>1</v>
      </c>
      <c r="AJ13">
        <v>1199522</v>
      </c>
      <c r="AL13" s="46" t="str">
        <f t="shared" si="1"/>
        <v>23-02</v>
      </c>
      <c r="AM13" s="15">
        <f>SUM($AJ$6:AJ14)</f>
        <v>9456517</v>
      </c>
    </row>
    <row r="14" spans="1:42">
      <c r="A14" s="9" t="s">
        <v>906</v>
      </c>
      <c r="B14">
        <v>245112</v>
      </c>
      <c r="C14">
        <v>134440</v>
      </c>
      <c r="D14">
        <v>35889</v>
      </c>
      <c r="E14">
        <v>415441</v>
      </c>
      <c r="I14" t="s">
        <v>1403</v>
      </c>
      <c r="J14">
        <v>200000</v>
      </c>
      <c r="L14" t="str">
        <f>MID(H23,3,6)&amp;" "&amp;I24</f>
        <v>240719 7월 일본여행</v>
      </c>
      <c r="M14">
        <f>J23</f>
        <v>641880</v>
      </c>
      <c r="AI14" s="9">
        <v>2</v>
      </c>
      <c r="AJ14">
        <v>-1128336</v>
      </c>
      <c r="AL14" s="46" t="str">
        <f t="shared" si="1"/>
        <v>23-03</v>
      </c>
      <c r="AM14" s="15">
        <f>SUM($AJ$6:AJ15)</f>
        <v>9027991</v>
      </c>
    </row>
    <row r="15" spans="1:42">
      <c r="A15" s="9" t="s">
        <v>914</v>
      </c>
      <c r="B15">
        <v>153450</v>
      </c>
      <c r="C15">
        <v>173431</v>
      </c>
      <c r="D15">
        <v>58454</v>
      </c>
      <c r="E15">
        <v>385335</v>
      </c>
      <c r="H15" t="s">
        <v>1084</v>
      </c>
      <c r="J15">
        <v>216019</v>
      </c>
      <c r="AI15" s="9">
        <v>3</v>
      </c>
      <c r="AJ15">
        <v>-428526</v>
      </c>
      <c r="AL15" s="46" t="str">
        <f t="shared" si="1"/>
        <v>23-04</v>
      </c>
      <c r="AM15" s="15">
        <f>SUM($AJ$6:AJ16)</f>
        <v>8818663</v>
      </c>
    </row>
    <row r="16" spans="1:42">
      <c r="A16" s="2" t="s">
        <v>1317</v>
      </c>
      <c r="B16">
        <v>1238600</v>
      </c>
      <c r="C16">
        <v>3304859</v>
      </c>
      <c r="D16">
        <v>530679</v>
      </c>
      <c r="E16">
        <v>5074138</v>
      </c>
      <c r="I16" t="s">
        <v>1052</v>
      </c>
      <c r="J16">
        <v>216019</v>
      </c>
      <c r="AG16" t="s">
        <v>530</v>
      </c>
      <c r="AI16" s="9">
        <v>4</v>
      </c>
      <c r="AJ16">
        <v>-209328</v>
      </c>
      <c r="AL16" s="46" t="str">
        <f t="shared" si="1"/>
        <v>23-05</v>
      </c>
      <c r="AM16" s="15">
        <f>SUM($AJ$6:AJ17)</f>
        <v>8203925</v>
      </c>
    </row>
    <row r="17" spans="1:39">
      <c r="A17" s="9" t="s">
        <v>938</v>
      </c>
      <c r="B17">
        <v>112830</v>
      </c>
      <c r="C17">
        <v>494805</v>
      </c>
      <c r="D17">
        <v>65910</v>
      </c>
      <c r="E17">
        <v>673545</v>
      </c>
      <c r="H17" t="s">
        <v>1172</v>
      </c>
      <c r="J17">
        <v>267800</v>
      </c>
      <c r="AF17" t="s">
        <v>528</v>
      </c>
      <c r="AG17" s="47">
        <f ca="1">ROUNDDOWN(QUOTIENT(MIN(누계금액값),$AG$19),0)*$AG$19</f>
        <v>6500000</v>
      </c>
      <c r="AI17" s="9">
        <v>5</v>
      </c>
      <c r="AJ17">
        <v>-614738</v>
      </c>
      <c r="AL17" s="46" t="str">
        <f t="shared" si="1"/>
        <v>23-06</v>
      </c>
      <c r="AM17" s="15">
        <f>SUM($AJ$6:AJ18)</f>
        <v>7379926</v>
      </c>
    </row>
    <row r="18" spans="1:39">
      <c r="A18" s="9" t="s">
        <v>982</v>
      </c>
      <c r="B18">
        <v>148960</v>
      </c>
      <c r="C18">
        <v>483637</v>
      </c>
      <c r="D18">
        <v>91567</v>
      </c>
      <c r="E18">
        <v>724164</v>
      </c>
      <c r="I18" t="s">
        <v>1156</v>
      </c>
      <c r="J18">
        <v>267800</v>
      </c>
      <c r="AF18" t="s">
        <v>527</v>
      </c>
      <c r="AG18" s="47">
        <f ca="1">(ROUNDUP(QUOTIENT(MAX(누계금액값),$AG$19),0)+1)*$AG$19</f>
        <v>11000000</v>
      </c>
      <c r="AI18" s="9">
        <v>6</v>
      </c>
      <c r="AJ18">
        <v>-823999</v>
      </c>
      <c r="AL18" s="46" t="str">
        <f t="shared" si="1"/>
        <v>23-07</v>
      </c>
      <c r="AM18" s="15">
        <f>SUM($AJ$6:AJ19)</f>
        <v>7036857</v>
      </c>
    </row>
    <row r="19" spans="1:39">
      <c r="A19" s="9" t="s">
        <v>626</v>
      </c>
      <c r="B19">
        <v>133720</v>
      </c>
      <c r="C19">
        <v>434127</v>
      </c>
      <c r="D19">
        <v>90460</v>
      </c>
      <c r="E19">
        <v>658307</v>
      </c>
      <c r="H19" t="s">
        <v>1118</v>
      </c>
      <c r="J19">
        <v>543369</v>
      </c>
      <c r="AF19" t="s">
        <v>529</v>
      </c>
      <c r="AG19" s="47">
        <v>500000</v>
      </c>
      <c r="AI19" s="9">
        <v>7</v>
      </c>
      <c r="AJ19">
        <v>-343069</v>
      </c>
      <c r="AL19" s="46" t="str">
        <f t="shared" si="1"/>
        <v>23-08</v>
      </c>
      <c r="AM19" s="15">
        <f>SUM($AJ$6:AJ20)</f>
        <v>6738238</v>
      </c>
    </row>
    <row r="20" spans="1:39">
      <c r="A20" s="9" t="s">
        <v>669</v>
      </c>
      <c r="B20">
        <v>176200</v>
      </c>
      <c r="C20">
        <v>513082</v>
      </c>
      <c r="D20">
        <v>68662</v>
      </c>
      <c r="E20">
        <v>757944</v>
      </c>
      <c r="I20" t="s">
        <v>1116</v>
      </c>
      <c r="J20">
        <v>543369</v>
      </c>
      <c r="AI20" s="9">
        <v>8</v>
      </c>
      <c r="AJ20">
        <v>-298619</v>
      </c>
      <c r="AL20" s="46" t="str">
        <f t="shared" si="1"/>
        <v>23-09</v>
      </c>
      <c r="AM20" s="15">
        <f>SUM($AJ$6:AJ21)</f>
        <v>6745991</v>
      </c>
    </row>
    <row r="21" spans="1:39">
      <c r="A21" s="9" t="s">
        <v>720</v>
      </c>
      <c r="B21">
        <v>222260</v>
      </c>
      <c r="C21">
        <v>369755</v>
      </c>
      <c r="D21">
        <v>71030</v>
      </c>
      <c r="E21">
        <v>663045</v>
      </c>
      <c r="H21" t="s">
        <v>1276</v>
      </c>
      <c r="J21">
        <v>570000</v>
      </c>
      <c r="AI21" s="9">
        <v>9</v>
      </c>
      <c r="AJ21">
        <v>7753</v>
      </c>
      <c r="AL21" s="46" t="str">
        <f t="shared" si="1"/>
        <v>23-10</v>
      </c>
      <c r="AM21" s="15">
        <f>SUM($AJ$6:AJ22)</f>
        <v>6709456</v>
      </c>
    </row>
    <row r="22" spans="1:39">
      <c r="A22" s="9" t="s">
        <v>744</v>
      </c>
      <c r="B22">
        <v>150400</v>
      </c>
      <c r="C22">
        <v>380400</v>
      </c>
      <c r="D22">
        <v>58380</v>
      </c>
      <c r="E22">
        <v>589180</v>
      </c>
      <c r="I22" t="s">
        <v>1272</v>
      </c>
      <c r="J22">
        <v>570000</v>
      </c>
      <c r="P22" s="15"/>
      <c r="X22" s="15"/>
      <c r="AI22" s="9">
        <v>10</v>
      </c>
      <c r="AJ22">
        <v>-36535</v>
      </c>
      <c r="AL22" s="46" t="str">
        <f t="shared" ref="AL22" si="2">RIGHT($AI$12,2)&amp;"-"&amp;TEXT(AI23,"00")</f>
        <v>23-11</v>
      </c>
      <c r="AM22" s="15">
        <f>SUM($AJ$6:AJ23)</f>
        <v>6649924</v>
      </c>
    </row>
    <row r="23" spans="1:39">
      <c r="A23" s="9" t="s">
        <v>767</v>
      </c>
      <c r="B23">
        <v>239030</v>
      </c>
      <c r="C23">
        <v>524033</v>
      </c>
      <c r="D23">
        <v>84670</v>
      </c>
      <c r="E23">
        <v>847733</v>
      </c>
      <c r="H23" t="s">
        <v>1173</v>
      </c>
      <c r="J23">
        <v>641880</v>
      </c>
      <c r="O23" t="s">
        <v>133</v>
      </c>
      <c r="P23" s="15">
        <f>SUM(P24:P33)</f>
        <v>3441761</v>
      </c>
      <c r="W23" t="str">
        <f>W5&amp;"년 "&amp;W6&amp;"월"</f>
        <v>2025년 8월</v>
      </c>
      <c r="X23" s="15">
        <f>SUM(X24:X38)</f>
        <v>160220</v>
      </c>
      <c r="AI23" s="9">
        <v>11</v>
      </c>
      <c r="AJ23">
        <v>-59532</v>
      </c>
      <c r="AL23" s="46" t="str">
        <f t="shared" ref="AL23" si="3">RIGHT($AI$12,2)&amp;"-"&amp;TEXT(AI24,"00")</f>
        <v>23-12</v>
      </c>
      <c r="AM23" s="15">
        <f>SUM($AJ$6:AJ24)</f>
        <v>6526438</v>
      </c>
    </row>
    <row r="24" spans="1:39">
      <c r="A24" s="9" t="s">
        <v>802</v>
      </c>
      <c r="B24">
        <v>55200</v>
      </c>
      <c r="C24">
        <v>105020</v>
      </c>
      <c r="E24">
        <v>160220</v>
      </c>
      <c r="I24" t="s">
        <v>1162</v>
      </c>
      <c r="J24">
        <v>641880</v>
      </c>
      <c r="O24" t="str">
        <f t="shared" ref="O24:O33" si="4">O5</f>
        <v>두드림통장</v>
      </c>
      <c r="P24" s="15">
        <f t="shared" ref="P24:P33" si="5">IFERROR(GETPIVOTDATA("금액rev",$O$4,"계좌",O24),0)</f>
        <v>0</v>
      </c>
      <c r="Q24" s="16">
        <f t="shared" ref="Q24:Q33" si="6">P24/$P$23</f>
        <v>0</v>
      </c>
      <c r="R24" s="16"/>
      <c r="S24" t="str">
        <f>S5&amp;"년 "&amp;S6&amp;"월"</f>
        <v>2025년 8월</v>
      </c>
      <c r="T24" s="15">
        <f>SUM(T25:T27)</f>
        <v>160220</v>
      </c>
      <c r="W24" t="str">
        <f>W7</f>
        <v>교통</v>
      </c>
      <c r="X24" s="15">
        <f t="shared" ref="X24:X38" si="7">IFERROR(GETPIVOTDATA("금액",$W$4,"연",$W$5,"월",$W$6,"대분류",W24),0)</f>
        <v>50327</v>
      </c>
      <c r="Y24" s="16">
        <f t="shared" ref="Y24:Y38" si="8">X24/$X$23</f>
        <v>0.31411184621145927</v>
      </c>
      <c r="Z24" s="16"/>
      <c r="AI24" s="9">
        <v>12</v>
      </c>
      <c r="AJ24">
        <v>-123486</v>
      </c>
      <c r="AL24" s="46" t="str">
        <f>RIGHT($AI$25,2)&amp;"-"&amp;TEXT(AI26,"00")</f>
        <v>24-01</v>
      </c>
      <c r="AM24" s="15">
        <f>SUM($AJ$6:AJ26)</f>
        <v>6926603</v>
      </c>
    </row>
    <row r="25" spans="1:39">
      <c r="A25" s="2" t="s">
        <v>737</v>
      </c>
      <c r="B25">
        <v>3189853</v>
      </c>
      <c r="C25">
        <v>9214875</v>
      </c>
      <c r="D25">
        <v>933565</v>
      </c>
      <c r="E25">
        <v>13338293</v>
      </c>
      <c r="H25" t="s">
        <v>104</v>
      </c>
      <c r="J25">
        <v>2947408</v>
      </c>
      <c r="O25" t="str">
        <f t="shared" si="4"/>
        <v>위비모바일통장</v>
      </c>
      <c r="P25" s="15">
        <f t="shared" si="5"/>
        <v>0</v>
      </c>
      <c r="Q25" s="16">
        <f t="shared" si="6"/>
        <v>0</v>
      </c>
      <c r="R25" s="16"/>
      <c r="S25" t="s">
        <v>6</v>
      </c>
      <c r="T25" s="15">
        <f>IFERROR(GETPIVOTDATA("금액",$S$4,"연",$S$5,"월",$S$6,"유형",S25),0)</f>
        <v>0</v>
      </c>
      <c r="U25" s="16">
        <f>T25/$T$24</f>
        <v>0</v>
      </c>
      <c r="V25" s="16"/>
      <c r="W25" t="str">
        <f>W8</f>
        <v>생활</v>
      </c>
      <c r="X25" s="15">
        <f t="shared" si="7"/>
        <v>37300</v>
      </c>
      <c r="Y25" s="16">
        <f t="shared" si="8"/>
        <v>0.23280489327175133</v>
      </c>
      <c r="Z25" s="16"/>
      <c r="AI25" s="2">
        <v>2024</v>
      </c>
      <c r="AL25" s="46" t="str">
        <f t="shared" ref="AL25:AL26" si="9">RIGHT($AI$25,2)&amp;"-"&amp;TEXT(AI27,"00")</f>
        <v>24-02</v>
      </c>
      <c r="AM25" s="15">
        <f>SUM($AJ$6:AJ27)</f>
        <v>7237321</v>
      </c>
    </row>
    <row r="26" spans="1:39">
      <c r="O26" t="str">
        <f t="shared" si="4"/>
        <v>국민ONE</v>
      </c>
      <c r="P26" s="15">
        <f t="shared" si="5"/>
        <v>0</v>
      </c>
      <c r="Q26" s="16">
        <f t="shared" si="6"/>
        <v>0</v>
      </c>
      <c r="R26" s="16"/>
      <c r="S26" t="s">
        <v>14</v>
      </c>
      <c r="T26" s="15">
        <f>IFERROR(GETPIVOTDATA("금액",$S$4,"연",$S$5,"월",$S$6,"유형",S26),0)</f>
        <v>55200</v>
      </c>
      <c r="U26" s="16">
        <f>T26/$T$24</f>
        <v>0.34452627636999128</v>
      </c>
      <c r="V26" s="16"/>
      <c r="W26" t="str">
        <f>W9</f>
        <v>온라인쇼핑</v>
      </c>
      <c r="X26" s="15">
        <f t="shared" si="7"/>
        <v>31693</v>
      </c>
      <c r="Y26" s="16">
        <f t="shared" si="8"/>
        <v>0.19780926226438647</v>
      </c>
      <c r="Z26" s="16"/>
      <c r="AI26" s="9">
        <v>1</v>
      </c>
      <c r="AJ26">
        <v>400165</v>
      </c>
      <c r="AL26" s="46" t="str">
        <f t="shared" si="9"/>
        <v>24-03</v>
      </c>
      <c r="AM26" s="15">
        <f>SUM($AJ$6:AJ28)</f>
        <v>7181298</v>
      </c>
    </row>
    <row r="27" spans="1:39">
      <c r="O27" t="str">
        <f t="shared" si="4"/>
        <v>KB페이</v>
      </c>
      <c r="P27" s="15">
        <f t="shared" si="5"/>
        <v>10154</v>
      </c>
      <c r="Q27" s="16">
        <f t="shared" si="6"/>
        <v>2.9502339064217415E-3</v>
      </c>
      <c r="R27" s="16"/>
      <c r="S27" t="s">
        <v>8</v>
      </c>
      <c r="T27" s="15">
        <f>IFERROR(GETPIVOTDATA("금액",$S$4,"연",$S$5,"월",$S$6,"유형",S27),0)</f>
        <v>105020</v>
      </c>
      <c r="U27" s="16">
        <f>T27/$T$24</f>
        <v>0.65547372363000878</v>
      </c>
      <c r="V27" s="16"/>
      <c r="W27" t="str">
        <f>W10</f>
        <v>식비</v>
      </c>
      <c r="X27" s="15">
        <f t="shared" si="7"/>
        <v>19300</v>
      </c>
      <c r="Y27" s="16">
        <f t="shared" si="8"/>
        <v>0.12045936836849332</v>
      </c>
      <c r="Z27" s="16"/>
      <c r="AI27" s="9">
        <v>2</v>
      </c>
      <c r="AJ27">
        <v>310718</v>
      </c>
    </row>
    <row r="28" spans="1:39">
      <c r="H28" s="8" t="s">
        <v>147</v>
      </c>
      <c r="I28" t="s">
        <v>150</v>
      </c>
      <c r="O28" t="str">
        <f t="shared" si="4"/>
        <v>국민나라사랑</v>
      </c>
      <c r="P28" s="15">
        <f t="shared" si="5"/>
        <v>1235532</v>
      </c>
      <c r="Q28" s="16">
        <f t="shared" si="6"/>
        <v>0.35898250924454078</v>
      </c>
      <c r="R28" s="16"/>
      <c r="S28" t="s">
        <v>327</v>
      </c>
      <c r="T28" s="15">
        <f>SUM(T25:T27)</f>
        <v>160220</v>
      </c>
      <c r="U28" s="16"/>
      <c r="V28" s="16"/>
      <c r="W28" t="str">
        <f>W11</f>
        <v>뷰티_미용</v>
      </c>
      <c r="X28" s="15">
        <f t="shared" si="7"/>
        <v>15000</v>
      </c>
      <c r="Y28" s="16">
        <f t="shared" si="8"/>
        <v>9.3621270752715022E-2</v>
      </c>
      <c r="Z28" s="16"/>
      <c r="AI28" s="9">
        <v>3</v>
      </c>
      <c r="AJ28">
        <v>-56023</v>
      </c>
    </row>
    <row r="29" spans="1:39">
      <c r="H29" s="8" t="s">
        <v>983</v>
      </c>
      <c r="I29" s="2">
        <v>2025</v>
      </c>
      <c r="O29" t="str">
        <f t="shared" si="4"/>
        <v>KB증권CMA계좌</v>
      </c>
      <c r="P29" s="15">
        <f t="shared" si="5"/>
        <v>2196075</v>
      </c>
      <c r="Q29" s="16">
        <f t="shared" si="6"/>
        <v>0.63806725684903742</v>
      </c>
      <c r="R29" s="16"/>
      <c r="S29" t="s">
        <v>9</v>
      </c>
      <c r="T29" s="15">
        <f>IFERROR(-GETPIVOTDATA("금액",$S$4,"연",$S$5,"월",$S$6,"유형",S29),0)</f>
        <v>600000</v>
      </c>
      <c r="U29" s="16">
        <f>IFERROR(T29/$T$31,"-")</f>
        <v>0.9995984946046671</v>
      </c>
      <c r="V29" s="16"/>
      <c r="W29" t="str">
        <f t="shared" ref="W29:W38" si="10">W12</f>
        <v>문화_여가</v>
      </c>
      <c r="X29" s="15">
        <f t="shared" si="7"/>
        <v>6600</v>
      </c>
      <c r="Y29" s="16">
        <f t="shared" si="8"/>
        <v>4.119335913119461E-2</v>
      </c>
      <c r="Z29" s="16"/>
      <c r="AI29" s="9">
        <v>4</v>
      </c>
      <c r="AJ29">
        <v>-241197</v>
      </c>
    </row>
    <row r="30" spans="1:39">
      <c r="H30" s="8" t="s">
        <v>984</v>
      </c>
      <c r="I30" s="2">
        <v>8</v>
      </c>
      <c r="O30" t="str">
        <f t="shared" si="4"/>
        <v>총합계</v>
      </c>
      <c r="P30" s="15">
        <f t="shared" si="5"/>
        <v>0</v>
      </c>
      <c r="Q30" s="16">
        <f t="shared" si="6"/>
        <v>0</v>
      </c>
      <c r="R30" s="16"/>
      <c r="S30" t="s">
        <v>10</v>
      </c>
      <c r="T30" s="15">
        <f>IFERROR(-GETPIVOTDATA("금액",$S$4,"연",$S$5,"월",$S$6,"유형",S30),0)</f>
        <v>241</v>
      </c>
      <c r="U30" s="16">
        <f>IFERROR(T30/$T$31,"-")</f>
        <v>4.0150539533287464E-4</v>
      </c>
      <c r="V30" s="16"/>
      <c r="W30" t="str">
        <f t="shared" si="10"/>
        <v>총합계</v>
      </c>
      <c r="X30" s="15">
        <f t="shared" si="7"/>
        <v>0</v>
      </c>
      <c r="Y30" s="16">
        <f t="shared" si="8"/>
        <v>0</v>
      </c>
      <c r="Z30" s="16"/>
      <c r="AI30" s="9">
        <v>5</v>
      </c>
      <c r="AJ30">
        <v>-156149</v>
      </c>
    </row>
    <row r="31" spans="1:39">
      <c r="O31">
        <f t="shared" si="4"/>
        <v>0</v>
      </c>
      <c r="P31" s="15">
        <f t="shared" si="5"/>
        <v>0</v>
      </c>
      <c r="Q31" s="16">
        <f t="shared" si="6"/>
        <v>0</v>
      </c>
      <c r="R31" s="16"/>
      <c r="S31" t="s">
        <v>327</v>
      </c>
      <c r="T31" s="15">
        <f>SUM(T29:T30)</f>
        <v>600241</v>
      </c>
      <c r="U31" s="16"/>
      <c r="V31" s="16"/>
      <c r="W31">
        <f t="shared" si="10"/>
        <v>0</v>
      </c>
      <c r="X31" s="15">
        <f t="shared" si="7"/>
        <v>0</v>
      </c>
      <c r="Y31" s="16">
        <f t="shared" si="8"/>
        <v>0</v>
      </c>
      <c r="Z31" s="16"/>
      <c r="AC31" s="46"/>
      <c r="AD31" s="15"/>
      <c r="AI31" s="9">
        <v>6</v>
      </c>
      <c r="AJ31">
        <v>-702887</v>
      </c>
    </row>
    <row r="32" spans="1:39">
      <c r="H32" s="8" t="s">
        <v>504</v>
      </c>
      <c r="I32" s="8" t="s">
        <v>500</v>
      </c>
      <c r="J32" t="s">
        <v>105</v>
      </c>
      <c r="L32" t="s">
        <v>507</v>
      </c>
      <c r="M32" t="s">
        <v>101</v>
      </c>
      <c r="O32">
        <f t="shared" si="4"/>
        <v>0</v>
      </c>
      <c r="P32" s="15">
        <f t="shared" si="5"/>
        <v>0</v>
      </c>
      <c r="Q32" s="16">
        <f t="shared" si="6"/>
        <v>0</v>
      </c>
      <c r="R32" s="16"/>
      <c r="U32" s="16"/>
      <c r="V32" s="16"/>
      <c r="W32">
        <f t="shared" si="10"/>
        <v>0</v>
      </c>
      <c r="X32" s="15">
        <f t="shared" si="7"/>
        <v>0</v>
      </c>
      <c r="Y32" s="16">
        <f t="shared" si="8"/>
        <v>0</v>
      </c>
      <c r="Z32" s="16"/>
      <c r="AI32" s="9">
        <v>7</v>
      </c>
      <c r="AJ32">
        <v>1075634</v>
      </c>
    </row>
    <row r="33" spans="8:36">
      <c r="H33" t="s">
        <v>1480</v>
      </c>
      <c r="J33">
        <v>1000</v>
      </c>
      <c r="L33" t="str">
        <f>MID(H33,3,6)&amp;" "&amp;I34</f>
        <v>250802 증명서 수수료</v>
      </c>
      <c r="M33">
        <f>J33</f>
        <v>1000</v>
      </c>
      <c r="O33">
        <f t="shared" si="4"/>
        <v>0</v>
      </c>
      <c r="P33" s="15">
        <f t="shared" si="5"/>
        <v>0</v>
      </c>
      <c r="Q33" s="16">
        <f t="shared" si="6"/>
        <v>0</v>
      </c>
      <c r="R33" s="16"/>
      <c r="U33" s="16"/>
      <c r="V33" s="16"/>
      <c r="W33">
        <f t="shared" si="10"/>
        <v>0</v>
      </c>
      <c r="X33" s="15">
        <f t="shared" si="7"/>
        <v>0</v>
      </c>
      <c r="Y33" s="16">
        <f t="shared" si="8"/>
        <v>0</v>
      </c>
      <c r="Z33" s="16"/>
      <c r="AI33" s="9">
        <v>8</v>
      </c>
      <c r="AJ33">
        <v>-72149</v>
      </c>
    </row>
    <row r="34" spans="8:36">
      <c r="I34" t="s">
        <v>1440</v>
      </c>
      <c r="J34">
        <v>1000</v>
      </c>
      <c r="L34" t="str">
        <f>MID(H35,3,6)&amp;" "&amp;I36</f>
        <v>250805 두잇</v>
      </c>
      <c r="M34">
        <f>J35</f>
        <v>2900</v>
      </c>
      <c r="U34" s="16"/>
      <c r="V34" s="16"/>
      <c r="W34">
        <f>W17</f>
        <v>0</v>
      </c>
      <c r="X34" s="15">
        <f t="shared" si="7"/>
        <v>0</v>
      </c>
      <c r="Y34" s="16">
        <f t="shared" si="8"/>
        <v>0</v>
      </c>
      <c r="Z34" s="16"/>
      <c r="AI34" s="9">
        <v>9</v>
      </c>
      <c r="AJ34">
        <v>217663</v>
      </c>
    </row>
    <row r="35" spans="8:36">
      <c r="H35" t="s">
        <v>1481</v>
      </c>
      <c r="J35">
        <v>2900</v>
      </c>
      <c r="L35" t="str">
        <f>MID(H37,3,6)&amp;" "&amp;I38</f>
        <v>250807 쿱스캣</v>
      </c>
      <c r="M35">
        <f>J37</f>
        <v>3200</v>
      </c>
      <c r="U35" s="16"/>
      <c r="V35" s="16"/>
      <c r="W35">
        <f t="shared" si="10"/>
        <v>0</v>
      </c>
      <c r="X35" s="15">
        <f t="shared" si="7"/>
        <v>0</v>
      </c>
      <c r="Y35" s="16">
        <f t="shared" si="8"/>
        <v>0</v>
      </c>
      <c r="Z35" s="16"/>
      <c r="AI35" s="9">
        <v>10</v>
      </c>
      <c r="AJ35">
        <v>-696997</v>
      </c>
    </row>
    <row r="36" spans="8:36">
      <c r="I36" t="s">
        <v>1425</v>
      </c>
      <c r="J36">
        <v>2900</v>
      </c>
      <c r="L36" t="str">
        <f>MID(H39,3,6)&amp;" "&amp;I40</f>
        <v>250801 구글플레이</v>
      </c>
      <c r="M36">
        <f>J39</f>
        <v>6600</v>
      </c>
      <c r="W36">
        <f t="shared" si="10"/>
        <v>0</v>
      </c>
      <c r="X36" s="15">
        <f t="shared" si="7"/>
        <v>0</v>
      </c>
      <c r="Y36" s="16">
        <f t="shared" si="8"/>
        <v>0</v>
      </c>
      <c r="Z36" s="16"/>
      <c r="AI36" s="9">
        <v>11</v>
      </c>
      <c r="AJ36">
        <v>194787</v>
      </c>
    </row>
    <row r="37" spans="8:36">
      <c r="H37" t="s">
        <v>1482</v>
      </c>
      <c r="J37">
        <v>3200</v>
      </c>
      <c r="L37" t="str">
        <f>MID(H41,3,6)&amp;" "&amp;I42</f>
        <v>250802 서기남헤어클리닉</v>
      </c>
      <c r="M37">
        <f>J41</f>
        <v>15000</v>
      </c>
      <c r="W37">
        <f t="shared" si="10"/>
        <v>0</v>
      </c>
      <c r="X37" s="15">
        <f t="shared" si="7"/>
        <v>0</v>
      </c>
      <c r="Y37" s="16">
        <f t="shared" si="8"/>
        <v>0</v>
      </c>
      <c r="Z37" s="16"/>
      <c r="AI37" s="9">
        <v>12</v>
      </c>
      <c r="AJ37">
        <v>337880</v>
      </c>
    </row>
    <row r="38" spans="8:36">
      <c r="I38" t="s">
        <v>748</v>
      </c>
      <c r="J38">
        <v>3200</v>
      </c>
      <c r="L38" t="str">
        <f>MID(H43,3,6)&amp;" "&amp;I44</f>
        <v>250803 더현대서울</v>
      </c>
      <c r="M38">
        <f>J43</f>
        <v>16400</v>
      </c>
      <c r="W38">
        <f t="shared" si="10"/>
        <v>0</v>
      </c>
      <c r="X38" s="15">
        <f t="shared" si="7"/>
        <v>0</v>
      </c>
      <c r="Y38" s="16">
        <f t="shared" si="8"/>
        <v>0</v>
      </c>
      <c r="Z38" s="16"/>
      <c r="AI38" s="2" t="s">
        <v>104</v>
      </c>
      <c r="AJ38">
        <v>7137883</v>
      </c>
    </row>
    <row r="39" spans="8:36">
      <c r="H39" t="s">
        <v>1483</v>
      </c>
      <c r="J39">
        <v>6600</v>
      </c>
      <c r="L39" t="str">
        <f>MID(H45,3,6)&amp;" "&amp;I46</f>
        <v>250802 마이크로소프트</v>
      </c>
      <c r="M39">
        <f>J45</f>
        <v>30693</v>
      </c>
    </row>
    <row r="40" spans="8:36">
      <c r="I40" t="s">
        <v>218</v>
      </c>
      <c r="J40">
        <v>6600</v>
      </c>
      <c r="L40" t="str">
        <f>MID(H47,3,6)&amp;" "&amp;I48</f>
        <v>250805 이마트에브리데이</v>
      </c>
      <c r="M40">
        <f>J47</f>
        <v>34100</v>
      </c>
    </row>
    <row r="41" spans="8:36">
      <c r="H41" t="s">
        <v>1484</v>
      </c>
      <c r="J41">
        <v>15000</v>
      </c>
      <c r="L41" t="str">
        <f>MID(H49,3,6)&amp;" "&amp;I50</f>
        <v>250805 교통비 출금</v>
      </c>
      <c r="M41">
        <f>J49</f>
        <v>50327</v>
      </c>
    </row>
    <row r="42" spans="8:36">
      <c r="I42" t="s">
        <v>502</v>
      </c>
      <c r="J42">
        <v>15000</v>
      </c>
      <c r="L42" t="str">
        <f>MID(H51,3,6)&amp;" "&amp;I52</f>
        <v xml:space="preserve">계 </v>
      </c>
      <c r="M42">
        <f>J51</f>
        <v>160220</v>
      </c>
    </row>
    <row r="43" spans="8:36">
      <c r="H43" t="s">
        <v>1485</v>
      </c>
      <c r="J43">
        <v>16400</v>
      </c>
    </row>
    <row r="44" spans="8:36">
      <c r="I44" t="s">
        <v>1186</v>
      </c>
      <c r="J44">
        <v>16400</v>
      </c>
    </row>
    <row r="45" spans="8:36">
      <c r="H45" t="s">
        <v>1486</v>
      </c>
      <c r="J45">
        <v>30693</v>
      </c>
    </row>
    <row r="46" spans="8:36">
      <c r="I46" t="s">
        <v>1193</v>
      </c>
      <c r="J46">
        <v>30693</v>
      </c>
    </row>
    <row r="47" spans="8:36">
      <c r="H47" t="s">
        <v>1487</v>
      </c>
      <c r="J47">
        <v>34100</v>
      </c>
    </row>
    <row r="48" spans="8:36">
      <c r="I48" t="s">
        <v>1227</v>
      </c>
      <c r="J48">
        <v>34100</v>
      </c>
    </row>
    <row r="49" spans="8:10">
      <c r="H49" t="s">
        <v>1488</v>
      </c>
      <c r="J49">
        <v>50327</v>
      </c>
    </row>
    <row r="50" spans="8:10">
      <c r="I50" t="s">
        <v>208</v>
      </c>
      <c r="J50">
        <v>50327</v>
      </c>
    </row>
    <row r="51" spans="8:10">
      <c r="H51" t="s">
        <v>104</v>
      </c>
      <c r="J51">
        <v>160220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22</vt:i4>
      </vt:variant>
    </vt:vector>
  </HeadingPairs>
  <TitlesOfParts>
    <vt:vector size="27" baseType="lpstr">
      <vt:lpstr>DASHBOARD</vt:lpstr>
      <vt:lpstr>MONTHLY</vt:lpstr>
      <vt:lpstr>가계부</vt:lpstr>
      <vt:lpstr>Sheet1</vt:lpstr>
      <vt:lpstr>가계부 요약</vt:lpstr>
      <vt:lpstr>경조_선물</vt:lpstr>
      <vt:lpstr>고정수입</vt:lpstr>
      <vt:lpstr>교육_학습</vt:lpstr>
      <vt:lpstr>교통</vt:lpstr>
      <vt:lpstr>금융</vt:lpstr>
      <vt:lpstr>문화_여가</vt:lpstr>
      <vt:lpstr>뷰티_미용</vt:lpstr>
      <vt:lpstr>생활</vt:lpstr>
      <vt:lpstr>수입</vt:lpstr>
      <vt:lpstr>술_유흥</vt:lpstr>
      <vt:lpstr>식비</vt:lpstr>
      <vt:lpstr>여행_숙박</vt:lpstr>
      <vt:lpstr>온라인쇼핑</vt:lpstr>
      <vt:lpstr>유동수입</vt:lpstr>
      <vt:lpstr>의료_건강</vt:lpstr>
      <vt:lpstr>이체</vt:lpstr>
      <vt:lpstr>이체분류</vt:lpstr>
      <vt:lpstr>자동차</vt:lpstr>
      <vt:lpstr>주거_통신</vt:lpstr>
      <vt:lpstr>지출</vt:lpstr>
      <vt:lpstr>카페_간식</vt:lpstr>
      <vt:lpstr>패션_쇼핑</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김호진</dc:creator>
  <cp:lastModifiedBy>김호진</cp:lastModifiedBy>
  <dcterms:created xsi:type="dcterms:W3CDTF">2022-06-24T16:31:40Z</dcterms:created>
  <dcterms:modified xsi:type="dcterms:W3CDTF">2025-09-10T08:37:24Z</dcterms:modified>
</cp:coreProperties>
</file>